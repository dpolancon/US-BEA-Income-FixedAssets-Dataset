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7.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9.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2.xml" ContentType="application/vnd.openxmlformats-officedocument.drawingml.chart+xml"/>
  <Override PartName="/xl/drawings/drawing22.xml" ContentType="application/vnd.openxmlformats-officedocument.drawing+xml"/>
  <Override PartName="/xl/charts/chart13.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4.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5.xml" ContentType="application/vnd.openxmlformats-officedocument.drawingml.chart+xml"/>
  <Override PartName="/xl/drawings/drawing27.xml" ContentType="application/vnd.openxmlformats-officedocument.drawing+xml"/>
  <Override PartName="/xl/charts/chart16.xml" ContentType="application/vnd.openxmlformats-officedocument.drawingml.chart+xml"/>
  <Override PartName="/xl/drawings/drawing28.xml" ContentType="application/vnd.openxmlformats-officedocument.drawing+xml"/>
  <Override PartName="/xl/charts/chart17.xml" ContentType="application/vnd.openxmlformats-officedocument.drawingml.chart+xml"/>
  <Override PartName="/xl/drawings/drawing29.xml" ContentType="application/vnd.openxmlformats-officedocument.drawing+xml"/>
  <Override PartName="/xl/charts/chart18.xml" ContentType="application/vnd.openxmlformats-officedocument.drawingml.chart+xml"/>
  <Override PartName="/xl/drawings/drawing30.xml" ContentType="application/vnd.openxmlformats-officedocument.drawing+xml"/>
  <Override PartName="/xl/charts/chart19.xml" ContentType="application/vnd.openxmlformats-officedocument.drawingml.chart+xml"/>
  <Override PartName="/xl/drawings/drawing31.xml" ContentType="application/vnd.openxmlformats-officedocument.drawing+xml"/>
  <Override PartName="/xl/charts/chart20.xml" ContentType="application/vnd.openxmlformats-officedocument.drawingml.chart+xml"/>
  <Override PartName="/xl/comments1.xml" ContentType="application/vnd.openxmlformats-officedocument.spreadsheetml.comments+xml"/>
  <Override PartName="/xl/drawings/drawing32.xml" ContentType="application/vnd.openxmlformats-officedocument.drawing+xml"/>
  <Override PartName="/xl/comments2.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comments3.xml" ContentType="application/vnd.openxmlformats-officedocument.spreadsheetml.comments+xml"/>
  <Override PartName="/xl/drawings/drawing35.xml" ContentType="application/vnd.openxmlformats-officedocument.drawing+xml"/>
  <Override PartName="/xl/comments4.xml" ContentType="application/vnd.openxmlformats-officedocument.spreadsheetml.comments+xml"/>
  <Override PartName="/xl/drawings/drawing36.xml" ContentType="application/vnd.openxmlformats-officedocument.drawing+xml"/>
  <Override PartName="/xl/comments5.xml" ContentType="application/vnd.openxmlformats-officedocument.spreadsheetml.comments+xml"/>
  <Override PartName="/xl/drawings/drawing37.xml" ContentType="application/vnd.openxmlformats-officedocument.drawing+xml"/>
  <Override PartName="/xl/drawings/drawing38.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C:\Users\shaikh\Dropbox\_Shaikh OUP\__OUPBOOK DATA TABLES\"/>
    </mc:Choice>
  </mc:AlternateContent>
  <bookViews>
    <workbookView xWindow="-10" yWindow="3730" windowWidth="17300" windowHeight="3780" firstSheet="22" activeTab="22"/>
  </bookViews>
  <sheets>
    <sheet name="Fig2.11 rcorp" sheetId="48" r:id="rId1"/>
    <sheet name="Fig6.1" sheetId="31" r:id="rId2"/>
    <sheet name="Fig6.2" sheetId="41" r:id="rId3"/>
    <sheet name="Fig6.3" sheetId="40" r:id="rId4"/>
    <sheet name="Fig6.4" sheetId="42" r:id="rId5"/>
    <sheet name="Fig6.5" sheetId="12" r:id="rId6"/>
    <sheet name="Fig6.6" sheetId="46" r:id="rId7"/>
    <sheet name="Fig6.7a" sheetId="47" r:id="rId8"/>
    <sheet name="Fig6.7b" sheetId="34" r:id="rId9"/>
    <sheet name="AppFig6.7.1" sheetId="14" r:id="rId10"/>
    <sheet name="AppFig6.7.2" sheetId="13" r:id="rId11"/>
    <sheet name="AppFig6.7.3" sheetId="17" r:id="rId12"/>
    <sheet name="AppFig6.7.4" sheetId="19" r:id="rId13"/>
    <sheet name="AppFig6.7.5" sheetId="21" r:id="rId14"/>
    <sheet name="AppFig6.7.6" sheetId="22" r:id="rId15"/>
    <sheet name="AppFig6.7.7" sheetId="23" r:id="rId16"/>
    <sheet name="AppFig6.7.8" sheetId="24" r:id="rId17"/>
    <sheet name="AppFig6.7.9" sheetId="25" r:id="rId18"/>
    <sheet name="AppFig6.7.10" sheetId="26" r:id="rId19"/>
    <sheet name="AppFig6.7.11" sheetId="32" r:id="rId20"/>
    <sheet name="Appendix 6.8 Contents" sheetId="9" r:id="rId21"/>
    <sheet name="Appndx6.8.I.1-3" sheetId="1" r:id="rId22"/>
    <sheet name="Appndx 6.8.II.1" sheetId="3" r:id="rId23"/>
    <sheet name="Appndx 6.8.II.2" sheetId="4" r:id="rId24"/>
    <sheet name="Appndx 6.8.II.3" sheetId="5" r:id="rId25"/>
    <sheet name="Appndx 6.8.II.4" sheetId="6" r:id="rId26"/>
    <sheet name="Appndx 6.8.II.5" sheetId="7" r:id="rId27"/>
    <sheet name="Appndx 6.8.II.6" sheetId="10" r:id="rId28"/>
    <sheet name="Appndx 6.8.II.7" sheetId="8" r:id="rId29"/>
    <sheet name="Sheet1" sheetId="35" r:id="rId30"/>
  </sheets>
  <calcPr calcId="162913" concurrentCalc="0"/>
</workbook>
</file>

<file path=xl/calcChain.xml><?xml version="1.0" encoding="utf-8"?>
<calcChain xmlns="http://schemas.openxmlformats.org/spreadsheetml/2006/main">
  <c r="H105" i="8" l="1"/>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AI105" i="8"/>
  <c r="AJ105" i="8"/>
  <c r="AK105" i="8"/>
  <c r="AL105" i="8"/>
  <c r="AM105" i="8"/>
  <c r="AN105" i="8"/>
  <c r="AO105" i="8"/>
  <c r="AP105" i="8"/>
  <c r="AQ105" i="8"/>
  <c r="AR105" i="8"/>
  <c r="AS105" i="8"/>
  <c r="AT105" i="8"/>
  <c r="AU105" i="8"/>
  <c r="AV105" i="8"/>
  <c r="AW105" i="8"/>
  <c r="AX105" i="8"/>
  <c r="AY105" i="8"/>
  <c r="AZ105" i="8"/>
  <c r="BA105" i="8"/>
  <c r="BB105" i="8"/>
  <c r="BC105" i="8"/>
  <c r="BD105" i="8"/>
  <c r="BE105" i="8"/>
  <c r="BF105" i="8"/>
  <c r="BG105" i="8"/>
  <c r="BH105" i="8"/>
  <c r="BI105" i="8"/>
  <c r="BJ105" i="8"/>
  <c r="BK105" i="8"/>
  <c r="BL105" i="8"/>
  <c r="BM105" i="8"/>
  <c r="BN105" i="8"/>
  <c r="BO105" i="8"/>
  <c r="BP105" i="8"/>
  <c r="BQ105" i="8"/>
  <c r="BR105" i="8"/>
  <c r="BS105" i="8"/>
  <c r="G63" i="8"/>
  <c r="G64" i="8"/>
  <c r="CM29" i="3"/>
  <c r="CM28" i="3"/>
  <c r="CN28" i="3"/>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AI64" i="8"/>
  <c r="AJ64" i="8"/>
  <c r="AK64" i="8"/>
  <c r="AL64" i="8"/>
  <c r="AM64" i="8"/>
  <c r="AN64" i="8"/>
  <c r="AO64" i="8"/>
  <c r="AP64" i="8"/>
  <c r="AQ64" i="8"/>
  <c r="AR64" i="8"/>
  <c r="AS64" i="8"/>
  <c r="AT64" i="8"/>
  <c r="AU64" i="8"/>
  <c r="AV64" i="8"/>
  <c r="AW64" i="8"/>
  <c r="AX64" i="8"/>
  <c r="AY64" i="8"/>
  <c r="AZ64" i="8"/>
  <c r="BA64" i="8"/>
  <c r="BB64" i="8"/>
  <c r="BC64" i="8"/>
  <c r="BD64" i="8"/>
  <c r="BE64" i="8"/>
  <c r="BF64" i="8"/>
  <c r="BG64" i="8"/>
  <c r="BH64" i="8"/>
  <c r="BI64" i="8"/>
  <c r="BJ64" i="8"/>
  <c r="BK64" i="8"/>
  <c r="BL64" i="8"/>
  <c r="BM64" i="8"/>
  <c r="BN64" i="8"/>
  <c r="BO64" i="8"/>
  <c r="BP64" i="8"/>
  <c r="BQ64" i="8"/>
  <c r="BR64" i="8"/>
  <c r="BS64" i="8"/>
  <c r="F63" i="8"/>
  <c r="I63" i="8"/>
  <c r="J63" i="8"/>
  <c r="K63" i="8"/>
  <c r="L63" i="8"/>
  <c r="M63" i="8"/>
  <c r="N63" i="8"/>
  <c r="O63" i="8"/>
  <c r="P63" i="8"/>
  <c r="Q63" i="8"/>
  <c r="R63" i="8"/>
  <c r="S63" i="8"/>
  <c r="T63" i="8"/>
  <c r="U63" i="8"/>
  <c r="V63" i="8"/>
  <c r="W63" i="8"/>
  <c r="X63" i="8"/>
  <c r="Y63" i="8"/>
  <c r="Z63" i="8"/>
  <c r="AA63" i="8"/>
  <c r="AB63" i="8"/>
  <c r="AC63" i="8"/>
  <c r="AD63" i="8"/>
  <c r="AE63" i="8"/>
  <c r="AF63" i="8"/>
  <c r="AG63" i="8"/>
  <c r="AH63" i="8"/>
  <c r="AI63" i="8"/>
  <c r="AJ63" i="8"/>
  <c r="AK63" i="8"/>
  <c r="AL63" i="8"/>
  <c r="AM63" i="8"/>
  <c r="AN63" i="8"/>
  <c r="AO63" i="8"/>
  <c r="AP63" i="8"/>
  <c r="AQ63" i="8"/>
  <c r="AR63" i="8"/>
  <c r="AS63" i="8"/>
  <c r="AT63" i="8"/>
  <c r="AU63" i="8"/>
  <c r="AV63" i="8"/>
  <c r="AW63" i="8"/>
  <c r="AX63" i="8"/>
  <c r="AY63" i="8"/>
  <c r="AZ63" i="8"/>
  <c r="BA63" i="8"/>
  <c r="BB63" i="8"/>
  <c r="BC63" i="8"/>
  <c r="BD63" i="8"/>
  <c r="BE63" i="8"/>
  <c r="BF63" i="8"/>
  <c r="BG63" i="8"/>
  <c r="BH63" i="8"/>
  <c r="BI63" i="8"/>
  <c r="BJ63" i="8"/>
  <c r="BK63" i="8"/>
  <c r="BL63" i="8"/>
  <c r="BM63" i="8"/>
  <c r="BN63" i="8"/>
  <c r="BO63" i="8"/>
  <c r="BP63" i="8"/>
  <c r="BQ63" i="8"/>
  <c r="BR63" i="8"/>
  <c r="BS63" i="8"/>
  <c r="H63" i="8"/>
  <c r="AA36" i="8"/>
  <c r="Z36" i="8"/>
  <c r="AB36" i="8"/>
  <c r="AC36" i="8"/>
  <c r="AD36" i="8"/>
  <c r="AE36" i="8"/>
  <c r="AF36" i="8"/>
  <c r="AG36" i="8"/>
  <c r="AH36" i="8"/>
  <c r="AI36" i="8"/>
  <c r="AJ36" i="8"/>
  <c r="AK36" i="8"/>
  <c r="AL36" i="8"/>
  <c r="AM36" i="8"/>
  <c r="AN36" i="8"/>
  <c r="AO36" i="8"/>
  <c r="H35" i="8"/>
  <c r="G35" i="8"/>
  <c r="I35" i="8"/>
  <c r="J35" i="8"/>
  <c r="K35" i="8"/>
  <c r="L35" i="8"/>
  <c r="M35" i="8"/>
  <c r="N35" i="8"/>
  <c r="O35" i="8"/>
  <c r="P35" i="8"/>
  <c r="Q35" i="8"/>
  <c r="R35" i="8"/>
  <c r="S35" i="8"/>
  <c r="T35" i="8"/>
  <c r="U35" i="8"/>
  <c r="V35" i="8"/>
  <c r="W35" i="8"/>
  <c r="X35" i="8"/>
  <c r="Y35" i="8"/>
  <c r="Z35" i="8"/>
  <c r="AA35" i="8"/>
  <c r="AB35" i="8"/>
  <c r="AC35" i="8"/>
  <c r="AD35" i="8"/>
  <c r="AE35" i="8"/>
  <c r="AF35" i="8"/>
  <c r="AG35" i="8"/>
  <c r="AH35" i="8"/>
  <c r="AI35" i="8"/>
  <c r="AJ35" i="8"/>
  <c r="AK35" i="8"/>
  <c r="AL35" i="8"/>
  <c r="AM35" i="8"/>
  <c r="AN35" i="8"/>
  <c r="AO35" i="8"/>
  <c r="AP35" i="8"/>
  <c r="AP36" i="8"/>
  <c r="AQ36" i="8"/>
  <c r="AR36" i="8"/>
  <c r="AS36" i="8"/>
  <c r="AT36" i="8"/>
  <c r="AU36" i="8"/>
  <c r="AV36" i="8"/>
  <c r="AW36" i="8"/>
  <c r="AX36" i="8"/>
  <c r="AY36" i="8"/>
  <c r="AZ36" i="8"/>
  <c r="BA36" i="8"/>
  <c r="BB36" i="8"/>
  <c r="BC36" i="8"/>
  <c r="BD36" i="8"/>
  <c r="BE36" i="8"/>
  <c r="BF36" i="8"/>
  <c r="BG36" i="8"/>
  <c r="BH36" i="8"/>
  <c r="BI36" i="8"/>
  <c r="BJ36" i="8"/>
  <c r="BK36" i="8"/>
  <c r="BL36" i="8"/>
  <c r="BM36" i="8"/>
  <c r="BN36" i="8"/>
  <c r="BO36" i="8"/>
  <c r="BP36" i="8"/>
  <c r="BQ36" i="8"/>
  <c r="BR36" i="8"/>
  <c r="AQ35" i="8"/>
  <c r="AR35" i="8"/>
  <c r="AS35" i="8"/>
  <c r="AT35" i="8"/>
  <c r="AU35" i="8"/>
  <c r="AV35" i="8"/>
  <c r="AW35" i="8"/>
  <c r="AX35" i="8"/>
  <c r="AY35" i="8"/>
  <c r="AZ35" i="8"/>
  <c r="BA35" i="8"/>
  <c r="BB35" i="8"/>
  <c r="BC35" i="8"/>
  <c r="BD35" i="8"/>
  <c r="BE35" i="8"/>
  <c r="BF35" i="8"/>
  <c r="BG35" i="8"/>
  <c r="BH35" i="8"/>
  <c r="BI35" i="8"/>
  <c r="BJ35" i="8"/>
  <c r="BK35" i="8"/>
  <c r="BL35" i="8"/>
  <c r="BM35" i="8"/>
  <c r="BN35" i="8"/>
  <c r="BO35" i="8"/>
  <c r="BP35" i="8"/>
  <c r="BQ35" i="8"/>
  <c r="BR35" i="8"/>
  <c r="BS35" i="8"/>
  <c r="AP37" i="8"/>
  <c r="AP56" i="8"/>
  <c r="AP58" i="8"/>
  <c r="BL22" i="8"/>
  <c r="AB37" i="8"/>
  <c r="AB56" i="8"/>
  <c r="AB58" i="8"/>
  <c r="AC37" i="8"/>
  <c r="AC56" i="8"/>
  <c r="AC58" i="8"/>
  <c r="AD37" i="8"/>
  <c r="AD56" i="8"/>
  <c r="AD58" i="8"/>
  <c r="AE37" i="8"/>
  <c r="AE56" i="8"/>
  <c r="AE58" i="8"/>
  <c r="AH37" i="8"/>
  <c r="AH56" i="8"/>
  <c r="AH58" i="8"/>
  <c r="AI37" i="8"/>
  <c r="AI56" i="8"/>
  <c r="AI58" i="8"/>
  <c r="AJ37" i="8"/>
  <c r="AJ56" i="8"/>
  <c r="AJ58" i="8"/>
  <c r="AL37" i="8"/>
  <c r="AL56" i="8"/>
  <c r="AL58" i="8"/>
  <c r="AM37" i="8"/>
  <c r="AM56" i="8"/>
  <c r="AM58" i="8"/>
  <c r="E36" i="8"/>
  <c r="G36" i="8"/>
  <c r="H36" i="8"/>
  <c r="I36" i="8"/>
  <c r="J37" i="8"/>
  <c r="J36" i="8"/>
  <c r="K36" i="8"/>
  <c r="L36" i="8"/>
  <c r="M36" i="8"/>
  <c r="N36" i="8"/>
  <c r="O37" i="8"/>
  <c r="O36" i="8"/>
  <c r="P36" i="8"/>
  <c r="Q36" i="8"/>
  <c r="R36" i="8"/>
  <c r="S37" i="8"/>
  <c r="S36" i="8"/>
  <c r="T36" i="8"/>
  <c r="U36" i="8"/>
  <c r="V37" i="8"/>
  <c r="V36" i="8"/>
  <c r="W36" i="8"/>
  <c r="X36" i="8"/>
  <c r="Y36" i="8"/>
  <c r="K37" i="8"/>
  <c r="R37" i="8"/>
  <c r="W37" i="8"/>
  <c r="BS36" i="8"/>
  <c r="F83" i="1"/>
  <c r="G83" i="1"/>
  <c r="H83" i="1"/>
  <c r="I83" i="1"/>
  <c r="J83" i="1"/>
  <c r="K83" i="1"/>
  <c r="L83" i="1"/>
  <c r="M83" i="1"/>
  <c r="N83" i="1"/>
  <c r="O83" i="1"/>
  <c r="P83" i="1"/>
  <c r="Q83" i="1"/>
  <c r="R83" i="1"/>
  <c r="S83" i="1"/>
  <c r="T83" i="1"/>
  <c r="U83" i="1"/>
  <c r="V83" i="1"/>
  <c r="W83" i="1"/>
  <c r="X83" i="1"/>
  <c r="Y83" i="1"/>
  <c r="Z83" i="1"/>
  <c r="AA83" i="1"/>
  <c r="AB83" i="1"/>
  <c r="AC83" i="1"/>
  <c r="AD83" i="1"/>
  <c r="AE83" i="1"/>
  <c r="AF83" i="1"/>
  <c r="AG83" i="1"/>
  <c r="AH83" i="1"/>
  <c r="AI83" i="1"/>
  <c r="AJ83" i="1"/>
  <c r="AK83" i="1"/>
  <c r="AL83" i="1"/>
  <c r="AM83" i="1"/>
  <c r="AN83" i="1"/>
  <c r="AO83" i="1"/>
  <c r="AP83" i="1"/>
  <c r="AQ83" i="1"/>
  <c r="AR83" i="1"/>
  <c r="AS83" i="1"/>
  <c r="AT83" i="1"/>
  <c r="AU83" i="1"/>
  <c r="AV83" i="1"/>
  <c r="AW83" i="1"/>
  <c r="AX83" i="1"/>
  <c r="AY83" i="1"/>
  <c r="AZ83" i="1"/>
  <c r="BA83" i="1"/>
  <c r="BB83" i="1"/>
  <c r="BC83" i="1"/>
  <c r="BD83" i="1"/>
  <c r="BE83" i="1"/>
  <c r="BF83" i="1"/>
  <c r="BG83" i="1"/>
  <c r="BH83" i="1"/>
  <c r="BI83" i="1"/>
  <c r="BJ83" i="1"/>
  <c r="BK83" i="1"/>
  <c r="BL83" i="1"/>
  <c r="BM83" i="1"/>
  <c r="BN83" i="1"/>
  <c r="BO83" i="1"/>
  <c r="BP83" i="1"/>
  <c r="E83" i="1"/>
  <c r="D83" i="1"/>
  <c r="E30" i="10"/>
  <c r="E32" i="10"/>
  <c r="E33" i="10"/>
  <c r="E38" i="10"/>
  <c r="F30" i="10"/>
  <c r="F24" i="10"/>
  <c r="G24" i="10"/>
  <c r="F32"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I30" i="10"/>
  <c r="AJ30" i="10"/>
  <c r="AK30" i="10"/>
  <c r="AL30" i="10"/>
  <c r="AM30" i="10"/>
  <c r="AN30" i="10"/>
  <c r="AO30" i="10"/>
  <c r="AP30" i="10"/>
  <c r="AQ30" i="10"/>
  <c r="AR30" i="10"/>
  <c r="AS30" i="10"/>
  <c r="AT30" i="10"/>
  <c r="AU30" i="10"/>
  <c r="AV30" i="10"/>
  <c r="AW30" i="10"/>
  <c r="AX30" i="10"/>
  <c r="AY30" i="10"/>
  <c r="AZ30" i="10"/>
  <c r="BA30" i="10"/>
  <c r="BB30" i="10"/>
  <c r="BC30" i="10"/>
  <c r="BD30" i="10"/>
  <c r="BE30" i="10"/>
  <c r="BF30" i="10"/>
  <c r="BG30" i="10"/>
  <c r="BH30" i="10"/>
  <c r="BI30" i="10"/>
  <c r="BJ30" i="10"/>
  <c r="BK30" i="10"/>
  <c r="BL30" i="10"/>
  <c r="BM30" i="10"/>
  <c r="BN30" i="10"/>
  <c r="BO30" i="10"/>
  <c r="BP30" i="10"/>
  <c r="BQ30" i="10"/>
  <c r="D30" i="10"/>
  <c r="D32" i="10"/>
  <c r="D33" i="10"/>
  <c r="D38" i="10"/>
  <c r="AV29" i="10"/>
  <c r="AV31" i="10"/>
  <c r="AW29" i="10"/>
  <c r="AX29" i="10"/>
  <c r="AY29" i="10"/>
  <c r="AZ29" i="10"/>
  <c r="AZ31" i="10"/>
  <c r="BA29" i="10"/>
  <c r="BB29" i="10"/>
  <c r="BC29" i="10"/>
  <c r="BD29" i="10"/>
  <c r="BD31" i="10"/>
  <c r="BE29" i="10"/>
  <c r="BF29" i="10"/>
  <c r="BG29" i="10"/>
  <c r="BH29" i="10"/>
  <c r="BH31" i="10"/>
  <c r="BI29" i="10"/>
  <c r="BJ29" i="10"/>
  <c r="BK29" i="10"/>
  <c r="BL29" i="10"/>
  <c r="BL31" i="10"/>
  <c r="BM29" i="10"/>
  <c r="BN29" i="10"/>
  <c r="BO29" i="10"/>
  <c r="BP29" i="10"/>
  <c r="BP31" i="10"/>
  <c r="BQ29" i="10"/>
  <c r="AX31" i="10"/>
  <c r="AY31" i="10"/>
  <c r="BB31" i="10"/>
  <c r="BC31" i="10"/>
  <c r="BF31" i="10"/>
  <c r="BG31" i="10"/>
  <c r="BJ31" i="10"/>
  <c r="BK31" i="10"/>
  <c r="BN31" i="10"/>
  <c r="BO31" i="10"/>
  <c r="E101" i="1"/>
  <c r="E103" i="1"/>
  <c r="E115" i="1"/>
  <c r="F101" i="1"/>
  <c r="F103" i="1"/>
  <c r="F115" i="1"/>
  <c r="G101" i="1"/>
  <c r="G103" i="1"/>
  <c r="G115" i="1"/>
  <c r="H101" i="1"/>
  <c r="H103" i="1"/>
  <c r="H115" i="1"/>
  <c r="I101" i="1"/>
  <c r="I103" i="1"/>
  <c r="I115" i="1"/>
  <c r="J101" i="1"/>
  <c r="J103" i="1"/>
  <c r="J115" i="1"/>
  <c r="K101" i="1"/>
  <c r="K103" i="1"/>
  <c r="K115" i="1"/>
  <c r="L101" i="1"/>
  <c r="L103" i="1"/>
  <c r="L115" i="1"/>
  <c r="M101" i="1"/>
  <c r="M103" i="1"/>
  <c r="M115" i="1"/>
  <c r="N101" i="1"/>
  <c r="N103" i="1"/>
  <c r="N115" i="1"/>
  <c r="O101" i="1"/>
  <c r="P101" i="1"/>
  <c r="P103" i="1"/>
  <c r="P115" i="1"/>
  <c r="Q101" i="1"/>
  <c r="Q103" i="1"/>
  <c r="Q115" i="1"/>
  <c r="R101" i="1"/>
  <c r="R103" i="1"/>
  <c r="R115" i="1"/>
  <c r="S101" i="1"/>
  <c r="S103" i="1"/>
  <c r="S115" i="1"/>
  <c r="T101" i="1"/>
  <c r="T103" i="1"/>
  <c r="T115" i="1"/>
  <c r="U101" i="1"/>
  <c r="U103" i="1"/>
  <c r="U115" i="1"/>
  <c r="V101" i="1"/>
  <c r="V103" i="1"/>
  <c r="V115" i="1"/>
  <c r="W101" i="1"/>
  <c r="W103" i="1"/>
  <c r="W115" i="1"/>
  <c r="X101" i="1"/>
  <c r="X103" i="1"/>
  <c r="X115" i="1"/>
  <c r="Y101" i="1"/>
  <c r="Y103" i="1"/>
  <c r="Y115" i="1"/>
  <c r="Z101" i="1"/>
  <c r="Z103" i="1"/>
  <c r="Z115" i="1"/>
  <c r="AA101" i="1"/>
  <c r="AA103" i="1"/>
  <c r="AA115" i="1"/>
  <c r="AB101" i="1"/>
  <c r="AB103" i="1"/>
  <c r="AB115" i="1"/>
  <c r="AC101" i="1"/>
  <c r="AC103" i="1"/>
  <c r="AC115" i="1"/>
  <c r="AD101" i="1"/>
  <c r="AD103" i="1"/>
  <c r="AD115" i="1"/>
  <c r="AE101" i="1"/>
  <c r="AF101" i="1"/>
  <c r="AF103" i="1"/>
  <c r="AF115" i="1"/>
  <c r="AG101" i="1"/>
  <c r="AG103" i="1"/>
  <c r="AG115" i="1"/>
  <c r="AH101" i="1"/>
  <c r="AH103" i="1"/>
  <c r="AH115" i="1"/>
  <c r="AI101" i="1"/>
  <c r="AI103" i="1"/>
  <c r="AI115" i="1"/>
  <c r="AJ101" i="1"/>
  <c r="AJ103" i="1"/>
  <c r="AJ115" i="1"/>
  <c r="AK101" i="1"/>
  <c r="AK103" i="1"/>
  <c r="AK115" i="1"/>
  <c r="AL101" i="1"/>
  <c r="AL103" i="1"/>
  <c r="AL115" i="1"/>
  <c r="AM101" i="1"/>
  <c r="AM103" i="1"/>
  <c r="AM115" i="1"/>
  <c r="AN101" i="1"/>
  <c r="AN103" i="1"/>
  <c r="AO101" i="1"/>
  <c r="AO103" i="1"/>
  <c r="AO115" i="1"/>
  <c r="AP101" i="1"/>
  <c r="AP103" i="1"/>
  <c r="AP115" i="1"/>
  <c r="AQ101" i="1"/>
  <c r="AQ103" i="1"/>
  <c r="AQ115" i="1"/>
  <c r="AR101" i="1"/>
  <c r="AS101" i="1"/>
  <c r="AS103" i="1"/>
  <c r="AS115" i="1"/>
  <c r="AT101" i="1"/>
  <c r="AT103" i="1"/>
  <c r="AT115" i="1"/>
  <c r="AU101" i="1"/>
  <c r="AV101" i="1"/>
  <c r="AV103" i="1"/>
  <c r="AW101" i="1"/>
  <c r="AW103" i="1"/>
  <c r="AX101" i="1"/>
  <c r="AX103" i="1"/>
  <c r="AX115" i="1"/>
  <c r="AY101" i="1"/>
  <c r="AY103" i="1"/>
  <c r="AY115" i="1"/>
  <c r="AZ101" i="1"/>
  <c r="AZ103" i="1"/>
  <c r="BA101" i="1"/>
  <c r="BA103" i="1"/>
  <c r="BA115" i="1"/>
  <c r="BB101" i="1"/>
  <c r="BB103" i="1"/>
  <c r="BC101" i="1"/>
  <c r="BD101" i="1"/>
  <c r="BD103" i="1"/>
  <c r="BD115" i="1"/>
  <c r="BE101" i="1"/>
  <c r="BE103" i="1"/>
  <c r="BE115" i="1"/>
  <c r="BF101" i="1"/>
  <c r="BF103" i="1"/>
  <c r="BG101" i="1"/>
  <c r="BH101" i="1"/>
  <c r="BH103" i="1"/>
  <c r="BH115" i="1"/>
  <c r="BI101" i="1"/>
  <c r="BI103" i="1"/>
  <c r="BI115" i="1"/>
  <c r="BJ101" i="1"/>
  <c r="BJ103" i="1"/>
  <c r="BK101" i="1"/>
  <c r="BL101" i="1"/>
  <c r="BL103" i="1"/>
  <c r="BL115" i="1"/>
  <c r="BM101" i="1"/>
  <c r="BM103" i="1"/>
  <c r="BM115" i="1"/>
  <c r="BN101" i="1"/>
  <c r="BN103" i="1"/>
  <c r="BO101" i="1"/>
  <c r="BP101" i="1"/>
  <c r="BP103" i="1"/>
  <c r="E109" i="1"/>
  <c r="E116" i="1"/>
  <c r="F109" i="1"/>
  <c r="G109" i="1"/>
  <c r="G116" i="1"/>
  <c r="H109" i="1"/>
  <c r="H116" i="1"/>
  <c r="I109" i="1"/>
  <c r="I116" i="1"/>
  <c r="J109" i="1"/>
  <c r="K109" i="1"/>
  <c r="K116" i="1"/>
  <c r="L109" i="1"/>
  <c r="M109" i="1"/>
  <c r="M116" i="1"/>
  <c r="N109" i="1"/>
  <c r="N116" i="1"/>
  <c r="P109" i="1"/>
  <c r="Q109" i="1"/>
  <c r="Q116" i="1"/>
  <c r="R109" i="1"/>
  <c r="R116" i="1"/>
  <c r="S109" i="1"/>
  <c r="S116" i="1"/>
  <c r="T109" i="1"/>
  <c r="T116" i="1"/>
  <c r="U109" i="1"/>
  <c r="U116" i="1"/>
  <c r="V109" i="1"/>
  <c r="V116" i="1"/>
  <c r="W109" i="1"/>
  <c r="W116" i="1"/>
  <c r="X109" i="1"/>
  <c r="Y109" i="1"/>
  <c r="Y116" i="1"/>
  <c r="Z109" i="1"/>
  <c r="Z116" i="1"/>
  <c r="AA109" i="1"/>
  <c r="AA116" i="1"/>
  <c r="AB109" i="1"/>
  <c r="AB116" i="1"/>
  <c r="AC109" i="1"/>
  <c r="AC116" i="1"/>
  <c r="AD109" i="1"/>
  <c r="AD116" i="1"/>
  <c r="AF109" i="1"/>
  <c r="AF116" i="1"/>
  <c r="AG109" i="1"/>
  <c r="AG116" i="1"/>
  <c r="AH109" i="1"/>
  <c r="AH116" i="1"/>
  <c r="AI109" i="1"/>
  <c r="AI116" i="1"/>
  <c r="AJ109" i="1"/>
  <c r="AK109" i="1"/>
  <c r="AK116" i="1"/>
  <c r="AL109" i="1"/>
  <c r="AL116" i="1"/>
  <c r="AM109" i="1"/>
  <c r="AM116" i="1"/>
  <c r="AO109" i="1"/>
  <c r="AO116" i="1"/>
  <c r="AP109" i="1"/>
  <c r="AP116" i="1"/>
  <c r="AQ109" i="1"/>
  <c r="AQ116" i="1"/>
  <c r="AS109" i="1"/>
  <c r="AS116" i="1"/>
  <c r="AT109" i="1"/>
  <c r="AT116" i="1"/>
  <c r="AX109" i="1"/>
  <c r="AX116" i="1"/>
  <c r="AY109" i="1"/>
  <c r="AY116" i="1"/>
  <c r="BA109" i="1"/>
  <c r="BA116" i="1"/>
  <c r="BD109" i="1"/>
  <c r="BD116" i="1"/>
  <c r="BE109" i="1"/>
  <c r="BE116" i="1"/>
  <c r="BF109" i="1"/>
  <c r="BF116" i="1"/>
  <c r="BH109" i="1"/>
  <c r="BH116" i="1"/>
  <c r="BI109" i="1"/>
  <c r="BI116" i="1"/>
  <c r="BJ109" i="1"/>
  <c r="BJ116" i="1"/>
  <c r="BL109" i="1"/>
  <c r="BL116" i="1"/>
  <c r="BM109" i="1"/>
  <c r="BM116" i="1"/>
  <c r="BN109" i="1"/>
  <c r="BN116" i="1"/>
  <c r="E107" i="1"/>
  <c r="E117" i="1"/>
  <c r="F107" i="1"/>
  <c r="G107" i="1"/>
  <c r="G117" i="1"/>
  <c r="H107" i="1"/>
  <c r="H117" i="1"/>
  <c r="I107" i="1"/>
  <c r="I117" i="1"/>
  <c r="J107" i="1"/>
  <c r="K107" i="1"/>
  <c r="K117" i="1"/>
  <c r="L107" i="1"/>
  <c r="L117" i="1"/>
  <c r="M107" i="1"/>
  <c r="M117" i="1"/>
  <c r="N107" i="1"/>
  <c r="P107" i="1"/>
  <c r="Q107" i="1"/>
  <c r="Q117" i="1"/>
  <c r="R107" i="1"/>
  <c r="S107" i="1"/>
  <c r="S117" i="1"/>
  <c r="T107" i="1"/>
  <c r="T117" i="1"/>
  <c r="U107" i="1"/>
  <c r="U117" i="1"/>
  <c r="V107" i="1"/>
  <c r="W107" i="1"/>
  <c r="W117" i="1"/>
  <c r="X107" i="1"/>
  <c r="X117" i="1"/>
  <c r="Y107" i="1"/>
  <c r="Y117" i="1"/>
  <c r="Z107" i="1"/>
  <c r="AA107" i="1"/>
  <c r="AA117" i="1"/>
  <c r="AB107" i="1"/>
  <c r="AB117" i="1"/>
  <c r="AC107" i="1"/>
  <c r="AC117" i="1"/>
  <c r="AD107" i="1"/>
  <c r="AF107" i="1"/>
  <c r="AF117" i="1"/>
  <c r="AG107" i="1"/>
  <c r="AG117" i="1"/>
  <c r="AH107" i="1"/>
  <c r="AI107" i="1"/>
  <c r="AI117" i="1"/>
  <c r="AJ107" i="1"/>
  <c r="AJ117" i="1"/>
  <c r="AK107" i="1"/>
  <c r="AK117" i="1"/>
  <c r="AL107" i="1"/>
  <c r="AM107" i="1"/>
  <c r="AM117" i="1"/>
  <c r="AN107" i="1"/>
  <c r="AN117" i="1"/>
  <c r="AO107" i="1"/>
  <c r="AO117" i="1"/>
  <c r="AP107" i="1"/>
  <c r="AQ107" i="1"/>
  <c r="AQ117" i="1"/>
  <c r="AS107" i="1"/>
  <c r="AS117" i="1"/>
  <c r="AT107" i="1"/>
  <c r="AV107" i="1"/>
  <c r="AV117" i="1"/>
  <c r="AW107" i="1"/>
  <c r="AW117" i="1"/>
  <c r="AX107" i="1"/>
  <c r="AY107" i="1"/>
  <c r="AY117" i="1"/>
  <c r="AZ107" i="1"/>
  <c r="AZ117" i="1"/>
  <c r="BA107" i="1"/>
  <c r="BA117" i="1"/>
  <c r="BB107" i="1"/>
  <c r="BD107" i="1"/>
  <c r="BD117" i="1"/>
  <c r="BE107" i="1"/>
  <c r="BE117" i="1"/>
  <c r="BF107" i="1"/>
  <c r="BH107" i="1"/>
  <c r="BH117" i="1"/>
  <c r="BI107" i="1"/>
  <c r="BI117" i="1"/>
  <c r="BJ107" i="1"/>
  <c r="BL107" i="1"/>
  <c r="BL117" i="1"/>
  <c r="BM107" i="1"/>
  <c r="BM117" i="1"/>
  <c r="BN107" i="1"/>
  <c r="BP107" i="1"/>
  <c r="BP117" i="1"/>
  <c r="E110" i="1"/>
  <c r="E118" i="1"/>
  <c r="F110" i="1"/>
  <c r="F118" i="1"/>
  <c r="G110" i="1"/>
  <c r="G118" i="1"/>
  <c r="H110" i="1"/>
  <c r="H118" i="1"/>
  <c r="I110" i="1"/>
  <c r="I118" i="1"/>
  <c r="J110" i="1"/>
  <c r="J118" i="1"/>
  <c r="K110" i="1"/>
  <c r="K118" i="1"/>
  <c r="L110" i="1"/>
  <c r="L118" i="1"/>
  <c r="M110" i="1"/>
  <c r="M118" i="1"/>
  <c r="N110" i="1"/>
  <c r="N118" i="1"/>
  <c r="P110" i="1"/>
  <c r="P118" i="1"/>
  <c r="Q110" i="1"/>
  <c r="Q118" i="1"/>
  <c r="R110" i="1"/>
  <c r="R118" i="1"/>
  <c r="S110" i="1"/>
  <c r="S118" i="1"/>
  <c r="T110" i="1"/>
  <c r="T118" i="1"/>
  <c r="U110" i="1"/>
  <c r="U118" i="1"/>
  <c r="V110" i="1"/>
  <c r="V118" i="1"/>
  <c r="W110" i="1"/>
  <c r="W118" i="1"/>
  <c r="X110" i="1"/>
  <c r="X118" i="1"/>
  <c r="Y110" i="1"/>
  <c r="Y118" i="1"/>
  <c r="Z110" i="1"/>
  <c r="Z118" i="1"/>
  <c r="AA110" i="1"/>
  <c r="AA118" i="1"/>
  <c r="AB110" i="1"/>
  <c r="AB118" i="1"/>
  <c r="AC110" i="1"/>
  <c r="AC118" i="1"/>
  <c r="AD110" i="1"/>
  <c r="AD118" i="1"/>
  <c r="AF110" i="1"/>
  <c r="AF118" i="1"/>
  <c r="AG110" i="1"/>
  <c r="AG118" i="1"/>
  <c r="AH110" i="1"/>
  <c r="AH118" i="1"/>
  <c r="AI110" i="1"/>
  <c r="AI118" i="1"/>
  <c r="AJ110" i="1"/>
  <c r="AJ118" i="1"/>
  <c r="AK110" i="1"/>
  <c r="AK118" i="1"/>
  <c r="AL110" i="1"/>
  <c r="AL118" i="1"/>
  <c r="AM110" i="1"/>
  <c r="AM118" i="1"/>
  <c r="AN110" i="1"/>
  <c r="AN118" i="1"/>
  <c r="AO110" i="1"/>
  <c r="AO118" i="1"/>
  <c r="AP110" i="1"/>
  <c r="AP118" i="1"/>
  <c r="AQ110" i="1"/>
  <c r="AQ118" i="1"/>
  <c r="AS110" i="1"/>
  <c r="AS118" i="1"/>
  <c r="AT110" i="1"/>
  <c r="AT118" i="1"/>
  <c r="AV110" i="1"/>
  <c r="AV118" i="1"/>
  <c r="AW110" i="1"/>
  <c r="AW118" i="1"/>
  <c r="AX110" i="1"/>
  <c r="AX118" i="1"/>
  <c r="AY110" i="1"/>
  <c r="AY118" i="1"/>
  <c r="AZ110" i="1"/>
  <c r="AZ118" i="1"/>
  <c r="BA110" i="1"/>
  <c r="BA118" i="1"/>
  <c r="BB110" i="1"/>
  <c r="BB118" i="1"/>
  <c r="BD110" i="1"/>
  <c r="BD118" i="1"/>
  <c r="BE110" i="1"/>
  <c r="BE118" i="1"/>
  <c r="BF110" i="1"/>
  <c r="BF118" i="1"/>
  <c r="BH110" i="1"/>
  <c r="BH118" i="1"/>
  <c r="BI110" i="1"/>
  <c r="BI118" i="1"/>
  <c r="BJ110" i="1"/>
  <c r="BJ118" i="1"/>
  <c r="BL110" i="1"/>
  <c r="BL118" i="1"/>
  <c r="BM110" i="1"/>
  <c r="BM118" i="1"/>
  <c r="BN110" i="1"/>
  <c r="BN118" i="1"/>
  <c r="BP110" i="1"/>
  <c r="BP118" i="1"/>
  <c r="D101" i="1"/>
  <c r="D107" i="1"/>
  <c r="D117" i="1"/>
  <c r="D110" i="1"/>
  <c r="D118" i="1"/>
  <c r="D103" i="1"/>
  <c r="D115" i="1"/>
  <c r="D109" i="1"/>
  <c r="D116" i="1"/>
  <c r="D132" i="1"/>
  <c r="G24" i="8"/>
  <c r="AP122" i="1"/>
  <c r="AP132" i="1"/>
  <c r="AS24" i="8"/>
  <c r="AS65" i="8"/>
  <c r="AQ122" i="1"/>
  <c r="AQ129" i="1"/>
  <c r="AQ132" i="1"/>
  <c r="AT24" i="8"/>
  <c r="AR122" i="1"/>
  <c r="AR129" i="1"/>
  <c r="AU23" i="8"/>
  <c r="AU67" i="8"/>
  <c r="AR132" i="1"/>
  <c r="AS122" i="1"/>
  <c r="AS129" i="1"/>
  <c r="AS132" i="1"/>
  <c r="AV24" i="8"/>
  <c r="AT122" i="1"/>
  <c r="AT132" i="1"/>
  <c r="AW24" i="8"/>
  <c r="AU122" i="1"/>
  <c r="AU129" i="1"/>
  <c r="AU132" i="1"/>
  <c r="AX24" i="8"/>
  <c r="AX65" i="8"/>
  <c r="AV122" i="1"/>
  <c r="AV129" i="1"/>
  <c r="AV132" i="1"/>
  <c r="AW122" i="1"/>
  <c r="AW129" i="1"/>
  <c r="AW132" i="1"/>
  <c r="AZ24" i="8"/>
  <c r="AX122" i="1"/>
  <c r="AX132" i="1"/>
  <c r="BA24" i="8"/>
  <c r="BA65" i="8"/>
  <c r="AY122" i="1"/>
  <c r="AY129" i="1"/>
  <c r="AY132" i="1"/>
  <c r="BB24" i="8"/>
  <c r="AZ122" i="1"/>
  <c r="AZ129" i="1"/>
  <c r="AZ132" i="1"/>
  <c r="BA122" i="1"/>
  <c r="BA129" i="1"/>
  <c r="BA132" i="1"/>
  <c r="BD24" i="8"/>
  <c r="BB122" i="1"/>
  <c r="BB132" i="1"/>
  <c r="BE24" i="8"/>
  <c r="BE65" i="8"/>
  <c r="BC122" i="1"/>
  <c r="BC129" i="1"/>
  <c r="BC132" i="1"/>
  <c r="BF24" i="8"/>
  <c r="BD122" i="1"/>
  <c r="BD129" i="1"/>
  <c r="BD132" i="1"/>
  <c r="BE122" i="1"/>
  <c r="BE129" i="1"/>
  <c r="BE132" i="1"/>
  <c r="BH24" i="8"/>
  <c r="BF122" i="1"/>
  <c r="BF132" i="1"/>
  <c r="BI24" i="8"/>
  <c r="BI65" i="8"/>
  <c r="BG122" i="1"/>
  <c r="BG129" i="1"/>
  <c r="BG132" i="1"/>
  <c r="BJ24" i="8"/>
  <c r="BJ65" i="8"/>
  <c r="BH122" i="1"/>
  <c r="BH129" i="1"/>
  <c r="BH132" i="1"/>
  <c r="BI122" i="1"/>
  <c r="BI129" i="1"/>
  <c r="BI132" i="1"/>
  <c r="BL24" i="8"/>
  <c r="BJ122" i="1"/>
  <c r="BJ132" i="1"/>
  <c r="BM24" i="8"/>
  <c r="E122" i="1"/>
  <c r="E129" i="1"/>
  <c r="E132" i="1"/>
  <c r="H24" i="8"/>
  <c r="F122" i="1"/>
  <c r="F129" i="1"/>
  <c r="F132" i="1"/>
  <c r="I24" i="8"/>
  <c r="G122" i="1"/>
  <c r="G129" i="1"/>
  <c r="G132" i="1"/>
  <c r="J24" i="8"/>
  <c r="H122" i="1"/>
  <c r="H132" i="1"/>
  <c r="K24" i="8"/>
  <c r="I122" i="1"/>
  <c r="I129" i="1"/>
  <c r="I132" i="1"/>
  <c r="L24" i="8"/>
  <c r="J122" i="1"/>
  <c r="J129" i="1"/>
  <c r="J132" i="1"/>
  <c r="K122" i="1"/>
  <c r="K129" i="1"/>
  <c r="K132" i="1"/>
  <c r="N24" i="8"/>
  <c r="L122" i="1"/>
  <c r="L132" i="1"/>
  <c r="O24" i="8"/>
  <c r="M122" i="1"/>
  <c r="M129" i="1"/>
  <c r="M132" i="1"/>
  <c r="P24" i="8"/>
  <c r="N122" i="1"/>
  <c r="N129" i="1"/>
  <c r="N132" i="1"/>
  <c r="Q24" i="8"/>
  <c r="O122" i="1"/>
  <c r="O129" i="1"/>
  <c r="O132" i="1"/>
  <c r="R24" i="8"/>
  <c r="P122" i="1"/>
  <c r="P132" i="1"/>
  <c r="S24" i="8"/>
  <c r="S39" i="8"/>
  <c r="Q122" i="1"/>
  <c r="Q129" i="1"/>
  <c r="Q132" i="1"/>
  <c r="T24" i="8"/>
  <c r="R122" i="1"/>
  <c r="R129" i="1"/>
  <c r="R132" i="1"/>
  <c r="S122" i="1"/>
  <c r="S129" i="1"/>
  <c r="S132" i="1"/>
  <c r="V24" i="8"/>
  <c r="T122" i="1"/>
  <c r="T132" i="1"/>
  <c r="W24" i="8"/>
  <c r="U122" i="1"/>
  <c r="U129" i="1"/>
  <c r="U132" i="1"/>
  <c r="X24" i="8"/>
  <c r="V122" i="1"/>
  <c r="V129" i="1"/>
  <c r="V132" i="1"/>
  <c r="Y24" i="8"/>
  <c r="W122" i="1"/>
  <c r="W129" i="1"/>
  <c r="W132" i="1"/>
  <c r="Z24" i="8"/>
  <c r="X122" i="1"/>
  <c r="X132" i="1"/>
  <c r="AA24" i="8"/>
  <c r="Y122" i="1"/>
  <c r="Y129" i="1"/>
  <c r="Y132" i="1"/>
  <c r="AB24" i="8"/>
  <c r="Z122" i="1"/>
  <c r="Z129" i="1"/>
  <c r="Z132" i="1"/>
  <c r="AA122" i="1"/>
  <c r="AA129" i="1"/>
  <c r="AA132" i="1"/>
  <c r="AD24" i="8"/>
  <c r="AB122" i="1"/>
  <c r="AB132" i="1"/>
  <c r="AE24" i="8"/>
  <c r="AE65" i="8"/>
  <c r="AC122" i="1"/>
  <c r="AC129" i="1"/>
  <c r="AC132" i="1"/>
  <c r="AF24" i="8"/>
  <c r="AF65" i="8"/>
  <c r="AD122" i="1"/>
  <c r="AD129" i="1"/>
  <c r="AD132" i="1"/>
  <c r="AG24" i="8"/>
  <c r="AE122" i="1"/>
  <c r="AE129" i="1"/>
  <c r="AE132" i="1"/>
  <c r="AH24" i="8"/>
  <c r="AF122" i="1"/>
  <c r="AF132" i="1"/>
  <c r="AI24" i="8"/>
  <c r="AG122" i="1"/>
  <c r="AG129" i="1"/>
  <c r="AG132" i="1"/>
  <c r="AJ24" i="8"/>
  <c r="AJ65" i="8"/>
  <c r="AH122" i="1"/>
  <c r="AH129" i="1"/>
  <c r="AH132" i="1"/>
  <c r="AI122" i="1"/>
  <c r="AI129" i="1"/>
  <c r="AI132" i="1"/>
  <c r="AL24" i="8"/>
  <c r="AJ122" i="1"/>
  <c r="AJ132" i="1"/>
  <c r="AM24" i="8"/>
  <c r="AK122" i="1"/>
  <c r="AK129" i="1"/>
  <c r="AK132" i="1"/>
  <c r="AN24" i="8"/>
  <c r="AN65" i="8"/>
  <c r="AL122" i="1"/>
  <c r="AL129" i="1"/>
  <c r="AL132" i="1"/>
  <c r="AO24" i="8"/>
  <c r="AM122" i="1"/>
  <c r="AM129" i="1"/>
  <c r="AM132" i="1"/>
  <c r="AP24" i="8"/>
  <c r="AN122" i="1"/>
  <c r="AN132" i="1"/>
  <c r="AQ24" i="8"/>
  <c r="AQ65" i="8"/>
  <c r="AO122" i="1"/>
  <c r="AO129" i="1"/>
  <c r="AO132" i="1"/>
  <c r="AR24" i="8"/>
  <c r="AR65" i="8"/>
  <c r="BK122" i="1"/>
  <c r="BK126" i="1"/>
  <c r="BK132" i="1"/>
  <c r="BL122" i="1"/>
  <c r="BL129" i="1"/>
  <c r="BL132" i="1"/>
  <c r="BO24" i="8"/>
  <c r="BM122" i="1"/>
  <c r="BM123" i="1"/>
  <c r="BM136" i="1"/>
  <c r="BM132" i="1"/>
  <c r="BP24" i="8"/>
  <c r="BN122" i="1"/>
  <c r="BN129" i="1"/>
  <c r="BN132" i="1"/>
  <c r="BQ24" i="8"/>
  <c r="BO122" i="1"/>
  <c r="BO126" i="1"/>
  <c r="BO132" i="1"/>
  <c r="BP122" i="1"/>
  <c r="BP129" i="1"/>
  <c r="BP132" i="1"/>
  <c r="BS24" i="8"/>
  <c r="BS65" i="8"/>
  <c r="D122" i="1"/>
  <c r="E128" i="1"/>
  <c r="H22" i="8"/>
  <c r="F128" i="1"/>
  <c r="I22" i="8"/>
  <c r="G128" i="1"/>
  <c r="J22" i="8"/>
  <c r="I128" i="1"/>
  <c r="L22" i="8"/>
  <c r="J128" i="1"/>
  <c r="M22" i="8"/>
  <c r="K128" i="1"/>
  <c r="M128" i="1"/>
  <c r="P22" i="8"/>
  <c r="N128" i="1"/>
  <c r="Q22" i="8"/>
  <c r="O128" i="1"/>
  <c r="R22" i="8"/>
  <c r="Q128" i="1"/>
  <c r="T22" i="8"/>
  <c r="R128" i="1"/>
  <c r="U22" i="8"/>
  <c r="S128" i="1"/>
  <c r="V22" i="8"/>
  <c r="U128" i="1"/>
  <c r="X22" i="8"/>
  <c r="V128" i="1"/>
  <c r="Y22" i="8"/>
  <c r="W128" i="1"/>
  <c r="Z22" i="8"/>
  <c r="Y128" i="1"/>
  <c r="AB22" i="8"/>
  <c r="Z128" i="1"/>
  <c r="AC22" i="8"/>
  <c r="AA128" i="1"/>
  <c r="AC128" i="1"/>
  <c r="AF22" i="8"/>
  <c r="AD128" i="1"/>
  <c r="AG22" i="8"/>
  <c r="AE128" i="1"/>
  <c r="AH22" i="8"/>
  <c r="AG128" i="1"/>
  <c r="AJ22" i="8"/>
  <c r="AH128" i="1"/>
  <c r="AK22" i="8"/>
  <c r="AI128" i="1"/>
  <c r="AL22" i="8"/>
  <c r="AK128" i="1"/>
  <c r="AN22" i="8"/>
  <c r="AL128" i="1"/>
  <c r="AO22" i="8"/>
  <c r="AM128" i="1"/>
  <c r="AP22" i="8"/>
  <c r="AO128" i="1"/>
  <c r="AR22" i="8"/>
  <c r="AQ128" i="1"/>
  <c r="AT22" i="8"/>
  <c r="AR128" i="1"/>
  <c r="AU22" i="8"/>
  <c r="AS128" i="1"/>
  <c r="AV22" i="8"/>
  <c r="AU128" i="1"/>
  <c r="AX22" i="8"/>
  <c r="AV128" i="1"/>
  <c r="AY22" i="8"/>
  <c r="AW128" i="1"/>
  <c r="AZ22" i="8"/>
  <c r="AY128" i="1"/>
  <c r="BB22" i="8"/>
  <c r="AZ128" i="1"/>
  <c r="BC22" i="8"/>
  <c r="BA128" i="1"/>
  <c r="BD22" i="8"/>
  <c r="BC128" i="1"/>
  <c r="BF22" i="8"/>
  <c r="BD128" i="1"/>
  <c r="BG22" i="8"/>
  <c r="BE128" i="1"/>
  <c r="BH22" i="8"/>
  <c r="BG128" i="1"/>
  <c r="BJ22" i="8"/>
  <c r="BH128" i="1"/>
  <c r="BK22" i="8"/>
  <c r="BI128" i="1"/>
  <c r="BK128" i="1"/>
  <c r="BN22" i="8"/>
  <c r="BL128" i="1"/>
  <c r="BO22" i="8"/>
  <c r="BN128" i="1"/>
  <c r="BQ22" i="8"/>
  <c r="BO128" i="1"/>
  <c r="BR22" i="8"/>
  <c r="BP128" i="1"/>
  <c r="BS22" i="8"/>
  <c r="E126" i="1"/>
  <c r="F126" i="1"/>
  <c r="G126" i="1"/>
  <c r="I126" i="1"/>
  <c r="J126" i="1"/>
  <c r="K126" i="1"/>
  <c r="M126" i="1"/>
  <c r="N126" i="1"/>
  <c r="O126" i="1"/>
  <c r="Q126" i="1"/>
  <c r="R126" i="1"/>
  <c r="S126" i="1"/>
  <c r="U126" i="1"/>
  <c r="V126" i="1"/>
  <c r="W126" i="1"/>
  <c r="Y126" i="1"/>
  <c r="Z126" i="1"/>
  <c r="AA126" i="1"/>
  <c r="AC126" i="1"/>
  <c r="AD126" i="1"/>
  <c r="AE126" i="1"/>
  <c r="AG126" i="1"/>
  <c r="AH126" i="1"/>
  <c r="AI126" i="1"/>
  <c r="AK126" i="1"/>
  <c r="AL126" i="1"/>
  <c r="AM126" i="1"/>
  <c r="AO126" i="1"/>
  <c r="AP126" i="1"/>
  <c r="AQ126" i="1"/>
  <c r="AR126" i="1"/>
  <c r="AS126" i="1"/>
  <c r="AT126" i="1"/>
  <c r="AU126" i="1"/>
  <c r="AV126" i="1"/>
  <c r="AW126" i="1"/>
  <c r="AX126" i="1"/>
  <c r="AY126" i="1"/>
  <c r="AZ126" i="1"/>
  <c r="BA126" i="1"/>
  <c r="BC126" i="1"/>
  <c r="BD126" i="1"/>
  <c r="BE126" i="1"/>
  <c r="BF126" i="1"/>
  <c r="BG126" i="1"/>
  <c r="BH126" i="1"/>
  <c r="BI126" i="1"/>
  <c r="BL126" i="1"/>
  <c r="BN126" i="1"/>
  <c r="BP126" i="1"/>
  <c r="E123" i="1"/>
  <c r="E136" i="1"/>
  <c r="F123" i="1"/>
  <c r="G123" i="1"/>
  <c r="I123" i="1"/>
  <c r="I136" i="1"/>
  <c r="J123" i="1"/>
  <c r="K123" i="1"/>
  <c r="M123" i="1"/>
  <c r="M136" i="1"/>
  <c r="N123" i="1"/>
  <c r="O123" i="1"/>
  <c r="Q123" i="1"/>
  <c r="Q136" i="1"/>
  <c r="R123" i="1"/>
  <c r="S123" i="1"/>
  <c r="U123" i="1"/>
  <c r="U136" i="1"/>
  <c r="V123" i="1"/>
  <c r="W123" i="1"/>
  <c r="Y123" i="1"/>
  <c r="Y136" i="1"/>
  <c r="Z123" i="1"/>
  <c r="AA123" i="1"/>
  <c r="AC123" i="1"/>
  <c r="AC136" i="1"/>
  <c r="AD123" i="1"/>
  <c r="AE123" i="1"/>
  <c r="AG123" i="1"/>
  <c r="AG136" i="1"/>
  <c r="AH123" i="1"/>
  <c r="AI123" i="1"/>
  <c r="AK123" i="1"/>
  <c r="AK136" i="1"/>
  <c r="AL123" i="1"/>
  <c r="AM123" i="1"/>
  <c r="AO123" i="1"/>
  <c r="AO136" i="1"/>
  <c r="AQ123" i="1"/>
  <c r="AR123" i="1"/>
  <c r="AS123" i="1"/>
  <c r="AS136" i="1"/>
  <c r="AU123" i="1"/>
  <c r="AV123" i="1"/>
  <c r="AW123" i="1"/>
  <c r="AY123" i="1"/>
  <c r="AZ123" i="1"/>
  <c r="BA123" i="1"/>
  <c r="BA136" i="1"/>
  <c r="BC123" i="1"/>
  <c r="BD123" i="1"/>
  <c r="BE123" i="1"/>
  <c r="BE136" i="1"/>
  <c r="BG123" i="1"/>
  <c r="BH123" i="1"/>
  <c r="BI123" i="1"/>
  <c r="BI136" i="1"/>
  <c r="BK123" i="1"/>
  <c r="BL123" i="1"/>
  <c r="BN123" i="1"/>
  <c r="BO123" i="1"/>
  <c r="BP123" i="1"/>
  <c r="CJ37" i="3"/>
  <c r="CK37" i="3"/>
  <c r="CL37" i="3"/>
  <c r="F37" i="3"/>
  <c r="G37" i="3"/>
  <c r="H37" i="3"/>
  <c r="I37" i="3"/>
  <c r="J37" i="3"/>
  <c r="K37" i="3"/>
  <c r="L37" i="3"/>
  <c r="M37" i="3"/>
  <c r="N37" i="3"/>
  <c r="O37" i="3"/>
  <c r="P37" i="3"/>
  <c r="Q37" i="3"/>
  <c r="R37" i="3"/>
  <c r="S37" i="3"/>
  <c r="T37" i="3"/>
  <c r="U37" i="3"/>
  <c r="V37" i="3"/>
  <c r="W37" i="3"/>
  <c r="X37" i="3"/>
  <c r="Y37" i="3"/>
  <c r="Z37" i="3"/>
  <c r="AA37" i="3"/>
  <c r="AB37" i="3"/>
  <c r="AC37" i="3"/>
  <c r="AD37" i="3"/>
  <c r="AE37" i="3"/>
  <c r="AF37" i="3"/>
  <c r="AG37" i="3"/>
  <c r="AH37" i="3"/>
  <c r="AI37" i="3"/>
  <c r="AJ37" i="3"/>
  <c r="AK37" i="3"/>
  <c r="AL37" i="3"/>
  <c r="AM37" i="3"/>
  <c r="AN37" i="3"/>
  <c r="AO37" i="3"/>
  <c r="AP37" i="3"/>
  <c r="AQ37" i="3"/>
  <c r="AR37" i="3"/>
  <c r="AS37" i="3"/>
  <c r="AT37" i="3"/>
  <c r="AU37" i="3"/>
  <c r="AV37" i="3"/>
  <c r="AW37" i="3"/>
  <c r="AX37" i="3"/>
  <c r="AY37" i="3"/>
  <c r="AZ37" i="3"/>
  <c r="BA37" i="3"/>
  <c r="BB37" i="3"/>
  <c r="BC37" i="3"/>
  <c r="BD37" i="3"/>
  <c r="BE37" i="3"/>
  <c r="BF37" i="3"/>
  <c r="BG37" i="3"/>
  <c r="BH37" i="3"/>
  <c r="BI37" i="3"/>
  <c r="BJ37" i="3"/>
  <c r="BK37" i="3"/>
  <c r="BL37" i="3"/>
  <c r="BM37" i="3"/>
  <c r="BN37" i="3"/>
  <c r="BO37" i="3"/>
  <c r="BP37" i="3"/>
  <c r="BQ37" i="3"/>
  <c r="BR37" i="3"/>
  <c r="BS37" i="3"/>
  <c r="BT37" i="3"/>
  <c r="BU37" i="3"/>
  <c r="BV37" i="3"/>
  <c r="BW37" i="3"/>
  <c r="BX37" i="3"/>
  <c r="BY37" i="3"/>
  <c r="BZ37" i="3"/>
  <c r="CA37" i="3"/>
  <c r="CB37" i="3"/>
  <c r="CC37" i="3"/>
  <c r="CD37" i="3"/>
  <c r="CE37" i="3"/>
  <c r="CF37" i="3"/>
  <c r="CG37" i="3"/>
  <c r="CH37" i="3"/>
  <c r="CI37" i="3"/>
  <c r="E37" i="3"/>
  <c r="F154" i="1"/>
  <c r="G154" i="1"/>
  <c r="H154" i="1"/>
  <c r="I154" i="1"/>
  <c r="J154" i="1"/>
  <c r="K154"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K154" i="1"/>
  <c r="AL154" i="1"/>
  <c r="AM154" i="1"/>
  <c r="AN154" i="1"/>
  <c r="AO154" i="1"/>
  <c r="AP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BN154" i="1"/>
  <c r="BO154" i="1"/>
  <c r="BP154" i="1"/>
  <c r="F155" i="1"/>
  <c r="G155" i="1"/>
  <c r="H155" i="1"/>
  <c r="I155" i="1"/>
  <c r="K155" i="1"/>
  <c r="L155" i="1"/>
  <c r="M155" i="1"/>
  <c r="N155" i="1"/>
  <c r="O155" i="1"/>
  <c r="P155" i="1"/>
  <c r="Q155" i="1"/>
  <c r="S155" i="1"/>
  <c r="T155" i="1"/>
  <c r="U155" i="1"/>
  <c r="V155" i="1"/>
  <c r="W155" i="1"/>
  <c r="X155" i="1"/>
  <c r="Y155" i="1"/>
  <c r="AA155" i="1"/>
  <c r="AB155" i="1"/>
  <c r="AC155" i="1"/>
  <c r="AD155" i="1"/>
  <c r="AE155" i="1"/>
  <c r="AF155" i="1"/>
  <c r="AG155" i="1"/>
  <c r="AI155" i="1"/>
  <c r="AJ155" i="1"/>
  <c r="AK155" i="1"/>
  <c r="AL155" i="1"/>
  <c r="AM155" i="1"/>
  <c r="AN155" i="1"/>
  <c r="AO155" i="1"/>
  <c r="AP155" i="1"/>
  <c r="AQ155" i="1"/>
  <c r="AS155" i="1"/>
  <c r="AT155" i="1"/>
  <c r="AU155" i="1"/>
  <c r="AW155" i="1"/>
  <c r="AX155" i="1"/>
  <c r="AY155" i="1"/>
  <c r="BA155" i="1"/>
  <c r="BB155" i="1"/>
  <c r="BC155" i="1"/>
  <c r="BE155" i="1"/>
  <c r="BF155" i="1"/>
  <c r="BG155" i="1"/>
  <c r="BI155" i="1"/>
  <c r="BJ155" i="1"/>
  <c r="BL155" i="1"/>
  <c r="BM155" i="1"/>
  <c r="BN155" i="1"/>
  <c r="BP155" i="1"/>
  <c r="F156" i="1"/>
  <c r="G156" i="1"/>
  <c r="H156" i="1"/>
  <c r="I156" i="1"/>
  <c r="J156" i="1"/>
  <c r="K156" i="1"/>
  <c r="L156" i="1"/>
  <c r="M156" i="1"/>
  <c r="N156" i="1"/>
  <c r="O156" i="1"/>
  <c r="P156" i="1"/>
  <c r="Q156" i="1"/>
  <c r="R156" i="1"/>
  <c r="S156" i="1"/>
  <c r="T156" i="1"/>
  <c r="U156" i="1"/>
  <c r="V156" i="1"/>
  <c r="W156" i="1"/>
  <c r="X156" i="1"/>
  <c r="Y156" i="1"/>
  <c r="Z156" i="1"/>
  <c r="AA156" i="1"/>
  <c r="AB156" i="1"/>
  <c r="AC156" i="1"/>
  <c r="AD156" i="1"/>
  <c r="AE156" i="1"/>
  <c r="AF156" i="1"/>
  <c r="AG156" i="1"/>
  <c r="AH156" i="1"/>
  <c r="AI156" i="1"/>
  <c r="AJ156" i="1"/>
  <c r="AK156" i="1"/>
  <c r="AL156" i="1"/>
  <c r="AM156" i="1"/>
  <c r="AN156" i="1"/>
  <c r="AO156" i="1"/>
  <c r="AP156" i="1"/>
  <c r="AQ156" i="1"/>
  <c r="AR156" i="1"/>
  <c r="AS156" i="1"/>
  <c r="AT156" i="1"/>
  <c r="AU156" i="1"/>
  <c r="AV156" i="1"/>
  <c r="AW156" i="1"/>
  <c r="AX156" i="1"/>
  <c r="AY156" i="1"/>
  <c r="AZ156" i="1"/>
  <c r="BA156" i="1"/>
  <c r="BB156" i="1"/>
  <c r="BC156" i="1"/>
  <c r="BD156" i="1"/>
  <c r="BE156" i="1"/>
  <c r="BF156" i="1"/>
  <c r="BG156" i="1"/>
  <c r="BH156" i="1"/>
  <c r="BI156" i="1"/>
  <c r="BJ156" i="1"/>
  <c r="BK156" i="1"/>
  <c r="BL156" i="1"/>
  <c r="BM156" i="1"/>
  <c r="BN156" i="1"/>
  <c r="BO156" i="1"/>
  <c r="BP156" i="1"/>
  <c r="F157" i="1"/>
  <c r="G157" i="1"/>
  <c r="H157" i="1"/>
  <c r="I157" i="1"/>
  <c r="J157" i="1"/>
  <c r="K157" i="1"/>
  <c r="L157" i="1"/>
  <c r="M157" i="1"/>
  <c r="N157" i="1"/>
  <c r="O157" i="1"/>
  <c r="P157" i="1"/>
  <c r="Q157" i="1"/>
  <c r="R157" i="1"/>
  <c r="S157" i="1"/>
  <c r="T157" i="1"/>
  <c r="U157" i="1"/>
  <c r="V157" i="1"/>
  <c r="W157" i="1"/>
  <c r="X157" i="1"/>
  <c r="Y157" i="1"/>
  <c r="Z157" i="1"/>
  <c r="AA157" i="1"/>
  <c r="AB157" i="1"/>
  <c r="AC157" i="1"/>
  <c r="AD157" i="1"/>
  <c r="AE157" i="1"/>
  <c r="AF157" i="1"/>
  <c r="AG157" i="1"/>
  <c r="AH157" i="1"/>
  <c r="AI157" i="1"/>
  <c r="AJ157" i="1"/>
  <c r="AK157" i="1"/>
  <c r="AL157" i="1"/>
  <c r="AM157" i="1"/>
  <c r="AN157" i="1"/>
  <c r="AO157" i="1"/>
  <c r="AP157" i="1"/>
  <c r="AQ157" i="1"/>
  <c r="AR157" i="1"/>
  <c r="AS157" i="1"/>
  <c r="AT157" i="1"/>
  <c r="AU157" i="1"/>
  <c r="AV157" i="1"/>
  <c r="AW157" i="1"/>
  <c r="AX157" i="1"/>
  <c r="AY157" i="1"/>
  <c r="AZ157" i="1"/>
  <c r="BA157" i="1"/>
  <c r="BB157" i="1"/>
  <c r="BC157" i="1"/>
  <c r="BD157" i="1"/>
  <c r="BE157" i="1"/>
  <c r="BF157" i="1"/>
  <c r="BG157" i="1"/>
  <c r="BH157" i="1"/>
  <c r="BI157" i="1"/>
  <c r="BJ157" i="1"/>
  <c r="BK157" i="1"/>
  <c r="BL157" i="1"/>
  <c r="BM157" i="1"/>
  <c r="BN157" i="1"/>
  <c r="BO157" i="1"/>
  <c r="BP157" i="1"/>
  <c r="E154" i="1"/>
  <c r="E155" i="1"/>
  <c r="E156" i="1"/>
  <c r="E157" i="1"/>
  <c r="D157" i="1"/>
  <c r="D156" i="1"/>
  <c r="D155" i="1"/>
  <c r="D154" i="1"/>
  <c r="F136" i="1"/>
  <c r="G136" i="1"/>
  <c r="J136" i="1"/>
  <c r="K136" i="1"/>
  <c r="N136" i="1"/>
  <c r="R136" i="1"/>
  <c r="S136" i="1"/>
  <c r="V136" i="1"/>
  <c r="W136" i="1"/>
  <c r="Z136" i="1"/>
  <c r="AA136" i="1"/>
  <c r="AD136" i="1"/>
  <c r="AH136" i="1"/>
  <c r="AI136" i="1"/>
  <c r="AL136" i="1"/>
  <c r="AM136" i="1"/>
  <c r="AQ136" i="1"/>
  <c r="AY136" i="1"/>
  <c r="BD136" i="1"/>
  <c r="BH136" i="1"/>
  <c r="BL136" i="1"/>
  <c r="E137" i="1"/>
  <c r="F137" i="1"/>
  <c r="G137" i="1"/>
  <c r="H137" i="1"/>
  <c r="I137" i="1"/>
  <c r="J137" i="1"/>
  <c r="K137"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K137" i="1"/>
  <c r="AL137" i="1"/>
  <c r="AM137" i="1"/>
  <c r="AN137" i="1"/>
  <c r="AO137" i="1"/>
  <c r="AP137" i="1"/>
  <c r="AQ137" i="1"/>
  <c r="AR137" i="1"/>
  <c r="AS137" i="1"/>
  <c r="AT137" i="1"/>
  <c r="AU137" i="1"/>
  <c r="AV137" i="1"/>
  <c r="AW137" i="1"/>
  <c r="AX137" i="1"/>
  <c r="AY137" i="1"/>
  <c r="AZ137" i="1"/>
  <c r="BA137" i="1"/>
  <c r="BB137" i="1"/>
  <c r="BC137" i="1"/>
  <c r="BD137" i="1"/>
  <c r="BE137" i="1"/>
  <c r="BF137" i="1"/>
  <c r="BG137" i="1"/>
  <c r="BH137" i="1"/>
  <c r="BI137" i="1"/>
  <c r="BJ137" i="1"/>
  <c r="BK137" i="1"/>
  <c r="BL137" i="1"/>
  <c r="BM137" i="1"/>
  <c r="BN137" i="1"/>
  <c r="BO137" i="1"/>
  <c r="BP137" i="1"/>
  <c r="E105" i="1"/>
  <c r="E138" i="1"/>
  <c r="F105" i="1"/>
  <c r="F138" i="1"/>
  <c r="G105" i="1"/>
  <c r="G138" i="1"/>
  <c r="H105" i="1"/>
  <c r="H138" i="1"/>
  <c r="I105" i="1"/>
  <c r="I138" i="1"/>
  <c r="J105" i="1"/>
  <c r="J138" i="1"/>
  <c r="K105" i="1"/>
  <c r="K138" i="1"/>
  <c r="L105" i="1"/>
  <c r="L138" i="1"/>
  <c r="M105" i="1"/>
  <c r="M138" i="1"/>
  <c r="N105" i="1"/>
  <c r="N138" i="1"/>
  <c r="O105" i="1"/>
  <c r="O138" i="1"/>
  <c r="P105" i="1"/>
  <c r="P138" i="1"/>
  <c r="Q105" i="1"/>
  <c r="Q138" i="1"/>
  <c r="R105" i="1"/>
  <c r="R138" i="1"/>
  <c r="S105" i="1"/>
  <c r="S138" i="1"/>
  <c r="T105" i="1"/>
  <c r="T138" i="1"/>
  <c r="U105" i="1"/>
  <c r="U138" i="1"/>
  <c r="V105" i="1"/>
  <c r="V138" i="1"/>
  <c r="W105" i="1"/>
  <c r="W138" i="1"/>
  <c r="X105" i="1"/>
  <c r="X138" i="1"/>
  <c r="Y105" i="1"/>
  <c r="Y138" i="1"/>
  <c r="Z105" i="1"/>
  <c r="Z138" i="1"/>
  <c r="AA105" i="1"/>
  <c r="AA138" i="1"/>
  <c r="AB105" i="1"/>
  <c r="AB138" i="1"/>
  <c r="AC105" i="1"/>
  <c r="AC138" i="1"/>
  <c r="AD105" i="1"/>
  <c r="AD138" i="1"/>
  <c r="AE105" i="1"/>
  <c r="AE138" i="1"/>
  <c r="AF105" i="1"/>
  <c r="AF138" i="1"/>
  <c r="AG105" i="1"/>
  <c r="AG138" i="1"/>
  <c r="AH105" i="1"/>
  <c r="AH138" i="1"/>
  <c r="AI105" i="1"/>
  <c r="AI138" i="1"/>
  <c r="AJ105" i="1"/>
  <c r="AJ138" i="1"/>
  <c r="AK105" i="1"/>
  <c r="AK138" i="1"/>
  <c r="AL105" i="1"/>
  <c r="AL138" i="1"/>
  <c r="AM105" i="1"/>
  <c r="AM138" i="1"/>
  <c r="AN105" i="1"/>
  <c r="AN138" i="1"/>
  <c r="AO105" i="1"/>
  <c r="AO138" i="1"/>
  <c r="AP105" i="1"/>
  <c r="AP138" i="1"/>
  <c r="AQ105" i="1"/>
  <c r="AQ138" i="1"/>
  <c r="AR105" i="1"/>
  <c r="AR138" i="1"/>
  <c r="AS105" i="1"/>
  <c r="AS138" i="1"/>
  <c r="AT105" i="1"/>
  <c r="AT138" i="1"/>
  <c r="AU105" i="1"/>
  <c r="AU138" i="1"/>
  <c r="AV105" i="1"/>
  <c r="AV138" i="1"/>
  <c r="AW105" i="1"/>
  <c r="AW138" i="1"/>
  <c r="AX105" i="1"/>
  <c r="AX138" i="1"/>
  <c r="AY105" i="1"/>
  <c r="AY138" i="1"/>
  <c r="AZ105" i="1"/>
  <c r="AZ138" i="1"/>
  <c r="BA105" i="1"/>
  <c r="BA138" i="1"/>
  <c r="BB105" i="1"/>
  <c r="BB138" i="1"/>
  <c r="BC105" i="1"/>
  <c r="BC138" i="1"/>
  <c r="BD105" i="1"/>
  <c r="BD138" i="1"/>
  <c r="BE105" i="1"/>
  <c r="BE138" i="1"/>
  <c r="BF105" i="1"/>
  <c r="BF138" i="1"/>
  <c r="BG105" i="1"/>
  <c r="BG138" i="1"/>
  <c r="BH105" i="1"/>
  <c r="BH138" i="1"/>
  <c r="BI105" i="1"/>
  <c r="BI138" i="1"/>
  <c r="BJ105" i="1"/>
  <c r="BJ138" i="1"/>
  <c r="BK105" i="1"/>
  <c r="BK138" i="1"/>
  <c r="BL105" i="1"/>
  <c r="BL138" i="1"/>
  <c r="BM105" i="1"/>
  <c r="BM138" i="1"/>
  <c r="BN105" i="1"/>
  <c r="BN138" i="1"/>
  <c r="BO105" i="1"/>
  <c r="BO138" i="1"/>
  <c r="BP105" i="1"/>
  <c r="BP138" i="1"/>
  <c r="E139" i="1"/>
  <c r="F139" i="1"/>
  <c r="G139" i="1"/>
  <c r="H139" i="1"/>
  <c r="I139" i="1"/>
  <c r="J139" i="1"/>
  <c r="K139" i="1"/>
  <c r="L139" i="1"/>
  <c r="M139" i="1"/>
  <c r="N139" i="1"/>
  <c r="O139" i="1"/>
  <c r="P139" i="1"/>
  <c r="Q139" i="1"/>
  <c r="R139" i="1"/>
  <c r="S139" i="1"/>
  <c r="T139" i="1"/>
  <c r="U139" i="1"/>
  <c r="V139" i="1"/>
  <c r="W139" i="1"/>
  <c r="X139" i="1"/>
  <c r="Y139" i="1"/>
  <c r="Z139" i="1"/>
  <c r="AA139" i="1"/>
  <c r="AB139" i="1"/>
  <c r="AC139" i="1"/>
  <c r="AD139" i="1"/>
  <c r="AE139" i="1"/>
  <c r="AF139" i="1"/>
  <c r="AG139" i="1"/>
  <c r="AH139" i="1"/>
  <c r="AI139" i="1"/>
  <c r="AJ139" i="1"/>
  <c r="AK139" i="1"/>
  <c r="AL139" i="1"/>
  <c r="AM139" i="1"/>
  <c r="AN139" i="1"/>
  <c r="AO139" i="1"/>
  <c r="AP139" i="1"/>
  <c r="AQ139" i="1"/>
  <c r="AR139" i="1"/>
  <c r="AS139" i="1"/>
  <c r="AT139" i="1"/>
  <c r="AU139" i="1"/>
  <c r="AV139" i="1"/>
  <c r="AW139" i="1"/>
  <c r="AX139" i="1"/>
  <c r="AY139" i="1"/>
  <c r="AZ139" i="1"/>
  <c r="BA139" i="1"/>
  <c r="BB139" i="1"/>
  <c r="BC139" i="1"/>
  <c r="BD139" i="1"/>
  <c r="BE139" i="1"/>
  <c r="BF139" i="1"/>
  <c r="BG139" i="1"/>
  <c r="BH139" i="1"/>
  <c r="BI139" i="1"/>
  <c r="BJ139" i="1"/>
  <c r="BK139" i="1"/>
  <c r="BL139" i="1"/>
  <c r="BM139" i="1"/>
  <c r="BN139" i="1"/>
  <c r="BO139" i="1"/>
  <c r="BP139" i="1"/>
  <c r="E140" i="1"/>
  <c r="G140" i="1"/>
  <c r="I140" i="1"/>
  <c r="K140" i="1"/>
  <c r="M140" i="1"/>
  <c r="Q140" i="1"/>
  <c r="S140" i="1"/>
  <c r="U140" i="1"/>
  <c r="W140" i="1"/>
  <c r="Y140" i="1"/>
  <c r="AA140" i="1"/>
  <c r="AC140" i="1"/>
  <c r="AG140" i="1"/>
  <c r="AI140" i="1"/>
  <c r="AK140" i="1"/>
  <c r="AM140" i="1"/>
  <c r="AO140" i="1"/>
  <c r="AQ140" i="1"/>
  <c r="AS140" i="1"/>
  <c r="AV140" i="1"/>
  <c r="AW140" i="1"/>
  <c r="AY140" i="1"/>
  <c r="AZ140" i="1"/>
  <c r="BA140" i="1"/>
  <c r="BD140" i="1"/>
  <c r="BE140" i="1"/>
  <c r="BH140" i="1"/>
  <c r="BI140" i="1"/>
  <c r="BL140" i="1"/>
  <c r="BP140" i="1"/>
  <c r="E141" i="1"/>
  <c r="F141" i="1"/>
  <c r="G141" i="1"/>
  <c r="H141" i="1"/>
  <c r="I141" i="1"/>
  <c r="J141" i="1"/>
  <c r="K141" i="1"/>
  <c r="L141" i="1"/>
  <c r="M141" i="1"/>
  <c r="N141" i="1"/>
  <c r="O141" i="1"/>
  <c r="P141" i="1"/>
  <c r="Q141" i="1"/>
  <c r="R141" i="1"/>
  <c r="S141" i="1"/>
  <c r="T141" i="1"/>
  <c r="U141" i="1"/>
  <c r="V141" i="1"/>
  <c r="W141" i="1"/>
  <c r="X141" i="1"/>
  <c r="Y141" i="1"/>
  <c r="Z141" i="1"/>
  <c r="AA141" i="1"/>
  <c r="AB141" i="1"/>
  <c r="AC141" i="1"/>
  <c r="AD141" i="1"/>
  <c r="AE141" i="1"/>
  <c r="AF141" i="1"/>
  <c r="AG141" i="1"/>
  <c r="AH141" i="1"/>
  <c r="AI141" i="1"/>
  <c r="AJ141" i="1"/>
  <c r="AK141" i="1"/>
  <c r="AL141" i="1"/>
  <c r="AM141" i="1"/>
  <c r="AN141" i="1"/>
  <c r="AO141" i="1"/>
  <c r="AP141" i="1"/>
  <c r="AQ141" i="1"/>
  <c r="AR141" i="1"/>
  <c r="AS141" i="1"/>
  <c r="AT141" i="1"/>
  <c r="AU141" i="1"/>
  <c r="AV141" i="1"/>
  <c r="AW141" i="1"/>
  <c r="AX141" i="1"/>
  <c r="AY141" i="1"/>
  <c r="AZ141" i="1"/>
  <c r="BA141" i="1"/>
  <c r="BB141" i="1"/>
  <c r="BC141" i="1"/>
  <c r="BD141" i="1"/>
  <c r="BE141" i="1"/>
  <c r="BF141" i="1"/>
  <c r="BG141" i="1"/>
  <c r="BH141" i="1"/>
  <c r="BI141" i="1"/>
  <c r="BJ141" i="1"/>
  <c r="BK141" i="1"/>
  <c r="BL141" i="1"/>
  <c r="BM141" i="1"/>
  <c r="BN141" i="1"/>
  <c r="BO141" i="1"/>
  <c r="BP141" i="1"/>
  <c r="E142" i="1"/>
  <c r="G142" i="1"/>
  <c r="I142" i="1"/>
  <c r="M142" i="1"/>
  <c r="N142" i="1"/>
  <c r="Q142" i="1"/>
  <c r="R142" i="1"/>
  <c r="S142" i="1"/>
  <c r="U142" i="1"/>
  <c r="V142" i="1"/>
  <c r="W142" i="1"/>
  <c r="Y142" i="1"/>
  <c r="Z142" i="1"/>
  <c r="AC142" i="1"/>
  <c r="AD142" i="1"/>
  <c r="AG142" i="1"/>
  <c r="AH142" i="1"/>
  <c r="AI142" i="1"/>
  <c r="AK142" i="1"/>
  <c r="AL142" i="1"/>
  <c r="AM142" i="1"/>
  <c r="AO142" i="1"/>
  <c r="AQ142" i="1"/>
  <c r="AS142" i="1"/>
  <c r="AY142" i="1"/>
  <c r="BA142" i="1"/>
  <c r="BD142" i="1"/>
  <c r="BE142" i="1"/>
  <c r="BH142" i="1"/>
  <c r="BI142" i="1"/>
  <c r="BL142" i="1"/>
  <c r="BN142" i="1"/>
  <c r="E143" i="1"/>
  <c r="F143" i="1"/>
  <c r="G143" i="1"/>
  <c r="I143" i="1"/>
  <c r="J143" i="1"/>
  <c r="K143" i="1"/>
  <c r="M143" i="1"/>
  <c r="N143" i="1"/>
  <c r="Q143" i="1"/>
  <c r="R143" i="1"/>
  <c r="S143" i="1"/>
  <c r="U143" i="1"/>
  <c r="V143" i="1"/>
  <c r="W143" i="1"/>
  <c r="Y143" i="1"/>
  <c r="Z143" i="1"/>
  <c r="AA143" i="1"/>
  <c r="AC143" i="1"/>
  <c r="AD143" i="1"/>
  <c r="AG143" i="1"/>
  <c r="AH143" i="1"/>
  <c r="AI143" i="1"/>
  <c r="AK143" i="1"/>
  <c r="AL143" i="1"/>
  <c r="AM143" i="1"/>
  <c r="AO143" i="1"/>
  <c r="AQ143" i="1"/>
  <c r="AS143" i="1"/>
  <c r="AV143" i="1"/>
  <c r="AW143" i="1"/>
  <c r="AZ143" i="1"/>
  <c r="BA143" i="1"/>
  <c r="BD143" i="1"/>
  <c r="BE143" i="1"/>
  <c r="BH143" i="1"/>
  <c r="BI143" i="1"/>
  <c r="BL143" i="1"/>
  <c r="BN143" i="1"/>
  <c r="BP143" i="1"/>
  <c r="E111" i="1"/>
  <c r="E130" i="1"/>
  <c r="E144" i="1"/>
  <c r="F111" i="1"/>
  <c r="F144" i="1"/>
  <c r="F130" i="1"/>
  <c r="G111" i="1"/>
  <c r="G130" i="1"/>
  <c r="J25" i="8"/>
  <c r="J41" i="8"/>
  <c r="H111" i="1"/>
  <c r="H130" i="1"/>
  <c r="H144" i="1"/>
  <c r="I111" i="1"/>
  <c r="I130" i="1"/>
  <c r="I144" i="1"/>
  <c r="J111" i="1"/>
  <c r="J144" i="1"/>
  <c r="J130" i="1"/>
  <c r="K111" i="1"/>
  <c r="K130" i="1"/>
  <c r="N25" i="8"/>
  <c r="N41" i="8"/>
  <c r="L111" i="1"/>
  <c r="M111" i="1"/>
  <c r="M130" i="1"/>
  <c r="M144" i="1"/>
  <c r="N111" i="1"/>
  <c r="N144" i="1"/>
  <c r="N130" i="1"/>
  <c r="O111" i="1"/>
  <c r="O144" i="1"/>
  <c r="O130" i="1"/>
  <c r="R25" i="8"/>
  <c r="R41" i="8"/>
  <c r="P111" i="1"/>
  <c r="P130" i="1"/>
  <c r="P144" i="1"/>
  <c r="Q111" i="1"/>
  <c r="Q130" i="1"/>
  <c r="Q144" i="1"/>
  <c r="R111" i="1"/>
  <c r="R144" i="1"/>
  <c r="R130" i="1"/>
  <c r="S111" i="1"/>
  <c r="S144" i="1"/>
  <c r="S130" i="1"/>
  <c r="V25" i="8"/>
  <c r="V41" i="8"/>
  <c r="T111" i="1"/>
  <c r="U111" i="1"/>
  <c r="U130" i="1"/>
  <c r="U144" i="1"/>
  <c r="V111" i="1"/>
  <c r="V144" i="1"/>
  <c r="V130" i="1"/>
  <c r="W111" i="1"/>
  <c r="W130" i="1"/>
  <c r="Z25" i="8"/>
  <c r="Z41" i="8"/>
  <c r="X111" i="1"/>
  <c r="X130" i="1"/>
  <c r="X144" i="1"/>
  <c r="Y111" i="1"/>
  <c r="Y130" i="1"/>
  <c r="Y144" i="1"/>
  <c r="Z111" i="1"/>
  <c r="Z144" i="1"/>
  <c r="Z130" i="1"/>
  <c r="AA111" i="1"/>
  <c r="AA130" i="1"/>
  <c r="AD25" i="8"/>
  <c r="AD41" i="8"/>
  <c r="AB111" i="1"/>
  <c r="AC111" i="1"/>
  <c r="AC130" i="1"/>
  <c r="AC144" i="1"/>
  <c r="AD111" i="1"/>
  <c r="AD144" i="1"/>
  <c r="AD130" i="1"/>
  <c r="AE111" i="1"/>
  <c r="AE144" i="1"/>
  <c r="AE130" i="1"/>
  <c r="AH25" i="8"/>
  <c r="AH41" i="8"/>
  <c r="AF111" i="1"/>
  <c r="AF130" i="1"/>
  <c r="AF144" i="1"/>
  <c r="AG111" i="1"/>
  <c r="AG130" i="1"/>
  <c r="AG144" i="1"/>
  <c r="AH111" i="1"/>
  <c r="AH144" i="1"/>
  <c r="AH130" i="1"/>
  <c r="AI111" i="1"/>
  <c r="AI144" i="1"/>
  <c r="AI130" i="1"/>
  <c r="AL25" i="8"/>
  <c r="AL41" i="8"/>
  <c r="AJ111" i="1"/>
  <c r="AK111" i="1"/>
  <c r="AK130" i="1"/>
  <c r="AK144" i="1"/>
  <c r="AL111" i="1"/>
  <c r="AL144" i="1"/>
  <c r="AL130" i="1"/>
  <c r="AM111" i="1"/>
  <c r="AM130" i="1"/>
  <c r="AP25" i="8"/>
  <c r="AP41" i="8"/>
  <c r="AN111" i="1"/>
  <c r="AN130" i="1"/>
  <c r="AN144" i="1"/>
  <c r="AO111" i="1"/>
  <c r="AO130" i="1"/>
  <c r="AO144" i="1"/>
  <c r="AP111" i="1"/>
  <c r="AP144" i="1"/>
  <c r="AP130" i="1"/>
  <c r="AQ111" i="1"/>
  <c r="AQ130" i="1"/>
  <c r="AT25" i="8"/>
  <c r="AT41" i="8"/>
  <c r="AR130" i="1"/>
  <c r="AS111" i="1"/>
  <c r="AS130" i="1"/>
  <c r="AS144" i="1"/>
  <c r="AT111" i="1"/>
  <c r="AT144" i="1"/>
  <c r="AT130" i="1"/>
  <c r="AU111" i="1"/>
  <c r="AU144" i="1"/>
  <c r="AU130" i="1"/>
  <c r="AX25" i="8"/>
  <c r="AX41" i="8"/>
  <c r="AV111" i="1"/>
  <c r="AV130" i="1"/>
  <c r="AV144" i="1"/>
  <c r="AW111" i="1"/>
  <c r="AW130" i="1"/>
  <c r="AW144" i="1"/>
  <c r="AX111" i="1"/>
  <c r="AX144" i="1"/>
  <c r="AX130" i="1"/>
  <c r="AY111" i="1"/>
  <c r="AY144" i="1"/>
  <c r="AY130" i="1"/>
  <c r="BB25" i="8"/>
  <c r="BB41" i="8"/>
  <c r="AZ111" i="1"/>
  <c r="AZ130" i="1"/>
  <c r="AZ144" i="1"/>
  <c r="BA111" i="1"/>
  <c r="BA130" i="1"/>
  <c r="BA144" i="1"/>
  <c r="BB111" i="1"/>
  <c r="BC111" i="1"/>
  <c r="BC130" i="1"/>
  <c r="BF25" i="8"/>
  <c r="BF41" i="8"/>
  <c r="BD111" i="1"/>
  <c r="BD130" i="1"/>
  <c r="BD144" i="1"/>
  <c r="BE111" i="1"/>
  <c r="BE130" i="1"/>
  <c r="BE144" i="1"/>
  <c r="BF111" i="1"/>
  <c r="BF144" i="1"/>
  <c r="BF130" i="1"/>
  <c r="BG130" i="1"/>
  <c r="BJ25" i="8"/>
  <c r="BJ41" i="8"/>
  <c r="BH111" i="1"/>
  <c r="BH130" i="1"/>
  <c r="BH144" i="1"/>
  <c r="BI111" i="1"/>
  <c r="BI130" i="1"/>
  <c r="BI144" i="1"/>
  <c r="BJ111" i="1"/>
  <c r="BK111" i="1"/>
  <c r="BK130" i="1"/>
  <c r="BN25" i="8"/>
  <c r="BL111" i="1"/>
  <c r="BL130" i="1"/>
  <c r="BL144" i="1"/>
  <c r="BM111" i="1"/>
  <c r="BN111" i="1"/>
  <c r="BN144" i="1"/>
  <c r="BN130" i="1"/>
  <c r="BO111" i="1"/>
  <c r="BO130" i="1"/>
  <c r="BR25" i="8"/>
  <c r="BP111" i="1"/>
  <c r="BP130" i="1"/>
  <c r="BP144" i="1"/>
  <c r="E131" i="1"/>
  <c r="E145" i="1"/>
  <c r="F131" i="1"/>
  <c r="F145" i="1"/>
  <c r="G131" i="1"/>
  <c r="G145" i="1"/>
  <c r="H131" i="1"/>
  <c r="H145" i="1"/>
  <c r="I131" i="1"/>
  <c r="I145" i="1"/>
  <c r="J131" i="1"/>
  <c r="J145" i="1"/>
  <c r="K131" i="1"/>
  <c r="K145" i="1"/>
  <c r="L131" i="1"/>
  <c r="L145" i="1"/>
  <c r="M131" i="1"/>
  <c r="M145" i="1"/>
  <c r="N131" i="1"/>
  <c r="N145" i="1"/>
  <c r="O131" i="1"/>
  <c r="O145" i="1"/>
  <c r="P131" i="1"/>
  <c r="P145" i="1"/>
  <c r="Q131" i="1"/>
  <c r="Q145" i="1"/>
  <c r="R131" i="1"/>
  <c r="R145" i="1"/>
  <c r="S131" i="1"/>
  <c r="S145" i="1"/>
  <c r="T131" i="1"/>
  <c r="T145" i="1"/>
  <c r="U131" i="1"/>
  <c r="U145" i="1"/>
  <c r="V131" i="1"/>
  <c r="V145" i="1"/>
  <c r="W131" i="1"/>
  <c r="W145" i="1"/>
  <c r="X131" i="1"/>
  <c r="X145" i="1"/>
  <c r="Y131" i="1"/>
  <c r="Y145" i="1"/>
  <c r="Z131" i="1"/>
  <c r="Z145" i="1"/>
  <c r="AA131" i="1"/>
  <c r="AA145" i="1"/>
  <c r="AB131" i="1"/>
  <c r="AB145" i="1"/>
  <c r="AC131" i="1"/>
  <c r="AC145" i="1"/>
  <c r="AD131" i="1"/>
  <c r="AD145" i="1"/>
  <c r="AE131" i="1"/>
  <c r="AE145" i="1"/>
  <c r="AF131" i="1"/>
  <c r="AF145" i="1"/>
  <c r="AG131" i="1"/>
  <c r="AG145" i="1"/>
  <c r="AH131" i="1"/>
  <c r="AH145" i="1"/>
  <c r="AI131" i="1"/>
  <c r="AI145" i="1"/>
  <c r="AJ131" i="1"/>
  <c r="AJ145" i="1"/>
  <c r="AK131" i="1"/>
  <c r="AK145" i="1"/>
  <c r="AL131" i="1"/>
  <c r="AL145" i="1"/>
  <c r="AM131" i="1"/>
  <c r="AM145" i="1"/>
  <c r="AN131" i="1"/>
  <c r="AN145" i="1"/>
  <c r="AO131" i="1"/>
  <c r="AO145" i="1"/>
  <c r="AP131" i="1"/>
  <c r="AP145" i="1"/>
  <c r="AQ131" i="1"/>
  <c r="AQ145" i="1"/>
  <c r="AR131" i="1"/>
  <c r="AR145" i="1"/>
  <c r="AS131" i="1"/>
  <c r="AS145" i="1"/>
  <c r="AT131" i="1"/>
  <c r="AT145" i="1"/>
  <c r="AU131" i="1"/>
  <c r="AU145" i="1"/>
  <c r="AV131" i="1"/>
  <c r="AV145" i="1"/>
  <c r="AW131" i="1"/>
  <c r="AW145" i="1"/>
  <c r="AX131" i="1"/>
  <c r="AX145" i="1"/>
  <c r="AY131" i="1"/>
  <c r="AY145" i="1"/>
  <c r="AZ131" i="1"/>
  <c r="AZ145" i="1"/>
  <c r="BA131" i="1"/>
  <c r="BA145" i="1"/>
  <c r="BB131" i="1"/>
  <c r="BB145" i="1"/>
  <c r="BC131" i="1"/>
  <c r="BC145" i="1"/>
  <c r="BD131" i="1"/>
  <c r="BD145" i="1"/>
  <c r="BE131" i="1"/>
  <c r="BE145" i="1"/>
  <c r="BF131" i="1"/>
  <c r="BF145" i="1"/>
  <c r="BG131" i="1"/>
  <c r="BG145" i="1"/>
  <c r="BH131" i="1"/>
  <c r="BH145" i="1"/>
  <c r="BI131" i="1"/>
  <c r="BI145" i="1"/>
  <c r="BJ131" i="1"/>
  <c r="BJ145" i="1"/>
  <c r="BK131" i="1"/>
  <c r="BK145" i="1"/>
  <c r="BL131" i="1"/>
  <c r="BL145" i="1"/>
  <c r="BM131" i="1"/>
  <c r="BM145" i="1"/>
  <c r="BN131" i="1"/>
  <c r="BN145" i="1"/>
  <c r="BO131" i="1"/>
  <c r="BO145" i="1"/>
  <c r="BP131" i="1"/>
  <c r="BP145" i="1"/>
  <c r="E146" i="1"/>
  <c r="F146" i="1"/>
  <c r="G146" i="1"/>
  <c r="H146" i="1"/>
  <c r="I146" i="1"/>
  <c r="J146" i="1"/>
  <c r="K146"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K146" i="1"/>
  <c r="AL146" i="1"/>
  <c r="AM146" i="1"/>
  <c r="AN146" i="1"/>
  <c r="AO146" i="1"/>
  <c r="AP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BN146" i="1"/>
  <c r="BO146" i="1"/>
  <c r="BP146" i="1"/>
  <c r="D146" i="1"/>
  <c r="D131" i="1"/>
  <c r="D145" i="1"/>
  <c r="D111" i="1"/>
  <c r="D144" i="1"/>
  <c r="D130" i="1"/>
  <c r="D141" i="1"/>
  <c r="D139" i="1"/>
  <c r="D105" i="1"/>
  <c r="D138" i="1"/>
  <c r="D137" i="1"/>
  <c r="AA35" i="5"/>
  <c r="AA21" i="3"/>
  <c r="AA22" i="3"/>
  <c r="AA34" i="5"/>
  <c r="Z21" i="3"/>
  <c r="AB35" i="5"/>
  <c r="AB21" i="3"/>
  <c r="AB22" i="3"/>
  <c r="AC35" i="5"/>
  <c r="AC21" i="3"/>
  <c r="AC22" i="3"/>
  <c r="AD35" i="5"/>
  <c r="AD21" i="3"/>
  <c r="AD22" i="3"/>
  <c r="AE35" i="5"/>
  <c r="AE21" i="3"/>
  <c r="AE22" i="3"/>
  <c r="AF35" i="5"/>
  <c r="AF21" i="3"/>
  <c r="AF22" i="3"/>
  <c r="AG35" i="5"/>
  <c r="AG21" i="3"/>
  <c r="AG22" i="3"/>
  <c r="AH35" i="5"/>
  <c r="AH21" i="3"/>
  <c r="AH22" i="3"/>
  <c r="AI35" i="5"/>
  <c r="AI21" i="3"/>
  <c r="AI22" i="3"/>
  <c r="AJ35" i="5"/>
  <c r="AJ21" i="3"/>
  <c r="AJ22" i="3"/>
  <c r="AK35" i="5"/>
  <c r="AK21" i="3"/>
  <c r="AK22" i="3"/>
  <c r="AL35" i="5"/>
  <c r="AL21" i="3"/>
  <c r="AL22" i="3"/>
  <c r="AM35" i="5"/>
  <c r="AM21" i="3"/>
  <c r="AM22" i="3"/>
  <c r="AN35" i="5"/>
  <c r="AN21" i="3"/>
  <c r="AN22" i="3"/>
  <c r="AO35" i="5"/>
  <c r="AO21" i="3"/>
  <c r="AO22" i="3"/>
  <c r="AP35" i="5"/>
  <c r="AP21" i="3"/>
  <c r="AP22" i="3"/>
  <c r="AQ35" i="5"/>
  <c r="AQ21" i="3"/>
  <c r="AQ22" i="3"/>
  <c r="AR35" i="5"/>
  <c r="AR21" i="3"/>
  <c r="AR22" i="3"/>
  <c r="AS35" i="5"/>
  <c r="AS21" i="3"/>
  <c r="AS22" i="3"/>
  <c r="AT35" i="5"/>
  <c r="AT21" i="3"/>
  <c r="AT22" i="3"/>
  <c r="AU35" i="5"/>
  <c r="AU21" i="3"/>
  <c r="AU22" i="3"/>
  <c r="AV35" i="5"/>
  <c r="AV21" i="3"/>
  <c r="AV22" i="3"/>
  <c r="AW35" i="5"/>
  <c r="AW21" i="3"/>
  <c r="AW22" i="3"/>
  <c r="AX35" i="5"/>
  <c r="AX21" i="3"/>
  <c r="AX22" i="3"/>
  <c r="AY35" i="5"/>
  <c r="AY21" i="3"/>
  <c r="AY22" i="3"/>
  <c r="AZ35" i="5"/>
  <c r="AZ21" i="3"/>
  <c r="AZ22" i="3"/>
  <c r="BA35" i="5"/>
  <c r="BA21" i="3"/>
  <c r="BA22" i="3"/>
  <c r="BB35" i="5"/>
  <c r="BB21" i="3"/>
  <c r="BB22" i="3"/>
  <c r="BC35" i="5"/>
  <c r="BC21" i="3"/>
  <c r="BC22" i="3"/>
  <c r="BD35" i="5"/>
  <c r="BD21" i="3"/>
  <c r="BD22" i="3"/>
  <c r="BE35" i="5"/>
  <c r="BE21" i="3"/>
  <c r="BE22" i="3"/>
  <c r="BF35" i="5"/>
  <c r="BF21" i="3"/>
  <c r="BF22" i="3"/>
  <c r="BG35" i="5"/>
  <c r="BG21" i="3"/>
  <c r="BG22" i="3"/>
  <c r="BH35" i="5"/>
  <c r="BH21" i="3"/>
  <c r="BH22" i="3"/>
  <c r="BI35" i="5"/>
  <c r="BI21" i="3"/>
  <c r="BI22" i="3"/>
  <c r="BJ35" i="5"/>
  <c r="BJ21" i="3"/>
  <c r="BJ22" i="3"/>
  <c r="BK35" i="5"/>
  <c r="BK21" i="3"/>
  <c r="BK22" i="3"/>
  <c r="BL35" i="5"/>
  <c r="BL21" i="3"/>
  <c r="BL22" i="3"/>
  <c r="BM35" i="5"/>
  <c r="BM21" i="3"/>
  <c r="BM22" i="3"/>
  <c r="BN35" i="5"/>
  <c r="BN21" i="3"/>
  <c r="BN22" i="3"/>
  <c r="BO35" i="5"/>
  <c r="BO21" i="3"/>
  <c r="BO22" i="3"/>
  <c r="BP35" i="5"/>
  <c r="BP21" i="3"/>
  <c r="BP22" i="3"/>
  <c r="BQ35" i="5"/>
  <c r="BQ21" i="3"/>
  <c r="BQ22" i="3"/>
  <c r="BR35" i="5"/>
  <c r="BR21" i="3"/>
  <c r="BR22" i="3"/>
  <c r="BS35" i="5"/>
  <c r="BS21" i="3"/>
  <c r="BS22" i="3"/>
  <c r="BT35" i="5"/>
  <c r="BT21" i="3"/>
  <c r="BT22" i="3"/>
  <c r="BU35" i="5"/>
  <c r="BU21" i="3"/>
  <c r="BU22" i="3"/>
  <c r="BV35" i="5"/>
  <c r="BV21" i="3"/>
  <c r="BV22" i="3"/>
  <c r="BW35" i="5"/>
  <c r="BW21" i="3"/>
  <c r="BW22" i="3"/>
  <c r="BX35" i="5"/>
  <c r="BX21" i="3"/>
  <c r="BX22" i="3"/>
  <c r="BY35" i="5"/>
  <c r="BY21" i="3"/>
  <c r="BY22" i="3"/>
  <c r="BZ35" i="5"/>
  <c r="BZ21" i="3"/>
  <c r="BZ22" i="3"/>
  <c r="CA35" i="5"/>
  <c r="CA21" i="3"/>
  <c r="CA22" i="3"/>
  <c r="CB35" i="5"/>
  <c r="CB21" i="3"/>
  <c r="CB22" i="3"/>
  <c r="CC35" i="5"/>
  <c r="CC21" i="3"/>
  <c r="CC22" i="3"/>
  <c r="CD35" i="5"/>
  <c r="CD21" i="3"/>
  <c r="CD22" i="3"/>
  <c r="CE35" i="5"/>
  <c r="CE21" i="3"/>
  <c r="CE22" i="3"/>
  <c r="CF35" i="5"/>
  <c r="CF21" i="3"/>
  <c r="CF22" i="3"/>
  <c r="CG35" i="5"/>
  <c r="CG21" i="3"/>
  <c r="CG22" i="3"/>
  <c r="CH35" i="5"/>
  <c r="CH21" i="3"/>
  <c r="CH22" i="3"/>
  <c r="CI35" i="5"/>
  <c r="CI21" i="3"/>
  <c r="CI22" i="3"/>
  <c r="CJ35" i="5"/>
  <c r="CJ21" i="3"/>
  <c r="CJ22" i="3"/>
  <c r="CK35" i="5"/>
  <c r="CK21" i="3"/>
  <c r="CK22" i="3"/>
  <c r="CL35" i="5"/>
  <c r="CL21" i="3"/>
  <c r="CL22" i="3"/>
  <c r="Y21" i="3"/>
  <c r="Y22" i="3"/>
  <c r="Y26" i="3"/>
  <c r="E21" i="3"/>
  <c r="E22" i="3"/>
  <c r="D21" i="3"/>
  <c r="F21" i="3"/>
  <c r="F22" i="3"/>
  <c r="F26" i="3"/>
  <c r="F14" i="7"/>
  <c r="G21" i="3"/>
  <c r="G22" i="3"/>
  <c r="G26" i="3"/>
  <c r="H21" i="3"/>
  <c r="H22" i="3"/>
  <c r="H26" i="3"/>
  <c r="I21" i="3"/>
  <c r="I22" i="3"/>
  <c r="I26" i="3"/>
  <c r="J21" i="3"/>
  <c r="J22" i="3"/>
  <c r="J14" i="7"/>
  <c r="K21" i="3"/>
  <c r="K22" i="3"/>
  <c r="L21" i="3"/>
  <c r="L22" i="3"/>
  <c r="L26" i="3"/>
  <c r="M21" i="3"/>
  <c r="M22" i="3"/>
  <c r="M26" i="3"/>
  <c r="N21" i="3"/>
  <c r="N22" i="3"/>
  <c r="N26" i="3"/>
  <c r="N14" i="7"/>
  <c r="O21" i="3"/>
  <c r="O22" i="3"/>
  <c r="O14" i="7"/>
  <c r="O15" i="7"/>
  <c r="O16" i="7"/>
  <c r="P21" i="3"/>
  <c r="P22" i="3"/>
  <c r="P26" i="3"/>
  <c r="Q21" i="3"/>
  <c r="Q22" i="3"/>
  <c r="Q26" i="3"/>
  <c r="R21" i="3"/>
  <c r="R22" i="3"/>
  <c r="R26" i="3"/>
  <c r="R14" i="7"/>
  <c r="S21" i="3"/>
  <c r="S22" i="3"/>
  <c r="S26" i="3"/>
  <c r="S14" i="7"/>
  <c r="S15" i="7"/>
  <c r="S16" i="7"/>
  <c r="T21" i="3"/>
  <c r="T22" i="3"/>
  <c r="T26" i="3"/>
  <c r="U21" i="3"/>
  <c r="U22" i="3"/>
  <c r="U26" i="3"/>
  <c r="V21" i="3"/>
  <c r="V22" i="3"/>
  <c r="V26" i="3"/>
  <c r="V14" i="7"/>
  <c r="W21" i="3"/>
  <c r="W22" i="3"/>
  <c r="W14" i="7"/>
  <c r="W15" i="7"/>
  <c r="W16" i="7"/>
  <c r="X21" i="3"/>
  <c r="X22" i="3"/>
  <c r="X26" i="3"/>
  <c r="O17" i="7"/>
  <c r="S17" i="7"/>
  <c r="U17" i="7"/>
  <c r="W17" i="7"/>
  <c r="D20" i="7"/>
  <c r="D19" i="7"/>
  <c r="Z23" i="6"/>
  <c r="Z14" i="7"/>
  <c r="F23" i="6"/>
  <c r="G23" i="6"/>
  <c r="G14" i="7"/>
  <c r="H23" i="6"/>
  <c r="I23" i="6"/>
  <c r="J23" i="6"/>
  <c r="K23" i="6"/>
  <c r="K14" i="7"/>
  <c r="L23" i="6"/>
  <c r="M23" i="6"/>
  <c r="N23" i="6"/>
  <c r="O23" i="6"/>
  <c r="P23" i="6"/>
  <c r="Q23" i="6"/>
  <c r="R23" i="6"/>
  <c r="S23" i="6"/>
  <c r="T23" i="6"/>
  <c r="T14" i="7"/>
  <c r="U23" i="6"/>
  <c r="U14" i="7"/>
  <c r="V23" i="6"/>
  <c r="W23" i="6"/>
  <c r="X23" i="6"/>
  <c r="X14" i="7"/>
  <c r="Y23" i="6"/>
  <c r="Y14" i="7"/>
  <c r="E23" i="6"/>
  <c r="E14" i="7"/>
  <c r="D23" i="6"/>
  <c r="D14" i="7"/>
  <c r="D28" i="6"/>
  <c r="F28" i="6"/>
  <c r="D26" i="6"/>
  <c r="X26" i="6"/>
  <c r="Y26" i="6"/>
  <c r="S26" i="6"/>
  <c r="T26" i="6"/>
  <c r="U26" i="6"/>
  <c r="V26" i="6"/>
  <c r="W26" i="6"/>
  <c r="U28" i="6"/>
  <c r="V28" i="6"/>
  <c r="F26" i="6"/>
  <c r="G26" i="6"/>
  <c r="J26" i="6"/>
  <c r="K26" i="6"/>
  <c r="N26" i="6"/>
  <c r="O26" i="6"/>
  <c r="R26" i="6"/>
  <c r="G28" i="6"/>
  <c r="H28" i="6"/>
  <c r="I28" i="6"/>
  <c r="K28" i="6"/>
  <c r="L28" i="6"/>
  <c r="M28" i="6"/>
  <c r="O28" i="6"/>
  <c r="P28" i="6"/>
  <c r="Q28" i="6"/>
  <c r="E28" i="6"/>
  <c r="E26" i="6"/>
  <c r="D35" i="3"/>
  <c r="E35" i="3"/>
  <c r="D24" i="6"/>
  <c r="AA23" i="6"/>
  <c r="AB23" i="6"/>
  <c r="AC23" i="6"/>
  <c r="AD23" i="6"/>
  <c r="AE23" i="6"/>
  <c r="AF23" i="6"/>
  <c r="AG23" i="6"/>
  <c r="AH23" i="6"/>
  <c r="AI23" i="6"/>
  <c r="AJ23" i="6"/>
  <c r="AK23" i="6"/>
  <c r="AL23" i="6"/>
  <c r="AM23" i="6"/>
  <c r="AN23" i="6"/>
  <c r="AO23" i="6"/>
  <c r="AP23" i="6"/>
  <c r="AQ23" i="6"/>
  <c r="AR23" i="6"/>
  <c r="AS23" i="6"/>
  <c r="AT23" i="6"/>
  <c r="AU23" i="6"/>
  <c r="AV23" i="6"/>
  <c r="AW23" i="6"/>
  <c r="E35" i="5"/>
  <c r="E34" i="5"/>
  <c r="D36" i="5"/>
  <c r="D44" i="5"/>
  <c r="F35" i="5"/>
  <c r="F34" i="5"/>
  <c r="G35" i="5"/>
  <c r="G34" i="5"/>
  <c r="H35" i="5"/>
  <c r="H34" i="5"/>
  <c r="I35" i="5"/>
  <c r="I34" i="5"/>
  <c r="J35" i="5"/>
  <c r="K35" i="5"/>
  <c r="K34" i="5"/>
  <c r="L35" i="5"/>
  <c r="L34" i="5"/>
  <c r="M35" i="5"/>
  <c r="M34" i="5"/>
  <c r="N35" i="5"/>
  <c r="N34" i="5"/>
  <c r="O35" i="5"/>
  <c r="P35" i="5"/>
  <c r="P34" i="5"/>
  <c r="Q35" i="5"/>
  <c r="Q34" i="5"/>
  <c r="R35" i="5"/>
  <c r="R34" i="5"/>
  <c r="S35" i="5"/>
  <c r="S34" i="5"/>
  <c r="T35" i="5"/>
  <c r="T34" i="5"/>
  <c r="U35" i="5"/>
  <c r="U34" i="5"/>
  <c r="V35" i="5"/>
  <c r="V34" i="5"/>
  <c r="W35" i="5"/>
  <c r="X35" i="5"/>
  <c r="X34" i="5"/>
  <c r="Y35" i="5"/>
  <c r="Y34" i="5"/>
  <c r="Z35" i="5"/>
  <c r="D47" i="5"/>
  <c r="D46" i="5"/>
  <c r="F41" i="5"/>
  <c r="F43" i="5"/>
  <c r="E41" i="5"/>
  <c r="E43" i="5"/>
  <c r="G41" i="5"/>
  <c r="G43" i="5"/>
  <c r="H41" i="5"/>
  <c r="H43" i="5"/>
  <c r="I41" i="5"/>
  <c r="I43" i="5"/>
  <c r="J41" i="5"/>
  <c r="J43" i="5"/>
  <c r="K41" i="5"/>
  <c r="K43" i="5"/>
  <c r="L41" i="5"/>
  <c r="L43" i="5"/>
  <c r="M41" i="5"/>
  <c r="M43" i="5"/>
  <c r="N41" i="5"/>
  <c r="N43" i="5"/>
  <c r="O41" i="5"/>
  <c r="O43" i="5"/>
  <c r="P41" i="5"/>
  <c r="P43" i="5"/>
  <c r="Q41" i="5"/>
  <c r="Q43" i="5"/>
  <c r="R41" i="5"/>
  <c r="R43" i="5"/>
  <c r="S41" i="5"/>
  <c r="S43" i="5"/>
  <c r="T41" i="5"/>
  <c r="T43" i="5"/>
  <c r="U41" i="5"/>
  <c r="U43" i="5"/>
  <c r="V41" i="5"/>
  <c r="V43" i="5"/>
  <c r="W41" i="5"/>
  <c r="W43" i="5"/>
  <c r="X41" i="5"/>
  <c r="X43" i="5"/>
  <c r="Y41" i="5"/>
  <c r="Y43" i="5"/>
  <c r="Z41" i="5"/>
  <c r="Z43" i="5"/>
  <c r="AA41" i="5"/>
  <c r="AA43" i="5"/>
  <c r="AB41" i="5"/>
  <c r="AB43" i="5"/>
  <c r="AC41" i="5"/>
  <c r="AC43" i="5"/>
  <c r="AD41" i="5"/>
  <c r="AD43" i="5"/>
  <c r="AE41" i="5"/>
  <c r="AE43" i="5"/>
  <c r="AF41" i="5"/>
  <c r="AF43" i="5"/>
  <c r="AG41" i="5"/>
  <c r="AG43" i="5"/>
  <c r="AH41" i="5"/>
  <c r="AH43" i="5"/>
  <c r="AI41" i="5"/>
  <c r="AI43" i="5"/>
  <c r="AJ41" i="5"/>
  <c r="AJ43" i="5"/>
  <c r="AK41" i="5"/>
  <c r="AK43" i="5"/>
  <c r="AL41" i="5"/>
  <c r="AL43" i="5"/>
  <c r="AM41" i="5"/>
  <c r="AM43" i="5"/>
  <c r="AN41" i="5"/>
  <c r="AN43" i="5"/>
  <c r="AO41" i="5"/>
  <c r="AO43" i="5"/>
  <c r="AP41" i="5"/>
  <c r="AP43" i="5"/>
  <c r="AQ41" i="5"/>
  <c r="AQ43" i="5"/>
  <c r="AR41" i="5"/>
  <c r="AR43" i="5"/>
  <c r="AS41" i="5"/>
  <c r="AS43" i="5"/>
  <c r="AT41" i="5"/>
  <c r="AT43" i="5"/>
  <c r="AU41" i="5"/>
  <c r="AU43" i="5"/>
  <c r="AV41" i="5"/>
  <c r="AV43" i="5"/>
  <c r="AW41" i="5"/>
  <c r="AW43" i="5"/>
  <c r="AX41" i="5"/>
  <c r="AX43" i="5"/>
  <c r="AY41" i="5"/>
  <c r="AY43" i="5"/>
  <c r="AZ41" i="5"/>
  <c r="AZ43" i="5"/>
  <c r="BA41" i="5"/>
  <c r="BA43" i="5"/>
  <c r="BB41" i="5"/>
  <c r="BB43" i="5"/>
  <c r="BC41" i="5"/>
  <c r="BC43" i="5"/>
  <c r="BD41" i="5"/>
  <c r="BD43" i="5"/>
  <c r="BE41" i="5"/>
  <c r="BE43" i="5"/>
  <c r="BF41" i="5"/>
  <c r="BF43" i="5"/>
  <c r="BG41" i="5"/>
  <c r="BG43" i="5"/>
  <c r="BH41" i="5"/>
  <c r="BH43" i="5"/>
  <c r="BI41" i="5"/>
  <c r="BI43" i="5"/>
  <c r="BJ41" i="5"/>
  <c r="BJ43" i="5"/>
  <c r="BK41" i="5"/>
  <c r="BK43" i="5"/>
  <c r="BL41" i="5"/>
  <c r="BL43" i="5"/>
  <c r="BM41" i="5"/>
  <c r="BM43" i="5"/>
  <c r="BN41" i="5"/>
  <c r="BN43" i="5"/>
  <c r="BO41" i="5"/>
  <c r="BO43" i="5"/>
  <c r="BP41" i="5"/>
  <c r="BP43" i="5"/>
  <c r="D41" i="5"/>
  <c r="F31" i="5"/>
  <c r="F33" i="5"/>
  <c r="E31" i="5"/>
  <c r="E33" i="5"/>
  <c r="G31" i="5"/>
  <c r="G33" i="5"/>
  <c r="H31" i="5"/>
  <c r="H33" i="5"/>
  <c r="I31" i="5"/>
  <c r="I33" i="5"/>
  <c r="J31" i="5"/>
  <c r="J33" i="5"/>
  <c r="K31" i="5"/>
  <c r="K33" i="5"/>
  <c r="L31" i="5"/>
  <c r="L33" i="5"/>
  <c r="M31" i="5"/>
  <c r="M33" i="5"/>
  <c r="N31" i="5"/>
  <c r="N33" i="5"/>
  <c r="O31" i="5"/>
  <c r="O33" i="5"/>
  <c r="P31" i="5"/>
  <c r="P33" i="5"/>
  <c r="Q31" i="5"/>
  <c r="Q33" i="5"/>
  <c r="R31" i="5"/>
  <c r="R33" i="5"/>
  <c r="S31" i="5"/>
  <c r="S33" i="5"/>
  <c r="T31" i="5"/>
  <c r="T33" i="5"/>
  <c r="U31" i="5"/>
  <c r="U33" i="5"/>
  <c r="V31" i="5"/>
  <c r="V33" i="5"/>
  <c r="W31" i="5"/>
  <c r="W33" i="5"/>
  <c r="X31" i="5"/>
  <c r="X33" i="5"/>
  <c r="Y31" i="5"/>
  <c r="Y33" i="5"/>
  <c r="Z31" i="5"/>
  <c r="Z33" i="5"/>
  <c r="AA31" i="5"/>
  <c r="AA33" i="5"/>
  <c r="AB31" i="5"/>
  <c r="AB33" i="5"/>
  <c r="AC31" i="5"/>
  <c r="AC33" i="5"/>
  <c r="AD31" i="5"/>
  <c r="AD33" i="5"/>
  <c r="AE31" i="5"/>
  <c r="AE33" i="5"/>
  <c r="AF31" i="5"/>
  <c r="AF33" i="5"/>
  <c r="AG31" i="5"/>
  <c r="AG33" i="5"/>
  <c r="AH31" i="5"/>
  <c r="AH33" i="5"/>
  <c r="AI31" i="5"/>
  <c r="AI33" i="5"/>
  <c r="AJ31" i="5"/>
  <c r="AJ33" i="5"/>
  <c r="AK31" i="5"/>
  <c r="AK33" i="5"/>
  <c r="AL31" i="5"/>
  <c r="AL33" i="5"/>
  <c r="AM31" i="5"/>
  <c r="AM33" i="5"/>
  <c r="AN31" i="5"/>
  <c r="AN33" i="5"/>
  <c r="AO31" i="5"/>
  <c r="AO33" i="5"/>
  <c r="AP31" i="5"/>
  <c r="AP33" i="5"/>
  <c r="AQ31" i="5"/>
  <c r="AQ33" i="5"/>
  <c r="AR31" i="5"/>
  <c r="AR33" i="5"/>
  <c r="AS31" i="5"/>
  <c r="AS33" i="5"/>
  <c r="AT31" i="5"/>
  <c r="AT33" i="5"/>
  <c r="AU31" i="5"/>
  <c r="AU33" i="5"/>
  <c r="AV31" i="5"/>
  <c r="AV33" i="5"/>
  <c r="AW31" i="5"/>
  <c r="AW33" i="5"/>
  <c r="AX31" i="5"/>
  <c r="AX33" i="5"/>
  <c r="AY31" i="5"/>
  <c r="AY33" i="5"/>
  <c r="AZ31" i="5"/>
  <c r="AZ33" i="5"/>
  <c r="BA31" i="5"/>
  <c r="BA33" i="5"/>
  <c r="BB31" i="5"/>
  <c r="BB33" i="5"/>
  <c r="BC31" i="5"/>
  <c r="BC33" i="5"/>
  <c r="BD31" i="5"/>
  <c r="BD33" i="5"/>
  <c r="BE31" i="5"/>
  <c r="BE33" i="5"/>
  <c r="BF31" i="5"/>
  <c r="BF33" i="5"/>
  <c r="BG31" i="5"/>
  <c r="BG33" i="5"/>
  <c r="BH31" i="5"/>
  <c r="BH33" i="5"/>
  <c r="BI31" i="5"/>
  <c r="BI33" i="5"/>
  <c r="BJ31" i="5"/>
  <c r="BJ33" i="5"/>
  <c r="BK31" i="5"/>
  <c r="BK33" i="5"/>
  <c r="BL31" i="5"/>
  <c r="BL33" i="5"/>
  <c r="BM31" i="5"/>
  <c r="BM33" i="5"/>
  <c r="BN31" i="5"/>
  <c r="BN33" i="5"/>
  <c r="BO31" i="5"/>
  <c r="BO33" i="5"/>
  <c r="BP31" i="5"/>
  <c r="BP33" i="5"/>
  <c r="D35" i="5"/>
  <c r="D31" i="5"/>
  <c r="D17" i="4"/>
  <c r="D16" i="4"/>
  <c r="D34" i="3"/>
  <c r="D40" i="3"/>
  <c r="D41" i="3"/>
  <c r="E41" i="3"/>
  <c r="D33" i="3"/>
  <c r="D39" i="3"/>
  <c r="E30" i="3"/>
  <c r="E31" i="3"/>
  <c r="F30" i="3"/>
  <c r="F31" i="3"/>
  <c r="G30" i="3"/>
  <c r="G31" i="3"/>
  <c r="H30" i="3"/>
  <c r="H31" i="3"/>
  <c r="I30" i="3"/>
  <c r="I31" i="3"/>
  <c r="J30" i="3"/>
  <c r="J31" i="3"/>
  <c r="K30" i="3"/>
  <c r="K31" i="3"/>
  <c r="L30" i="3"/>
  <c r="L31" i="3"/>
  <c r="M30" i="3"/>
  <c r="M31" i="3"/>
  <c r="N30" i="3"/>
  <c r="N31" i="3"/>
  <c r="O30" i="3"/>
  <c r="O31" i="3"/>
  <c r="P30" i="3"/>
  <c r="P31" i="3"/>
  <c r="Q30" i="3"/>
  <c r="Q31" i="3"/>
  <c r="R30" i="3"/>
  <c r="R31" i="3"/>
  <c r="S30" i="3"/>
  <c r="S31" i="3"/>
  <c r="T30" i="3"/>
  <c r="T31" i="3"/>
  <c r="U30" i="3"/>
  <c r="U31" i="3"/>
  <c r="V30" i="3"/>
  <c r="V31" i="3"/>
  <c r="W30" i="3"/>
  <c r="W31" i="3"/>
  <c r="X30" i="3"/>
  <c r="X31" i="3"/>
  <c r="Y30" i="3"/>
  <c r="Y31" i="3"/>
  <c r="F74" i="8"/>
  <c r="Z30" i="3"/>
  <c r="AA30" i="3"/>
  <c r="H73" i="8"/>
  <c r="AA31" i="3"/>
  <c r="H74" i="8"/>
  <c r="AB30" i="3"/>
  <c r="AC30" i="3"/>
  <c r="J73" i="8"/>
  <c r="AC31" i="3"/>
  <c r="J74" i="8"/>
  <c r="AD30" i="3"/>
  <c r="AE30" i="3"/>
  <c r="L73" i="8"/>
  <c r="AE31" i="3"/>
  <c r="L74" i="8"/>
  <c r="AF30" i="3"/>
  <c r="AG30" i="3"/>
  <c r="N73" i="8"/>
  <c r="AG31" i="3"/>
  <c r="N74" i="8"/>
  <c r="AH30" i="3"/>
  <c r="AI30" i="3"/>
  <c r="P73" i="8"/>
  <c r="AI31" i="3"/>
  <c r="P74" i="8"/>
  <c r="AJ30" i="3"/>
  <c r="AK30" i="3"/>
  <c r="R73" i="8"/>
  <c r="AK31" i="3"/>
  <c r="R74" i="8"/>
  <c r="AL30" i="3"/>
  <c r="AM30" i="3"/>
  <c r="T73" i="8"/>
  <c r="AM31" i="3"/>
  <c r="T74" i="8"/>
  <c r="AN30" i="3"/>
  <c r="AO30" i="3"/>
  <c r="V73" i="8"/>
  <c r="AO31" i="3"/>
  <c r="V74" i="8"/>
  <c r="AP30" i="3"/>
  <c r="AQ30" i="3"/>
  <c r="X73" i="8"/>
  <c r="AQ31" i="3"/>
  <c r="X74" i="8"/>
  <c r="AR30" i="3"/>
  <c r="AS30" i="3"/>
  <c r="Z73" i="8"/>
  <c r="AS31" i="3"/>
  <c r="Z74" i="8"/>
  <c r="AT30" i="3"/>
  <c r="AU30" i="3"/>
  <c r="AB73" i="8"/>
  <c r="AU31" i="3"/>
  <c r="AB74" i="8"/>
  <c r="AV30" i="3"/>
  <c r="AW30" i="3"/>
  <c r="AD73" i="8"/>
  <c r="AW31" i="3"/>
  <c r="AD74" i="8"/>
  <c r="AX30" i="3"/>
  <c r="AY30" i="3"/>
  <c r="AF73" i="8"/>
  <c r="AY31" i="3"/>
  <c r="AF74" i="8"/>
  <c r="AZ30" i="3"/>
  <c r="BA30" i="3"/>
  <c r="AH73" i="8"/>
  <c r="BA31" i="3"/>
  <c r="AH74" i="8"/>
  <c r="BB30" i="3"/>
  <c r="BC30" i="3"/>
  <c r="AJ73" i="8"/>
  <c r="BC31" i="3"/>
  <c r="AJ74" i="8"/>
  <c r="BD30" i="3"/>
  <c r="BE30" i="3"/>
  <c r="AL73" i="8"/>
  <c r="BE31" i="3"/>
  <c r="AL74" i="8"/>
  <c r="BF30" i="3"/>
  <c r="BG30" i="3"/>
  <c r="AN73" i="8"/>
  <c r="BG31" i="3"/>
  <c r="AN74" i="8"/>
  <c r="BH30" i="3"/>
  <c r="BI30" i="3"/>
  <c r="AP73" i="8"/>
  <c r="BI31" i="3"/>
  <c r="AP74" i="8"/>
  <c r="BJ30" i="3"/>
  <c r="BK30" i="3"/>
  <c r="AR73" i="8"/>
  <c r="BK31" i="3"/>
  <c r="AR74" i="8"/>
  <c r="BL30" i="3"/>
  <c r="BM30" i="3"/>
  <c r="AT73" i="8"/>
  <c r="BM31" i="3"/>
  <c r="AT74" i="8"/>
  <c r="BN30" i="3"/>
  <c r="BO30" i="3"/>
  <c r="AV73" i="8"/>
  <c r="BO31" i="3"/>
  <c r="AV74" i="8"/>
  <c r="BP30" i="3"/>
  <c r="BQ30" i="3"/>
  <c r="AX73" i="8"/>
  <c r="BQ31" i="3"/>
  <c r="AX74" i="8"/>
  <c r="BR30" i="3"/>
  <c r="BS30" i="3"/>
  <c r="AZ73" i="8"/>
  <c r="BS31" i="3"/>
  <c r="AZ74" i="8"/>
  <c r="BT30" i="3"/>
  <c r="BU30" i="3"/>
  <c r="BB73" i="8"/>
  <c r="BU31" i="3"/>
  <c r="BB74" i="8"/>
  <c r="BV30" i="3"/>
  <c r="BW30" i="3"/>
  <c r="BD73" i="8"/>
  <c r="BW31" i="3"/>
  <c r="BD74" i="8"/>
  <c r="BX30" i="3"/>
  <c r="BY30" i="3"/>
  <c r="BF73" i="8"/>
  <c r="BY31" i="3"/>
  <c r="BF74" i="8"/>
  <c r="BZ30" i="3"/>
  <c r="CA30" i="3"/>
  <c r="BH73" i="8"/>
  <c r="CA31" i="3"/>
  <c r="BH74" i="8"/>
  <c r="CB30" i="3"/>
  <c r="CC30" i="3"/>
  <c r="BJ73" i="8"/>
  <c r="CC31" i="3"/>
  <c r="BJ74" i="8"/>
  <c r="CD30" i="3"/>
  <c r="CE30" i="3"/>
  <c r="BL73" i="8"/>
  <c r="CE31" i="3"/>
  <c r="BL74" i="8"/>
  <c r="CF30" i="3"/>
  <c r="CG30" i="3"/>
  <c r="BN73" i="8"/>
  <c r="CG31" i="3"/>
  <c r="BN74" i="8"/>
  <c r="CH30" i="3"/>
  <c r="CI30" i="3"/>
  <c r="BP73" i="8"/>
  <c r="CI31" i="3"/>
  <c r="BP74" i="8"/>
  <c r="CJ30" i="3"/>
  <c r="CK30" i="3"/>
  <c r="BR73" i="8"/>
  <c r="CK31" i="3"/>
  <c r="BR74" i="8"/>
  <c r="CL30" i="3"/>
  <c r="D30" i="3"/>
  <c r="D31" i="3"/>
  <c r="B50" i="5"/>
  <c r="AS66" i="8"/>
  <c r="AS72" i="8"/>
  <c r="G37" i="8"/>
  <c r="K39" i="8"/>
  <c r="AG38" i="8"/>
  <c r="Y37" i="8"/>
  <c r="U37" i="8"/>
  <c r="Q37" i="8"/>
  <c r="M37" i="8"/>
  <c r="I37" i="8"/>
  <c r="Y39" i="8"/>
  <c r="I39" i="8"/>
  <c r="AZ38" i="8"/>
  <c r="AV38" i="8"/>
  <c r="AX37" i="8"/>
  <c r="AX56" i="8"/>
  <c r="AX58" i="8"/>
  <c r="BB37" i="8"/>
  <c r="BB56" i="8"/>
  <c r="BB58" i="8"/>
  <c r="BQ39" i="8"/>
  <c r="BO38" i="8"/>
  <c r="BH37" i="8"/>
  <c r="BH56" i="8"/>
  <c r="BH58" i="8"/>
  <c r="BD37" i="8"/>
  <c r="BD56" i="8"/>
  <c r="BD58" i="8"/>
  <c r="AS37" i="8"/>
  <c r="AS56" i="8"/>
  <c r="AS58" i="8"/>
  <c r="AO38" i="8"/>
  <c r="H38" i="8"/>
  <c r="AO37" i="8"/>
  <c r="AO56" i="8"/>
  <c r="AO58" i="8"/>
  <c r="AU31" i="8"/>
  <c r="AK37" i="8"/>
  <c r="AK56" i="8"/>
  <c r="AK58" i="8"/>
  <c r="AG37" i="8"/>
  <c r="AG56" i="8"/>
  <c r="AG58" i="8"/>
  <c r="AS39" i="8"/>
  <c r="BM37" i="8"/>
  <c r="BM56" i="8"/>
  <c r="BM58" i="8"/>
  <c r="BI37" i="8"/>
  <c r="BI56" i="8"/>
  <c r="BI58" i="8"/>
  <c r="BE37" i="8"/>
  <c r="BE56" i="8"/>
  <c r="BE58" i="8"/>
  <c r="AX38" i="8"/>
  <c r="AX39" i="8"/>
  <c r="AQ38" i="8"/>
  <c r="BA37" i="8"/>
  <c r="BA56" i="8"/>
  <c r="AP39" i="8"/>
  <c r="AH39" i="8"/>
  <c r="BB38" i="8"/>
  <c r="BF37" i="8"/>
  <c r="BF56" i="8"/>
  <c r="BF58" i="8"/>
  <c r="BS38" i="8"/>
  <c r="BP38" i="8"/>
  <c r="BL38" i="8"/>
  <c r="BH38" i="8"/>
  <c r="BD38" i="8"/>
  <c r="BR37" i="8"/>
  <c r="BR56" i="8"/>
  <c r="AW39" i="8"/>
  <c r="AT38" i="8"/>
  <c r="BN37" i="8"/>
  <c r="BN56" i="8"/>
  <c r="BN58" i="8"/>
  <c r="AM111" i="8"/>
  <c r="AK111" i="8"/>
  <c r="BO37" i="8"/>
  <c r="BO56" i="8"/>
  <c r="BO58" i="8"/>
  <c r="AR38" i="8"/>
  <c r="AR112" i="8"/>
  <c r="BM39" i="8"/>
  <c r="AN38" i="8"/>
  <c r="AO112" i="8"/>
  <c r="AA38" i="8"/>
  <c r="AG39" i="8"/>
  <c r="AZ37" i="8"/>
  <c r="AZ56" i="8"/>
  <c r="AZ58" i="8"/>
  <c r="AV37" i="8"/>
  <c r="AV56" i="8"/>
  <c r="BQ37" i="8"/>
  <c r="BQ56" i="8"/>
  <c r="BQ58" i="8"/>
  <c r="BJ38" i="8"/>
  <c r="AW37" i="8"/>
  <c r="AW56" i="8"/>
  <c r="AW58" i="8"/>
  <c r="BA39" i="8"/>
  <c r="AR39" i="8"/>
  <c r="AP38" i="8"/>
  <c r="AP112" i="8"/>
  <c r="AJ38" i="8"/>
  <c r="AF38" i="8"/>
  <c r="AF39" i="8"/>
  <c r="BP37" i="8"/>
  <c r="BP56" i="8"/>
  <c r="BP58" i="8"/>
  <c r="AL111" i="8"/>
  <c r="AC111" i="8"/>
  <c r="BJ39" i="8"/>
  <c r="BI39" i="8"/>
  <c r="AA39" i="8"/>
  <c r="AB39" i="8"/>
  <c r="AL39" i="8"/>
  <c r="BP112" i="8"/>
  <c r="AJ39" i="8"/>
  <c r="BL37" i="8"/>
  <c r="BL56" i="8"/>
  <c r="BI111" i="8"/>
  <c r="BF39" i="8"/>
  <c r="BE39" i="8"/>
  <c r="AO39" i="8"/>
  <c r="AN39" i="8"/>
  <c r="AD39" i="8"/>
  <c r="AD111" i="8"/>
  <c r="BQ38" i="8"/>
  <c r="BQ112" i="8"/>
  <c r="BM38" i="8"/>
  <c r="BM112" i="8"/>
  <c r="BI38" i="8"/>
  <c r="BE38" i="8"/>
  <c r="BE112" i="8"/>
  <c r="BA38" i="8"/>
  <c r="BA112" i="8"/>
  <c r="AW38" i="8"/>
  <c r="AW112" i="8"/>
  <c r="AS38" i="8"/>
  <c r="AS112" i="8"/>
  <c r="BS39" i="8"/>
  <c r="BO39" i="8"/>
  <c r="AQ39" i="8"/>
  <c r="AT39" i="8"/>
  <c r="BP39" i="8"/>
  <c r="BL39" i="8"/>
  <c r="BH39" i="8"/>
  <c r="BD39" i="8"/>
  <c r="AZ39" i="8"/>
  <c r="AV39" i="8"/>
  <c r="Z38" i="8"/>
  <c r="Y38" i="8"/>
  <c r="X38" i="8"/>
  <c r="W38" i="8"/>
  <c r="V38" i="8"/>
  <c r="T38" i="8"/>
  <c r="S38" i="8"/>
  <c r="R38" i="8"/>
  <c r="Q38" i="8"/>
  <c r="P38" i="8"/>
  <c r="O38" i="8"/>
  <c r="N38" i="8"/>
  <c r="L38" i="8"/>
  <c r="K38" i="8"/>
  <c r="J38" i="8"/>
  <c r="I38" i="8"/>
  <c r="I112" i="8"/>
  <c r="G38" i="8"/>
  <c r="AM39" i="8"/>
  <c r="AI39" i="8"/>
  <c r="AE39" i="8"/>
  <c r="AE113" i="8"/>
  <c r="AF66" i="8"/>
  <c r="AF72" i="8"/>
  <c r="AR66" i="8"/>
  <c r="AR72" i="8"/>
  <c r="R112" i="8"/>
  <c r="AD113" i="8"/>
  <c r="AG112" i="8"/>
  <c r="BI112" i="8"/>
  <c r="AL113" i="8"/>
  <c r="BF113" i="8"/>
  <c r="AQ112" i="8"/>
  <c r="Z112" i="8"/>
  <c r="BB112" i="8"/>
  <c r="BP113" i="8"/>
  <c r="AK113" i="8"/>
  <c r="AC113" i="8"/>
  <c r="K112" i="8"/>
  <c r="O112" i="8"/>
  <c r="S112" i="8"/>
  <c r="W112" i="8"/>
  <c r="BM111" i="8"/>
  <c r="BI113" i="8"/>
  <c r="BQ113" i="8"/>
  <c r="BE113" i="8"/>
  <c r="AT112" i="8"/>
  <c r="H112" i="8"/>
  <c r="L112" i="8"/>
  <c r="P112" i="8"/>
  <c r="T112" i="8"/>
  <c r="X112" i="8"/>
  <c r="AJ113" i="8"/>
  <c r="AX112" i="8"/>
  <c r="BJ112" i="8"/>
  <c r="Q112" i="8"/>
  <c r="Y112" i="8"/>
  <c r="AA112" i="8"/>
  <c r="BS73" i="8"/>
  <c r="CL31" i="3"/>
  <c r="BS74" i="8"/>
  <c r="BK73" i="8"/>
  <c r="CD31" i="3"/>
  <c r="BK74" i="8"/>
  <c r="BC73" i="8"/>
  <c r="BV31" i="3"/>
  <c r="BC74" i="8"/>
  <c r="AU73" i="8"/>
  <c r="BN31" i="3"/>
  <c r="AU74" i="8"/>
  <c r="AM73" i="8"/>
  <c r="BF31" i="3"/>
  <c r="AM74" i="8"/>
  <c r="AE73" i="8"/>
  <c r="AX31" i="3"/>
  <c r="AE74" i="8"/>
  <c r="W73" i="8"/>
  <c r="AP31" i="3"/>
  <c r="W74" i="8"/>
  <c r="O73" i="8"/>
  <c r="AH31" i="3"/>
  <c r="O74" i="8"/>
  <c r="G73" i="8"/>
  <c r="Z31" i="3"/>
  <c r="G74" i="8"/>
  <c r="F15" i="7"/>
  <c r="F16" i="7"/>
  <c r="F17" i="7"/>
  <c r="CK34" i="5"/>
  <c r="CK26" i="3"/>
  <c r="CI34" i="5"/>
  <c r="CI26" i="3"/>
  <c r="CG34" i="5"/>
  <c r="CG26" i="3"/>
  <c r="CE34" i="5"/>
  <c r="CE26" i="3"/>
  <c r="CC34" i="5"/>
  <c r="CC26" i="3"/>
  <c r="CA34" i="5"/>
  <c r="CA26" i="3"/>
  <c r="BY34" i="5"/>
  <c r="BY26" i="3"/>
  <c r="BW34" i="5"/>
  <c r="BW26" i="3"/>
  <c r="BU34" i="5"/>
  <c r="BU26" i="3"/>
  <c r="BS34" i="5"/>
  <c r="BS26" i="3"/>
  <c r="BQ34" i="5"/>
  <c r="BQ26" i="3"/>
  <c r="BO34" i="5"/>
  <c r="BO26" i="3"/>
  <c r="BM34" i="5"/>
  <c r="BM26" i="3"/>
  <c r="BK34" i="5"/>
  <c r="BK26" i="3"/>
  <c r="BI34" i="5"/>
  <c r="BI26" i="3"/>
  <c r="BG34" i="5"/>
  <c r="BG26" i="3"/>
  <c r="BE34" i="5"/>
  <c r="BE26" i="3"/>
  <c r="BC34" i="5"/>
  <c r="BC26" i="3"/>
  <c r="BA34" i="5"/>
  <c r="BA26" i="3"/>
  <c r="AY34" i="5"/>
  <c r="AY26" i="3"/>
  <c r="AW34" i="5"/>
  <c r="AW26" i="3"/>
  <c r="AU34" i="5"/>
  <c r="AU26" i="3"/>
  <c r="AS34" i="5"/>
  <c r="AS26" i="3"/>
  <c r="AQ34" i="5"/>
  <c r="AQ26" i="3"/>
  <c r="AO34" i="5"/>
  <c r="AO26" i="3"/>
  <c r="AM34" i="5"/>
  <c r="AM26" i="3"/>
  <c r="AK34" i="5"/>
  <c r="AK26" i="3"/>
  <c r="AI34" i="5"/>
  <c r="AI26" i="3"/>
  <c r="AG34" i="5"/>
  <c r="AG26" i="3"/>
  <c r="AE34" i="5"/>
  <c r="AE26" i="3"/>
  <c r="AC34" i="5"/>
  <c r="AC26" i="3"/>
  <c r="Z22" i="3"/>
  <c r="AA26" i="3"/>
  <c r="BM73" i="8"/>
  <c r="CF31" i="3"/>
  <c r="BM74" i="8"/>
  <c r="BE73" i="8"/>
  <c r="BX31" i="3"/>
  <c r="BE74" i="8"/>
  <c r="AW73" i="8"/>
  <c r="BP31" i="3"/>
  <c r="AW74" i="8"/>
  <c r="AO73" i="8"/>
  <c r="BH31" i="3"/>
  <c r="AO74" i="8"/>
  <c r="AG73" i="8"/>
  <c r="AZ31" i="3"/>
  <c r="AG74" i="8"/>
  <c r="Y73" i="8"/>
  <c r="AR31" i="3"/>
  <c r="Y74" i="8"/>
  <c r="Q73" i="8"/>
  <c r="AJ31" i="3"/>
  <c r="Q74" i="8"/>
  <c r="I73" i="8"/>
  <c r="AB31" i="3"/>
  <c r="I74" i="8"/>
  <c r="BO73" i="8"/>
  <c r="CH31" i="3"/>
  <c r="BO74" i="8"/>
  <c r="BG73" i="8"/>
  <c r="BZ31" i="3"/>
  <c r="BG74" i="8"/>
  <c r="AY73" i="8"/>
  <c r="BR31" i="3"/>
  <c r="AY74" i="8"/>
  <c r="AQ73" i="8"/>
  <c r="BJ31" i="3"/>
  <c r="AQ74" i="8"/>
  <c r="AI73" i="8"/>
  <c r="BB31" i="3"/>
  <c r="AI74" i="8"/>
  <c r="AA73" i="8"/>
  <c r="AT31" i="3"/>
  <c r="AA74" i="8"/>
  <c r="S73" i="8"/>
  <c r="AL31" i="3"/>
  <c r="S74" i="8"/>
  <c r="K73" i="8"/>
  <c r="AD31" i="3"/>
  <c r="K74" i="8"/>
  <c r="BQ73" i="8"/>
  <c r="CJ31" i="3"/>
  <c r="BQ74" i="8"/>
  <c r="BI73" i="8"/>
  <c r="CB31" i="3"/>
  <c r="BI74" i="8"/>
  <c r="BA73" i="8"/>
  <c r="BT31" i="3"/>
  <c r="BA74" i="8"/>
  <c r="AS73" i="8"/>
  <c r="BL31" i="3"/>
  <c r="AS74" i="8"/>
  <c r="AK73" i="8"/>
  <c r="BD31" i="3"/>
  <c r="AK74" i="8"/>
  <c r="AC73" i="8"/>
  <c r="AV31" i="3"/>
  <c r="AC74" i="8"/>
  <c r="U73" i="8"/>
  <c r="AN31" i="3"/>
  <c r="U74" i="8"/>
  <c r="M73" i="8"/>
  <c r="AF31" i="3"/>
  <c r="M74" i="8"/>
  <c r="B49" i="5"/>
  <c r="W26" i="3"/>
  <c r="W34" i="5"/>
  <c r="R15" i="7"/>
  <c r="R16" i="7"/>
  <c r="R17" i="7"/>
  <c r="AJ116" i="1"/>
  <c r="X116" i="1"/>
  <c r="P116" i="1"/>
  <c r="L116" i="1"/>
  <c r="BP115" i="1"/>
  <c r="BP136" i="1"/>
  <c r="BP109" i="1"/>
  <c r="BG103" i="1"/>
  <c r="BG107" i="1"/>
  <c r="BG110" i="1"/>
  <c r="BG111" i="1"/>
  <c r="BG144" i="1"/>
  <c r="BB115" i="1"/>
  <c r="BB109" i="1"/>
  <c r="AZ115" i="1"/>
  <c r="AZ136" i="1"/>
  <c r="AZ109" i="1"/>
  <c r="AV115" i="1"/>
  <c r="AV136" i="1"/>
  <c r="AV109" i="1"/>
  <c r="AR103" i="1"/>
  <c r="AR110" i="1"/>
  <c r="AR111" i="1"/>
  <c r="AR144" i="1"/>
  <c r="AR107" i="1"/>
  <c r="AN115" i="1"/>
  <c r="AN109" i="1"/>
  <c r="E24" i="6"/>
  <c r="F35" i="3"/>
  <c r="K15" i="7"/>
  <c r="K17" i="7"/>
  <c r="G15" i="7"/>
  <c r="G17" i="7"/>
  <c r="G16" i="7"/>
  <c r="O26" i="3"/>
  <c r="O34" i="5"/>
  <c r="K16" i="7"/>
  <c r="J26" i="3"/>
  <c r="J34" i="5"/>
  <c r="R28" i="6"/>
  <c r="N28" i="6"/>
  <c r="J28" i="6"/>
  <c r="Z26" i="6"/>
  <c r="E15" i="7"/>
  <c r="E16" i="7"/>
  <c r="E17" i="7"/>
  <c r="K26" i="3"/>
  <c r="BC144" i="1"/>
  <c r="AQ144" i="1"/>
  <c r="W144" i="1"/>
  <c r="K144" i="1"/>
  <c r="Z28" i="6"/>
  <c r="AA28" i="6"/>
  <c r="AB28" i="6"/>
  <c r="AC28" i="6"/>
  <c r="AD28" i="6"/>
  <c r="AE28" i="6"/>
  <c r="AF28" i="6"/>
  <c r="AG28" i="6"/>
  <c r="AH28" i="6"/>
  <c r="AI28" i="6"/>
  <c r="AJ28" i="6"/>
  <c r="AK28" i="6"/>
  <c r="AL28" i="6"/>
  <c r="AM28" i="6"/>
  <c r="AN28" i="6"/>
  <c r="AO28" i="6"/>
  <c r="AP28" i="6"/>
  <c r="AQ28" i="6"/>
  <c r="AR28" i="6"/>
  <c r="AS28" i="6"/>
  <c r="AT28" i="6"/>
  <c r="AU28" i="6"/>
  <c r="AV28" i="6"/>
  <c r="AW28" i="6"/>
  <c r="AX28" i="6"/>
  <c r="AY28" i="6"/>
  <c r="AZ28" i="6"/>
  <c r="BA28" i="6"/>
  <c r="BB28" i="6"/>
  <c r="BC28" i="6"/>
  <c r="BD28" i="6"/>
  <c r="BE28" i="6"/>
  <c r="BF28" i="6"/>
  <c r="BG28" i="6"/>
  <c r="BH28" i="6"/>
  <c r="BI28" i="6"/>
  <c r="BJ28" i="6"/>
  <c r="BK28" i="6"/>
  <c r="BL28" i="6"/>
  <c r="BM28" i="6"/>
  <c r="BN28" i="6"/>
  <c r="BO28" i="6"/>
  <c r="BP28" i="6"/>
  <c r="BQ28" i="6"/>
  <c r="BR28" i="6"/>
  <c r="BS28" i="6"/>
  <c r="BT28" i="6"/>
  <c r="BU28" i="6"/>
  <c r="BV28" i="6"/>
  <c r="BW28" i="6"/>
  <c r="BX28" i="6"/>
  <c r="BY28" i="6"/>
  <c r="BZ28" i="6"/>
  <c r="CA28" i="6"/>
  <c r="CB28" i="6"/>
  <c r="CC28" i="6"/>
  <c r="CD28" i="6"/>
  <c r="CE28" i="6"/>
  <c r="CF28" i="6"/>
  <c r="CG28" i="6"/>
  <c r="CH28" i="6"/>
  <c r="CI28" i="6"/>
  <c r="CJ28" i="6"/>
  <c r="CK28" i="6"/>
  <c r="CL28" i="6"/>
  <c r="Y28" i="6"/>
  <c r="S28" i="6"/>
  <c r="W28" i="6"/>
  <c r="T28" i="6"/>
  <c r="X28" i="6"/>
  <c r="Y15" i="7"/>
  <c r="D35" i="10"/>
  <c r="Y17" i="7"/>
  <c r="Y16" i="7"/>
  <c r="U15" i="7"/>
  <c r="U16" i="7"/>
  <c r="Q14" i="7"/>
  <c r="Q26" i="6"/>
  <c r="M14" i="7"/>
  <c r="M26" i="6"/>
  <c r="I14" i="7"/>
  <c r="I26" i="6"/>
  <c r="Z15" i="7"/>
  <c r="Z17" i="7"/>
  <c r="Z16" i="7"/>
  <c r="V15" i="7"/>
  <c r="V16" i="7"/>
  <c r="V17" i="7"/>
  <c r="N15" i="7"/>
  <c r="N16" i="7"/>
  <c r="N17" i="7"/>
  <c r="D22" i="3"/>
  <c r="D34" i="5"/>
  <c r="E36" i="5"/>
  <c r="D27" i="6"/>
  <c r="CL34" i="5"/>
  <c r="CL26" i="3"/>
  <c r="CJ34" i="5"/>
  <c r="CJ26" i="3"/>
  <c r="CH34" i="5"/>
  <c r="CH26" i="3"/>
  <c r="CF34" i="5"/>
  <c r="CF26" i="3"/>
  <c r="CD34" i="5"/>
  <c r="CD26" i="3"/>
  <c r="CB34" i="5"/>
  <c r="CB26" i="3"/>
  <c r="BZ34" i="5"/>
  <c r="BZ26" i="3"/>
  <c r="BX34" i="5"/>
  <c r="BX26" i="3"/>
  <c r="BV34" i="5"/>
  <c r="BV26" i="3"/>
  <c r="BT34" i="5"/>
  <c r="BT26" i="3"/>
  <c r="BR34" i="5"/>
  <c r="BR26" i="3"/>
  <c r="BP34" i="5"/>
  <c r="BP26" i="3"/>
  <c r="BN34" i="5"/>
  <c r="BN26" i="3"/>
  <c r="BL34" i="5"/>
  <c r="BL26" i="3"/>
  <c r="BJ34" i="5"/>
  <c r="BJ26" i="3"/>
  <c r="BH34" i="5"/>
  <c r="BH26" i="3"/>
  <c r="BF34" i="5"/>
  <c r="BF26" i="3"/>
  <c r="BD34" i="5"/>
  <c r="BD26" i="3"/>
  <c r="BB34" i="5"/>
  <c r="BB26" i="3"/>
  <c r="AZ34" i="5"/>
  <c r="AZ26" i="3"/>
  <c r="AX34" i="5"/>
  <c r="AX26" i="3"/>
  <c r="AV34" i="5"/>
  <c r="AV26" i="3"/>
  <c r="AT34" i="5"/>
  <c r="AT26" i="3"/>
  <c r="AR34" i="5"/>
  <c r="AR26" i="3"/>
  <c r="AP34" i="5"/>
  <c r="AP26" i="3"/>
  <c r="AN34" i="5"/>
  <c r="AN26" i="3"/>
  <c r="AL34" i="5"/>
  <c r="AL26" i="3"/>
  <c r="AJ34" i="5"/>
  <c r="AJ26" i="3"/>
  <c r="AH34" i="5"/>
  <c r="AH26" i="3"/>
  <c r="AF34" i="5"/>
  <c r="AF26" i="3"/>
  <c r="AD34" i="5"/>
  <c r="AD26" i="3"/>
  <c r="AB34" i="5"/>
  <c r="AB26" i="3"/>
  <c r="P117" i="1"/>
  <c r="X15" i="7"/>
  <c r="X17" i="7"/>
  <c r="X16" i="7"/>
  <c r="T15" i="7"/>
  <c r="T17" i="7"/>
  <c r="T16" i="7"/>
  <c r="P26" i="6"/>
  <c r="P14" i="7"/>
  <c r="L26" i="6"/>
  <c r="L14" i="7"/>
  <c r="H26" i="6"/>
  <c r="H14" i="7"/>
  <c r="J15" i="7"/>
  <c r="J16" i="7"/>
  <c r="J17" i="7"/>
  <c r="E26" i="3"/>
  <c r="BO144" i="1"/>
  <c r="BK144" i="1"/>
  <c r="AM144" i="1"/>
  <c r="AA144" i="1"/>
  <c r="G144" i="1"/>
  <c r="AD22" i="8"/>
  <c r="AA142" i="1"/>
  <c r="N22" i="8"/>
  <c r="K142" i="1"/>
  <c r="BM129" i="1"/>
  <c r="BM128" i="1"/>
  <c r="BM126" i="1"/>
  <c r="BM140" i="1"/>
  <c r="BM130" i="1"/>
  <c r="BN24" i="8"/>
  <c r="BN41" i="8"/>
  <c r="BK155" i="1"/>
  <c r="AJ129" i="1"/>
  <c r="AJ128" i="1"/>
  <c r="AM22" i="8"/>
  <c r="AJ126" i="1"/>
  <c r="AJ140" i="1"/>
  <c r="AJ123" i="1"/>
  <c r="AJ136" i="1"/>
  <c r="AJ130" i="1"/>
  <c r="AK24" i="8"/>
  <c r="AH155" i="1"/>
  <c r="AB129" i="1"/>
  <c r="AB128" i="1"/>
  <c r="AB126" i="1"/>
  <c r="AB140" i="1"/>
  <c r="AB123" i="1"/>
  <c r="AB136" i="1"/>
  <c r="AB130" i="1"/>
  <c r="AC24" i="8"/>
  <c r="Z155" i="1"/>
  <c r="T129" i="1"/>
  <c r="T128" i="1"/>
  <c r="T126" i="1"/>
  <c r="T140" i="1"/>
  <c r="T123" i="1"/>
  <c r="T136" i="1"/>
  <c r="T130" i="1"/>
  <c r="U24" i="8"/>
  <c r="R155" i="1"/>
  <c r="L129" i="1"/>
  <c r="L128" i="1"/>
  <c r="O22" i="8"/>
  <c r="L126" i="1"/>
  <c r="L140" i="1"/>
  <c r="L123" i="1"/>
  <c r="L136" i="1"/>
  <c r="L130" i="1"/>
  <c r="M24" i="8"/>
  <c r="J155" i="1"/>
  <c r="BJ129" i="1"/>
  <c r="BJ123" i="1"/>
  <c r="BJ128" i="1"/>
  <c r="BJ130" i="1"/>
  <c r="BM25" i="8"/>
  <c r="BJ126" i="1"/>
  <c r="BK24" i="8"/>
  <c r="BH155" i="1"/>
  <c r="BB129" i="1"/>
  <c r="BB123" i="1"/>
  <c r="BB136" i="1"/>
  <c r="BB128" i="1"/>
  <c r="BE22" i="8"/>
  <c r="BB130" i="1"/>
  <c r="BE25" i="8"/>
  <c r="BE41" i="8"/>
  <c r="BB126" i="1"/>
  <c r="BC24" i="8"/>
  <c r="AZ155" i="1"/>
  <c r="BB23" i="8"/>
  <c r="AY133" i="1"/>
  <c r="AY143" i="1"/>
  <c r="BS25" i="8"/>
  <c r="BS41" i="8"/>
  <c r="BO25" i="8"/>
  <c r="BO41" i="8"/>
  <c r="BK25" i="8"/>
  <c r="BK41" i="8"/>
  <c r="BG25" i="8"/>
  <c r="BC25" i="8"/>
  <c r="BC41" i="8"/>
  <c r="AY25" i="8"/>
  <c r="AU25" i="8"/>
  <c r="AQ25" i="8"/>
  <c r="AQ41" i="8"/>
  <c r="AI25" i="8"/>
  <c r="AI41" i="8"/>
  <c r="AA25" i="8"/>
  <c r="AA41" i="8"/>
  <c r="S25" i="8"/>
  <c r="K25" i="8"/>
  <c r="K41" i="8"/>
  <c r="BQ23" i="8"/>
  <c r="BN133" i="1"/>
  <c r="AN23" i="8"/>
  <c r="AK133" i="1"/>
  <c r="AK23" i="8"/>
  <c r="AH133" i="1"/>
  <c r="AF23" i="8"/>
  <c r="AC133" i="1"/>
  <c r="AC23" i="8"/>
  <c r="AC31" i="8"/>
  <c r="Z133" i="1"/>
  <c r="X23" i="8"/>
  <c r="U133" i="1"/>
  <c r="U23" i="8"/>
  <c r="R133" i="1"/>
  <c r="P23" i="8"/>
  <c r="M133" i="1"/>
  <c r="M23" i="8"/>
  <c r="J133" i="1"/>
  <c r="H23" i="8"/>
  <c r="E133" i="1"/>
  <c r="BK23" i="8"/>
  <c r="BH133" i="1"/>
  <c r="BF23" i="8"/>
  <c r="BC133" i="1"/>
  <c r="AP129" i="1"/>
  <c r="AP123" i="1"/>
  <c r="AP136" i="1"/>
  <c r="AP128" i="1"/>
  <c r="AX117" i="1"/>
  <c r="AX140" i="1"/>
  <c r="AT117" i="1"/>
  <c r="AT140" i="1"/>
  <c r="AL117" i="1"/>
  <c r="AL140" i="1"/>
  <c r="Z117" i="1"/>
  <c r="Z140" i="1"/>
  <c r="R117" i="1"/>
  <c r="R140" i="1"/>
  <c r="N117" i="1"/>
  <c r="N140" i="1"/>
  <c r="F117" i="1"/>
  <c r="F140" i="1"/>
  <c r="F116" i="1"/>
  <c r="F142" i="1"/>
  <c r="BK103" i="1"/>
  <c r="BK107" i="1"/>
  <c r="BK110" i="1"/>
  <c r="BF115" i="1"/>
  <c r="AU103" i="1"/>
  <c r="AU107" i="1"/>
  <c r="AU110" i="1"/>
  <c r="BL25" i="8"/>
  <c r="BL41" i="8"/>
  <c r="BH25" i="8"/>
  <c r="BH41" i="8"/>
  <c r="BD25" i="8"/>
  <c r="BD41" i="8"/>
  <c r="AZ25" i="8"/>
  <c r="AZ41" i="8"/>
  <c r="AV25" i="8"/>
  <c r="AV41" i="8"/>
  <c r="AR25" i="8"/>
  <c r="AR41" i="8"/>
  <c r="AN25" i="8"/>
  <c r="AN41" i="8"/>
  <c r="AJ25" i="8"/>
  <c r="AJ41" i="8"/>
  <c r="AF25" i="8"/>
  <c r="AF41" i="8"/>
  <c r="AB25" i="8"/>
  <c r="AB41" i="8"/>
  <c r="X25" i="8"/>
  <c r="X41" i="8"/>
  <c r="T25" i="8"/>
  <c r="T41" i="8"/>
  <c r="P25" i="8"/>
  <c r="L25" i="8"/>
  <c r="H25" i="8"/>
  <c r="H41" i="8"/>
  <c r="D128" i="1"/>
  <c r="D129" i="1"/>
  <c r="D126" i="1"/>
  <c r="D140" i="1"/>
  <c r="D123" i="1"/>
  <c r="D136" i="1"/>
  <c r="BO155" i="1"/>
  <c r="BR24" i="8"/>
  <c r="AN129" i="1"/>
  <c r="AN128" i="1"/>
  <c r="AQ22" i="8"/>
  <c r="AN126" i="1"/>
  <c r="AN140" i="1"/>
  <c r="AN123" i="1"/>
  <c r="AN136" i="1"/>
  <c r="AF129" i="1"/>
  <c r="AF128" i="1"/>
  <c r="AF126" i="1"/>
  <c r="AF140" i="1"/>
  <c r="AF123" i="1"/>
  <c r="AF136" i="1"/>
  <c r="X129" i="1"/>
  <c r="X128" i="1"/>
  <c r="AA22" i="8"/>
  <c r="X126" i="1"/>
  <c r="X140" i="1"/>
  <c r="X123" i="1"/>
  <c r="X136" i="1"/>
  <c r="P129" i="1"/>
  <c r="P128" i="1"/>
  <c r="S22" i="8"/>
  <c r="P126" i="1"/>
  <c r="P140" i="1"/>
  <c r="P123" i="1"/>
  <c r="P136" i="1"/>
  <c r="H129" i="1"/>
  <c r="H128" i="1"/>
  <c r="H126" i="1"/>
  <c r="H140" i="1"/>
  <c r="H123" i="1"/>
  <c r="H136" i="1"/>
  <c r="I65" i="8"/>
  <c r="BF129" i="1"/>
  <c r="BF123" i="1"/>
  <c r="BF136" i="1"/>
  <c r="BF128" i="1"/>
  <c r="BG24" i="8"/>
  <c r="BD155" i="1"/>
  <c r="AT129" i="1"/>
  <c r="AT123" i="1"/>
  <c r="AT136" i="1"/>
  <c r="AT128" i="1"/>
  <c r="AU24" i="8"/>
  <c r="AR155" i="1"/>
  <c r="AT23" i="8"/>
  <c r="AQ133" i="1"/>
  <c r="BO103" i="1"/>
  <c r="BO107" i="1"/>
  <c r="BO110" i="1"/>
  <c r="BJ136" i="1"/>
  <c r="BJ115" i="1"/>
  <c r="AW115" i="1"/>
  <c r="AW136" i="1"/>
  <c r="AW109" i="1"/>
  <c r="G25" i="8"/>
  <c r="G41" i="8"/>
  <c r="BQ25" i="8"/>
  <c r="BI25" i="8"/>
  <c r="BI41" i="8"/>
  <c r="BA25" i="8"/>
  <c r="BA41" i="8"/>
  <c r="AW25" i="8"/>
  <c r="AW41" i="8"/>
  <c r="AS25" i="8"/>
  <c r="AS41" i="8"/>
  <c r="AO25" i="8"/>
  <c r="AO41" i="8"/>
  <c r="AK25" i="8"/>
  <c r="AK41" i="8"/>
  <c r="AG25" i="8"/>
  <c r="AG41" i="8"/>
  <c r="AC25" i="8"/>
  <c r="AC41" i="8"/>
  <c r="Y25" i="8"/>
  <c r="Y41" i="8"/>
  <c r="U25" i="8"/>
  <c r="U41" i="8"/>
  <c r="Q25" i="8"/>
  <c r="Q41" i="8"/>
  <c r="M25" i="8"/>
  <c r="M41" i="8"/>
  <c r="I25" i="8"/>
  <c r="I41" i="8"/>
  <c r="AR23" i="8"/>
  <c r="AR67" i="8"/>
  <c r="AO133" i="1"/>
  <c r="AO23" i="8"/>
  <c r="AL133" i="1"/>
  <c r="AJ23" i="8"/>
  <c r="AG133" i="1"/>
  <c r="AG23" i="8"/>
  <c r="AD133" i="1"/>
  <c r="AB23" i="8"/>
  <c r="Y133" i="1"/>
  <c r="Y23" i="8"/>
  <c r="Y31" i="8"/>
  <c r="V133" i="1"/>
  <c r="T23" i="8"/>
  <c r="Q133" i="1"/>
  <c r="Q23" i="8"/>
  <c r="N133" i="1"/>
  <c r="L23" i="8"/>
  <c r="I133" i="1"/>
  <c r="I23" i="8"/>
  <c r="F133" i="1"/>
  <c r="BJ23" i="8"/>
  <c r="BG133" i="1"/>
  <c r="BG23" i="8"/>
  <c r="BD133" i="1"/>
  <c r="AX129" i="1"/>
  <c r="AX123" i="1"/>
  <c r="AX136" i="1"/>
  <c r="AX128" i="1"/>
  <c r="AY24" i="8"/>
  <c r="AV155" i="1"/>
  <c r="AX23" i="8"/>
  <c r="AU133" i="1"/>
  <c r="BN117" i="1"/>
  <c r="BN140" i="1"/>
  <c r="BJ117" i="1"/>
  <c r="BJ140" i="1"/>
  <c r="BF117" i="1"/>
  <c r="BF140" i="1"/>
  <c r="BB117" i="1"/>
  <c r="BB140" i="1"/>
  <c r="AP117" i="1"/>
  <c r="AP140" i="1"/>
  <c r="AH117" i="1"/>
  <c r="AH140" i="1"/>
  <c r="AD117" i="1"/>
  <c r="AD140" i="1"/>
  <c r="V117" i="1"/>
  <c r="V140" i="1"/>
  <c r="J117" i="1"/>
  <c r="J140" i="1"/>
  <c r="J116" i="1"/>
  <c r="J142" i="1"/>
  <c r="BN136" i="1"/>
  <c r="BN115" i="1"/>
  <c r="BC103" i="1"/>
  <c r="BC107" i="1"/>
  <c r="BC110" i="1"/>
  <c r="AE103" i="1"/>
  <c r="AE107" i="1"/>
  <c r="AE110" i="1"/>
  <c r="O103" i="1"/>
  <c r="O107" i="1"/>
  <c r="O110" i="1"/>
  <c r="AO31" i="8"/>
  <c r="AK31" i="8"/>
  <c r="U31" i="8"/>
  <c r="Q31" i="8"/>
  <c r="M31" i="8"/>
  <c r="BO129" i="1"/>
  <c r="BO65" i="8"/>
  <c r="BK129" i="1"/>
  <c r="V65" i="8"/>
  <c r="V76" i="8"/>
  <c r="V39" i="8"/>
  <c r="R65" i="8"/>
  <c r="R76" i="8"/>
  <c r="R39" i="8"/>
  <c r="N65" i="8"/>
  <c r="N76" i="8"/>
  <c r="N39" i="8"/>
  <c r="J39" i="8"/>
  <c r="BC23" i="8"/>
  <c r="AZ133" i="1"/>
  <c r="AY23" i="8"/>
  <c r="AV133" i="1"/>
  <c r="G65" i="8"/>
  <c r="G76" i="8"/>
  <c r="BQ31" i="10"/>
  <c r="BI31" i="10"/>
  <c r="BA31" i="10"/>
  <c r="AR31" i="8"/>
  <c r="BS23" i="8"/>
  <c r="BP133" i="1"/>
  <c r="BO23" i="8"/>
  <c r="BL133" i="1"/>
  <c r="AQ76" i="8"/>
  <c r="AP23" i="8"/>
  <c r="AM133" i="1"/>
  <c r="AM65" i="8"/>
  <c r="AM38" i="8"/>
  <c r="AN112" i="8"/>
  <c r="AL23" i="8"/>
  <c r="AI133" i="1"/>
  <c r="AI65" i="8"/>
  <c r="AH23" i="8"/>
  <c r="AE133" i="1"/>
  <c r="AE76" i="8"/>
  <c r="AD23" i="8"/>
  <c r="AA133" i="1"/>
  <c r="AA65" i="8"/>
  <c r="AA76" i="8"/>
  <c r="Z23" i="8"/>
  <c r="W133" i="1"/>
  <c r="W65" i="8"/>
  <c r="V23" i="8"/>
  <c r="S133" i="1"/>
  <c r="R23" i="8"/>
  <c r="O133" i="1"/>
  <c r="O65" i="8"/>
  <c r="O39" i="8"/>
  <c r="N23" i="8"/>
  <c r="K133" i="1"/>
  <c r="K65" i="8"/>
  <c r="K76" i="8"/>
  <c r="J23" i="8"/>
  <c r="G133" i="1"/>
  <c r="BL23" i="8"/>
  <c r="BI133" i="1"/>
  <c r="BI76" i="8"/>
  <c r="BH23" i="8"/>
  <c r="BE133" i="1"/>
  <c r="BE76" i="8"/>
  <c r="BD23" i="8"/>
  <c r="BA133" i="1"/>
  <c r="BA76" i="8"/>
  <c r="AZ23" i="8"/>
  <c r="AZ31" i="8"/>
  <c r="AW133" i="1"/>
  <c r="AW65" i="8"/>
  <c r="AW76" i="8"/>
  <c r="AV23" i="8"/>
  <c r="AV31" i="8"/>
  <c r="AS133" i="1"/>
  <c r="AS76" i="8"/>
  <c r="AB65" i="8"/>
  <c r="AB66" i="8"/>
  <c r="AB72" i="8"/>
  <c r="X65" i="8"/>
  <c r="T65" i="8"/>
  <c r="BM31" i="10"/>
  <c r="BE31" i="10"/>
  <c r="AW31" i="10"/>
  <c r="AR133" i="1"/>
  <c r="G32" i="10"/>
  <c r="H24" i="10"/>
  <c r="F33" i="10"/>
  <c r="F38" i="10"/>
  <c r="Z37" i="8"/>
  <c r="N37" i="8"/>
  <c r="G33" i="10"/>
  <c r="G38" i="10"/>
  <c r="U39" i="8"/>
  <c r="Q39" i="8"/>
  <c r="H67" i="8"/>
  <c r="CN31" i="3"/>
  <c r="BU74" i="8"/>
  <c r="W39" i="8"/>
  <c r="AC38" i="8"/>
  <c r="BS37" i="8"/>
  <c r="BS56" i="8"/>
  <c r="BS58" i="8"/>
  <c r="BG37" i="8"/>
  <c r="BG56" i="8"/>
  <c r="AQ37" i="8"/>
  <c r="AQ56" i="8"/>
  <c r="AI38" i="8"/>
  <c r="AE38" i="8"/>
  <c r="AO67" i="8"/>
  <c r="AK67" i="8"/>
  <c r="AG67" i="8"/>
  <c r="AC67" i="8"/>
  <c r="Y67" i="8"/>
  <c r="U67" i="8"/>
  <c r="Q67" i="8"/>
  <c r="M67" i="8"/>
  <c r="CM30" i="3"/>
  <c r="CN29" i="3"/>
  <c r="CN30" i="3"/>
  <c r="AZ67" i="8"/>
  <c r="CM31" i="3"/>
  <c r="BT74" i="8"/>
  <c r="V31" i="8"/>
  <c r="V67" i="8"/>
  <c r="V68" i="8"/>
  <c r="R67" i="8"/>
  <c r="R68" i="8"/>
  <c r="R31" i="8"/>
  <c r="X39" i="8"/>
  <c r="T39" i="8"/>
  <c r="H37" i="8"/>
  <c r="H39" i="8"/>
  <c r="P65" i="8"/>
  <c r="P39" i="8"/>
  <c r="L65" i="8"/>
  <c r="L39" i="8"/>
  <c r="BH75" i="8"/>
  <c r="BH67" i="8"/>
  <c r="BR38" i="8"/>
  <c r="BJ37" i="8"/>
  <c r="BJ56" i="8"/>
  <c r="BJ58" i="8"/>
  <c r="BJ113" i="8"/>
  <c r="AT37" i="8"/>
  <c r="AT56" i="8"/>
  <c r="BK37" i="8"/>
  <c r="BK56" i="8"/>
  <c r="BK58" i="8"/>
  <c r="BK113" i="8"/>
  <c r="BC37" i="8"/>
  <c r="BC56" i="8"/>
  <c r="BC58" i="8"/>
  <c r="BD113" i="8"/>
  <c r="AY37" i="8"/>
  <c r="AY56" i="8"/>
  <c r="AU37" i="8"/>
  <c r="AU56" i="8"/>
  <c r="AF37" i="8"/>
  <c r="AF56" i="8"/>
  <c r="AB38" i="8"/>
  <c r="AB112" i="8"/>
  <c r="X37" i="8"/>
  <c r="T37" i="8"/>
  <c r="P37" i="8"/>
  <c r="L37" i="8"/>
  <c r="AN37" i="8"/>
  <c r="AN56" i="8"/>
  <c r="AA37" i="8"/>
  <c r="AA56" i="8"/>
  <c r="BQ65" i="8"/>
  <c r="BQ41" i="8"/>
  <c r="BM65" i="8"/>
  <c r="BM76" i="8"/>
  <c r="BM41" i="8"/>
  <c r="BF65" i="8"/>
  <c r="BF38" i="8"/>
  <c r="BF112" i="8"/>
  <c r="BB65" i="8"/>
  <c r="BB39" i="8"/>
  <c r="AX76" i="8"/>
  <c r="AX66" i="8"/>
  <c r="AX72" i="8"/>
  <c r="AT65" i="8"/>
  <c r="AP65" i="8"/>
  <c r="AL65" i="8"/>
  <c r="AL38" i="8"/>
  <c r="AH65" i="8"/>
  <c r="AH38" i="8"/>
  <c r="AH112" i="8"/>
  <c r="AD65" i="8"/>
  <c r="AD38" i="8"/>
  <c r="Z65" i="8"/>
  <c r="Z39" i="8"/>
  <c r="S65" i="8"/>
  <c r="G39" i="8"/>
  <c r="BP65" i="8"/>
  <c r="BL65" i="8"/>
  <c r="AO65" i="8"/>
  <c r="AK65" i="8"/>
  <c r="AG65" i="8"/>
  <c r="AC65" i="8"/>
  <c r="Y65" i="8"/>
  <c r="Y76" i="8"/>
  <c r="H65" i="8"/>
  <c r="H75" i="8"/>
  <c r="P41" i="8"/>
  <c r="L41" i="8"/>
  <c r="BH65" i="8"/>
  <c r="BD65" i="8"/>
  <c r="AZ65" i="8"/>
  <c r="AV65" i="8"/>
  <c r="AR76" i="8"/>
  <c r="AN76" i="8"/>
  <c r="AJ76" i="8"/>
  <c r="AF76" i="8"/>
  <c r="AB76" i="8"/>
  <c r="U65" i="8"/>
  <c r="J65" i="8"/>
  <c r="AB75" i="8"/>
  <c r="S41" i="8"/>
  <c r="T76" i="8"/>
  <c r="Q65" i="8"/>
  <c r="M65" i="8"/>
  <c r="I76" i="8"/>
  <c r="AU58" i="8"/>
  <c r="AU111" i="8"/>
  <c r="AV111" i="8"/>
  <c r="AV58" i="8"/>
  <c r="AV113" i="8"/>
  <c r="BL111" i="8"/>
  <c r="BL58" i="8"/>
  <c r="BS111" i="8"/>
  <c r="BR58" i="8"/>
  <c r="BB111" i="8"/>
  <c r="BA58" i="8"/>
  <c r="BA113" i="8"/>
  <c r="BH111" i="8"/>
  <c r="BG58" i="8"/>
  <c r="BR113" i="8"/>
  <c r="AV75" i="8"/>
  <c r="AC75" i="8"/>
  <c r="AC78" i="8"/>
  <c r="AH111" i="8"/>
  <c r="AI111" i="8"/>
  <c r="AD112" i="8"/>
  <c r="AC112" i="8"/>
  <c r="X76" i="8"/>
  <c r="Y66" i="8"/>
  <c r="Y72" i="8"/>
  <c r="X66" i="8"/>
  <c r="X72" i="8"/>
  <c r="AM113" i="8"/>
  <c r="Z76" i="8"/>
  <c r="AA66" i="8"/>
  <c r="AA72" i="8"/>
  <c r="Z66" i="8"/>
  <c r="Z72" i="8"/>
  <c r="J112" i="8"/>
  <c r="AJ112" i="8"/>
  <c r="X75" i="8"/>
  <c r="AI112" i="8"/>
  <c r="AE112" i="8"/>
  <c r="AA79" i="8"/>
  <c r="AA83" i="8"/>
  <c r="BO75" i="8"/>
  <c r="AF75" i="8"/>
  <c r="BH113" i="8"/>
  <c r="BG113" i="8"/>
  <c r="BS76" i="8"/>
  <c r="BO76" i="8"/>
  <c r="BJ76" i="8"/>
  <c r="BJ79" i="8"/>
  <c r="BJ83" i="8"/>
  <c r="BJ66" i="8"/>
  <c r="BJ72" i="8"/>
  <c r="AF111" i="8"/>
  <c r="AE111" i="8"/>
  <c r="AH113" i="8"/>
  <c r="BS75" i="8"/>
  <c r="Y75" i="8"/>
  <c r="Y78" i="8"/>
  <c r="P75" i="8"/>
  <c r="M75" i="8"/>
  <c r="J75" i="8"/>
  <c r="AP113" i="8"/>
  <c r="BN113" i="8"/>
  <c r="AR37" i="8"/>
  <c r="AX79" i="8"/>
  <c r="AX83" i="8"/>
  <c r="Y79" i="8"/>
  <c r="Y83" i="8"/>
  <c r="BD75" i="8"/>
  <c r="AN75" i="8"/>
  <c r="V75" i="8"/>
  <c r="AI113" i="8"/>
  <c r="AF112" i="8"/>
  <c r="BC111" i="8"/>
  <c r="T75" i="8"/>
  <c r="AX113" i="8"/>
  <c r="BQ75" i="8"/>
  <c r="BF75" i="8"/>
  <c r="AZ75" i="8"/>
  <c r="AP75" i="8"/>
  <c r="AJ75" i="8"/>
  <c r="BG111" i="8"/>
  <c r="BF111" i="8"/>
  <c r="AP111" i="8"/>
  <c r="AO111" i="8"/>
  <c r="BK111" i="8"/>
  <c r="BJ111" i="8"/>
  <c r="BE111" i="8"/>
  <c r="BD111" i="8"/>
  <c r="BP111" i="8"/>
  <c r="BO113" i="8"/>
  <c r="BS113" i="8"/>
  <c r="BB113" i="8"/>
  <c r="AY75" i="8"/>
  <c r="AZ78" i="8"/>
  <c r="AX75" i="8"/>
  <c r="AK75" i="8"/>
  <c r="AH75" i="8"/>
  <c r="Q75" i="8"/>
  <c r="Q78" i="8"/>
  <c r="N75" i="8"/>
  <c r="BC75" i="8"/>
  <c r="BB75" i="8"/>
  <c r="AO75" i="8"/>
  <c r="AL75" i="8"/>
  <c r="AL78" i="8"/>
  <c r="U75" i="8"/>
  <c r="U78" i="8"/>
  <c r="R75" i="8"/>
  <c r="R78" i="8"/>
  <c r="I75" i="8"/>
  <c r="I78" i="8"/>
  <c r="AJ111" i="8"/>
  <c r="BJ75" i="8"/>
  <c r="AU75" i="8"/>
  <c r="AT75" i="8"/>
  <c r="AG75" i="8"/>
  <c r="AD75" i="8"/>
  <c r="AD78" i="8"/>
  <c r="Z75" i="8"/>
  <c r="Z78" i="8"/>
  <c r="J78" i="8"/>
  <c r="AX111" i="8"/>
  <c r="AW111" i="8"/>
  <c r="AZ111" i="8"/>
  <c r="BA111" i="8"/>
  <c r="BN111" i="8"/>
  <c r="BO111" i="8"/>
  <c r="BR111" i="8"/>
  <c r="BQ111" i="8"/>
  <c r="BL76" i="8"/>
  <c r="BM66" i="8"/>
  <c r="BM72" i="8"/>
  <c r="AR79" i="8"/>
  <c r="AR83" i="8"/>
  <c r="AF79" i="8"/>
  <c r="AF83" i="8"/>
  <c r="AB79" i="8"/>
  <c r="AB83" i="8"/>
  <c r="BQ66" i="8"/>
  <c r="BQ72" i="8"/>
  <c r="BP66" i="8"/>
  <c r="BP72" i="8"/>
  <c r="BP76" i="8"/>
  <c r="AS79" i="8"/>
  <c r="AS83" i="8"/>
  <c r="Z79" i="8"/>
  <c r="Z83" i="8"/>
  <c r="BL75" i="8"/>
  <c r="AH78" i="8"/>
  <c r="N78" i="8"/>
  <c r="BK75" i="8"/>
  <c r="BK78" i="8"/>
  <c r="BG75" i="8"/>
  <c r="BG78" i="8"/>
  <c r="AP78" i="8"/>
  <c r="V78" i="8"/>
  <c r="AK78" i="8"/>
  <c r="E46" i="5"/>
  <c r="F36" i="5"/>
  <c r="AG78" i="8"/>
  <c r="AQ58" i="8"/>
  <c r="AQ113" i="8"/>
  <c r="AQ111" i="8"/>
  <c r="BD31" i="8"/>
  <c r="BD67" i="8"/>
  <c r="J67" i="8"/>
  <c r="J31" i="8"/>
  <c r="N67" i="8"/>
  <c r="N68" i="8"/>
  <c r="N31" i="8"/>
  <c r="AI76" i="8"/>
  <c r="AJ79" i="8"/>
  <c r="AJ83" i="8"/>
  <c r="AJ66" i="8"/>
  <c r="AJ72" i="8"/>
  <c r="AM76" i="8"/>
  <c r="AN79" i="8"/>
  <c r="AN83" i="8"/>
  <c r="AN66" i="8"/>
  <c r="AN72" i="8"/>
  <c r="BN23" i="8"/>
  <c r="BK133" i="1"/>
  <c r="AE118" i="1"/>
  <c r="AE143" i="1"/>
  <c r="BC117" i="1"/>
  <c r="BC140" i="1"/>
  <c r="AY65" i="8"/>
  <c r="AY39" i="8"/>
  <c r="AY38" i="8"/>
  <c r="AW116" i="1"/>
  <c r="AW142" i="1"/>
  <c r="AW22" i="8"/>
  <c r="AT142" i="1"/>
  <c r="BG65" i="8"/>
  <c r="BG76" i="8"/>
  <c r="BG39" i="8"/>
  <c r="BG38" i="8"/>
  <c r="BH112" i="8"/>
  <c r="K22" i="8"/>
  <c r="H142" i="1"/>
  <c r="AI23" i="8"/>
  <c r="AF133" i="1"/>
  <c r="AF143" i="1"/>
  <c r="AQ23" i="8"/>
  <c r="AN133" i="1"/>
  <c r="AN143" i="1"/>
  <c r="AU115" i="1"/>
  <c r="AU109" i="1"/>
  <c r="AU136" i="1"/>
  <c r="BK117" i="1"/>
  <c r="BK140" i="1"/>
  <c r="AY41" i="8"/>
  <c r="BK65" i="8"/>
  <c r="BK39" i="8"/>
  <c r="BK38" i="8"/>
  <c r="O25" i="8"/>
  <c r="O41" i="8"/>
  <c r="L144" i="1"/>
  <c r="O23" i="8"/>
  <c r="L133" i="1"/>
  <c r="L143" i="1"/>
  <c r="AK39" i="8"/>
  <c r="AK38" i="8"/>
  <c r="AK112" i="8"/>
  <c r="BP25" i="8"/>
  <c r="BP41" i="8"/>
  <c r="BM144" i="1"/>
  <c r="G26" i="8"/>
  <c r="E41" i="10"/>
  <c r="D36" i="10"/>
  <c r="D40" i="10"/>
  <c r="BJ144" i="1"/>
  <c r="F24" i="6"/>
  <c r="F41" i="3"/>
  <c r="G35" i="3"/>
  <c r="AR115" i="1"/>
  <c r="AR136" i="1"/>
  <c r="AR109" i="1"/>
  <c r="AZ116" i="1"/>
  <c r="AZ142" i="1"/>
  <c r="BG117" i="1"/>
  <c r="BG140" i="1"/>
  <c r="AV67" i="8"/>
  <c r="AV68" i="8"/>
  <c r="W76" i="8"/>
  <c r="W79" i="8"/>
  <c r="W83" i="8"/>
  <c r="W66" i="8"/>
  <c r="W72" i="8"/>
  <c r="BO67" i="8"/>
  <c r="BO31" i="8"/>
  <c r="AY67" i="8"/>
  <c r="AZ68" i="8"/>
  <c r="AY31" i="8"/>
  <c r="O118" i="1"/>
  <c r="O143" i="1"/>
  <c r="AE117" i="1"/>
  <c r="AE140" i="1"/>
  <c r="BC115" i="1"/>
  <c r="BC109" i="1"/>
  <c r="BC136" i="1"/>
  <c r="BA22" i="8"/>
  <c r="AX142" i="1"/>
  <c r="BG67" i="8"/>
  <c r="BH68" i="8"/>
  <c r="BG31" i="8"/>
  <c r="I67" i="8"/>
  <c r="I68" i="8"/>
  <c r="I31" i="8"/>
  <c r="AG31" i="8"/>
  <c r="BO118" i="1"/>
  <c r="BO143" i="1"/>
  <c r="AT67" i="8"/>
  <c r="AU68" i="8"/>
  <c r="AT31" i="8"/>
  <c r="BI22" i="8"/>
  <c r="BF142" i="1"/>
  <c r="K23" i="8"/>
  <c r="H133" i="1"/>
  <c r="H143" i="1"/>
  <c r="BR65" i="8"/>
  <c r="BR39" i="8"/>
  <c r="G23" i="8"/>
  <c r="D133" i="1"/>
  <c r="D143" i="1"/>
  <c r="BK115" i="1"/>
  <c r="BK109" i="1"/>
  <c r="BK136" i="1"/>
  <c r="AS23" i="8"/>
  <c r="AP133" i="1"/>
  <c r="AP143" i="1"/>
  <c r="BK31" i="8"/>
  <c r="BK67" i="8"/>
  <c r="BQ67" i="8"/>
  <c r="BQ31" i="8"/>
  <c r="BC65" i="8"/>
  <c r="BC76" i="8"/>
  <c r="BC38" i="8"/>
  <c r="BC39" i="8"/>
  <c r="BM23" i="8"/>
  <c r="BJ133" i="1"/>
  <c r="BJ143" i="1"/>
  <c r="AC39" i="8"/>
  <c r="AE22" i="8"/>
  <c r="AB142" i="1"/>
  <c r="AM25" i="8"/>
  <c r="AM41" i="8"/>
  <c r="AJ144" i="1"/>
  <c r="AM23" i="8"/>
  <c r="AM31" i="8"/>
  <c r="AJ133" i="1"/>
  <c r="AJ143" i="1"/>
  <c r="E12" i="4"/>
  <c r="F12" i="4"/>
  <c r="G12" i="4"/>
  <c r="H12" i="4"/>
  <c r="I12" i="4"/>
  <c r="E14" i="4"/>
  <c r="E33" i="3"/>
  <c r="E34" i="3"/>
  <c r="E13" i="4"/>
  <c r="H15" i="7"/>
  <c r="H17" i="7"/>
  <c r="H16" i="7"/>
  <c r="P17" i="7"/>
  <c r="P15" i="7"/>
  <c r="P16" i="7"/>
  <c r="BR41" i="8"/>
  <c r="E35" i="10"/>
  <c r="AA15" i="7"/>
  <c r="M15" i="7"/>
  <c r="M16" i="7"/>
  <c r="M17" i="7"/>
  <c r="E20" i="7"/>
  <c r="AR117" i="1"/>
  <c r="AR140" i="1"/>
  <c r="AV116" i="1"/>
  <c r="AV142" i="1"/>
  <c r="BG115" i="1"/>
  <c r="BG109" i="1"/>
  <c r="BG136" i="1"/>
  <c r="L142" i="1"/>
  <c r="X142" i="1"/>
  <c r="F19" i="7"/>
  <c r="AR75" i="8"/>
  <c r="BL67" i="8"/>
  <c r="BL68" i="8"/>
  <c r="BL31" i="8"/>
  <c r="AH67" i="8"/>
  <c r="AH68" i="8"/>
  <c r="AH31" i="8"/>
  <c r="AL67" i="8"/>
  <c r="AL68" i="8"/>
  <c r="AL31" i="8"/>
  <c r="AP67" i="8"/>
  <c r="AP68" i="8"/>
  <c r="AP31" i="8"/>
  <c r="O117" i="1"/>
  <c r="O140" i="1"/>
  <c r="AE115" i="1"/>
  <c r="AE109" i="1"/>
  <c r="AE136" i="1"/>
  <c r="AX67" i="8"/>
  <c r="AX31" i="8"/>
  <c r="BO117" i="1"/>
  <c r="BO140" i="1"/>
  <c r="AW23" i="8"/>
  <c r="AT133" i="1"/>
  <c r="AT143" i="1"/>
  <c r="G22" i="8"/>
  <c r="D142" i="1"/>
  <c r="AU118" i="1"/>
  <c r="AU143" i="1"/>
  <c r="BG41" i="8"/>
  <c r="BE23" i="8"/>
  <c r="BB133" i="1"/>
  <c r="BB143" i="1"/>
  <c r="U38" i="8"/>
  <c r="W22" i="8"/>
  <c r="T142" i="1"/>
  <c r="AE25" i="8"/>
  <c r="AE41" i="8"/>
  <c r="AB144" i="1"/>
  <c r="AE23" i="8"/>
  <c r="AB133" i="1"/>
  <c r="AB143" i="1"/>
  <c r="BP22" i="8"/>
  <c r="BM142" i="1"/>
  <c r="U27" i="6"/>
  <c r="V27" i="6"/>
  <c r="S27" i="6"/>
  <c r="I27" i="6"/>
  <c r="M27" i="6"/>
  <c r="Q27" i="6"/>
  <c r="E27" i="6"/>
  <c r="T27" i="6"/>
  <c r="F27" i="6"/>
  <c r="J27" i="6"/>
  <c r="N27" i="6"/>
  <c r="R27" i="6"/>
  <c r="Z27" i="6"/>
  <c r="AA27" i="6"/>
  <c r="W27" i="6"/>
  <c r="G27" i="6"/>
  <c r="K27" i="6"/>
  <c r="O27" i="6"/>
  <c r="H27" i="6"/>
  <c r="L27" i="6"/>
  <c r="Y27" i="6"/>
  <c r="P27" i="6"/>
  <c r="X27" i="6"/>
  <c r="E19" i="7"/>
  <c r="J12" i="4"/>
  <c r="J20" i="7"/>
  <c r="E44" i="5"/>
  <c r="AN116" i="1"/>
  <c r="AN142" i="1"/>
  <c r="BP116" i="1"/>
  <c r="BP142" i="1"/>
  <c r="Z26" i="3"/>
  <c r="Z34" i="5"/>
  <c r="X79" i="8"/>
  <c r="X83" i="8"/>
  <c r="I24" i="10"/>
  <c r="H32" i="10"/>
  <c r="H33" i="10"/>
  <c r="H38" i="10"/>
  <c r="BH31" i="8"/>
  <c r="O76" i="8"/>
  <c r="O79" i="8"/>
  <c r="O83" i="8"/>
  <c r="O66" i="8"/>
  <c r="O72" i="8"/>
  <c r="Z67" i="8"/>
  <c r="Z68" i="8"/>
  <c r="Z31" i="8"/>
  <c r="AD67" i="8"/>
  <c r="AD68" i="8"/>
  <c r="AD31" i="8"/>
  <c r="BS67" i="8"/>
  <c r="BS31" i="8"/>
  <c r="BC31" i="8"/>
  <c r="BC67" i="8"/>
  <c r="BR23" i="8"/>
  <c r="BO133" i="1"/>
  <c r="O115" i="1"/>
  <c r="O109" i="1"/>
  <c r="O136" i="1"/>
  <c r="BC118" i="1"/>
  <c r="BC143" i="1"/>
  <c r="BA23" i="8"/>
  <c r="AX133" i="1"/>
  <c r="AX143" i="1"/>
  <c r="BJ67" i="8"/>
  <c r="BJ31" i="8"/>
  <c r="L75" i="8"/>
  <c r="M78" i="8"/>
  <c r="L67" i="8"/>
  <c r="M68" i="8"/>
  <c r="L31" i="8"/>
  <c r="T67" i="8"/>
  <c r="T31" i="8"/>
  <c r="AB67" i="8"/>
  <c r="AB31" i="8"/>
  <c r="AJ67" i="8"/>
  <c r="AJ31" i="8"/>
  <c r="BO115" i="1"/>
  <c r="BO109" i="1"/>
  <c r="BO136" i="1"/>
  <c r="AU65" i="8"/>
  <c r="AU76" i="8"/>
  <c r="AU39" i="8"/>
  <c r="AU38" i="8"/>
  <c r="BI23" i="8"/>
  <c r="BF133" i="1"/>
  <c r="BF143" i="1"/>
  <c r="S23" i="8"/>
  <c r="P133" i="1"/>
  <c r="P143" i="1"/>
  <c r="AA23" i="8"/>
  <c r="X133" i="1"/>
  <c r="X143" i="1"/>
  <c r="AI22" i="8"/>
  <c r="AF142" i="1"/>
  <c r="AU117" i="1"/>
  <c r="AU140" i="1"/>
  <c r="BK118" i="1"/>
  <c r="BK143" i="1"/>
  <c r="AS22" i="8"/>
  <c r="AP142" i="1"/>
  <c r="BF31" i="8"/>
  <c r="BF67" i="8"/>
  <c r="H31" i="8"/>
  <c r="P67" i="8"/>
  <c r="Q68" i="8"/>
  <c r="P31" i="8"/>
  <c r="X67" i="8"/>
  <c r="X31" i="8"/>
  <c r="AF31" i="8"/>
  <c r="AF67" i="8"/>
  <c r="AN67" i="8"/>
  <c r="AN31" i="8"/>
  <c r="AU41" i="8"/>
  <c r="BB67" i="8"/>
  <c r="BB31" i="8"/>
  <c r="BM22" i="8"/>
  <c r="BJ142" i="1"/>
  <c r="M39" i="8"/>
  <c r="A39" i="8"/>
  <c r="M38" i="8"/>
  <c r="O31" i="8"/>
  <c r="W25" i="8"/>
  <c r="W41" i="8"/>
  <c r="T144" i="1"/>
  <c r="W23" i="8"/>
  <c r="T133" i="1"/>
  <c r="T143" i="1"/>
  <c r="BN65" i="8"/>
  <c r="BN39" i="8"/>
  <c r="BN38" i="8"/>
  <c r="BP23" i="8"/>
  <c r="BM133" i="1"/>
  <c r="BM143" i="1"/>
  <c r="J19" i="7"/>
  <c r="L15" i="7"/>
  <c r="L17" i="7"/>
  <c r="L16" i="7"/>
  <c r="BB144" i="1"/>
  <c r="AB27" i="6"/>
  <c r="AC27" i="6"/>
  <c r="AD27" i="6"/>
  <c r="AE27" i="6"/>
  <c r="AF27" i="6"/>
  <c r="AG27" i="6"/>
  <c r="AH27" i="6"/>
  <c r="AI27" i="6"/>
  <c r="AJ27" i="6"/>
  <c r="AK27" i="6"/>
  <c r="AL27" i="6"/>
  <c r="AM27" i="6"/>
  <c r="AN27" i="6"/>
  <c r="AO27" i="6"/>
  <c r="AP27" i="6"/>
  <c r="AQ27" i="6"/>
  <c r="AR27" i="6"/>
  <c r="AS27" i="6"/>
  <c r="AT27" i="6"/>
  <c r="AU27" i="6"/>
  <c r="AV27" i="6"/>
  <c r="AW27" i="6"/>
  <c r="AX27" i="6"/>
  <c r="AY27" i="6"/>
  <c r="AZ27" i="6"/>
  <c r="BA27" i="6"/>
  <c r="BB27" i="6"/>
  <c r="BC27" i="6"/>
  <c r="BD27" i="6"/>
  <c r="BE27" i="6"/>
  <c r="BF27" i="6"/>
  <c r="BG27" i="6"/>
  <c r="BH27" i="6"/>
  <c r="BI27" i="6"/>
  <c r="BJ27" i="6"/>
  <c r="BK27" i="6"/>
  <c r="BL27" i="6"/>
  <c r="BM27" i="6"/>
  <c r="BN27" i="6"/>
  <c r="BO27" i="6"/>
  <c r="BP27" i="6"/>
  <c r="BQ27" i="6"/>
  <c r="BR27" i="6"/>
  <c r="BS27" i="6"/>
  <c r="BT27" i="6"/>
  <c r="BU27" i="6"/>
  <c r="BV27" i="6"/>
  <c r="BW27" i="6"/>
  <c r="BX27" i="6"/>
  <c r="BY27" i="6"/>
  <c r="BZ27" i="6"/>
  <c r="CA27" i="6"/>
  <c r="CB27" i="6"/>
  <c r="CC27" i="6"/>
  <c r="CD27" i="6"/>
  <c r="CE27" i="6"/>
  <c r="CF27" i="6"/>
  <c r="CG27" i="6"/>
  <c r="CH27" i="6"/>
  <c r="CI27" i="6"/>
  <c r="CJ27" i="6"/>
  <c r="CK27" i="6"/>
  <c r="CL27" i="6"/>
  <c r="I15" i="7"/>
  <c r="I16" i="7"/>
  <c r="I19" i="7"/>
  <c r="I17" i="7"/>
  <c r="I20" i="7"/>
  <c r="Q15" i="7"/>
  <c r="Q16" i="7"/>
  <c r="Q17" i="7"/>
  <c r="E26" i="8"/>
  <c r="D41" i="10"/>
  <c r="D42" i="10"/>
  <c r="G19" i="7"/>
  <c r="AR118" i="1"/>
  <c r="AR143" i="1"/>
  <c r="BB116" i="1"/>
  <c r="BB142" i="1"/>
  <c r="BG118" i="1"/>
  <c r="BG143" i="1"/>
  <c r="P142" i="1"/>
  <c r="AJ142" i="1"/>
  <c r="Q76" i="8"/>
  <c r="Q66" i="8"/>
  <c r="Q72" i="8"/>
  <c r="R66" i="8"/>
  <c r="R72" i="8"/>
  <c r="AV76" i="8"/>
  <c r="AW66" i="8"/>
  <c r="AW72" i="8"/>
  <c r="AV66" i="8"/>
  <c r="AV72" i="8"/>
  <c r="H76" i="8"/>
  <c r="H66" i="8"/>
  <c r="H72" i="8"/>
  <c r="I66" i="8"/>
  <c r="I72" i="8"/>
  <c r="AK76" i="8"/>
  <c r="AK79" i="8"/>
  <c r="AK83" i="8"/>
  <c r="AK66" i="8"/>
  <c r="AK72" i="8"/>
  <c r="AH76" i="8"/>
  <c r="AH66" i="8"/>
  <c r="AH72" i="8"/>
  <c r="AI66" i="8"/>
  <c r="AI72" i="8"/>
  <c r="AP76" i="8"/>
  <c r="AQ66" i="8"/>
  <c r="AQ72" i="8"/>
  <c r="AP66" i="8"/>
  <c r="AP72" i="8"/>
  <c r="AA58" i="8"/>
  <c r="AB113" i="8"/>
  <c r="AB111" i="8"/>
  <c r="AY58" i="8"/>
  <c r="AY111" i="8"/>
  <c r="P76" i="8"/>
  <c r="P79" i="8"/>
  <c r="P83" i="8"/>
  <c r="P66" i="8"/>
  <c r="P72" i="8"/>
  <c r="J76" i="8"/>
  <c r="K66" i="8"/>
  <c r="K72" i="8"/>
  <c r="J66" i="8"/>
  <c r="J72" i="8"/>
  <c r="AZ76" i="8"/>
  <c r="BA66" i="8"/>
  <c r="BA72" i="8"/>
  <c r="AZ66" i="8"/>
  <c r="AZ72" i="8"/>
  <c r="AO76" i="8"/>
  <c r="AO79" i="8"/>
  <c r="AO83" i="8"/>
  <c r="AO66" i="8"/>
  <c r="AO72" i="8"/>
  <c r="AD76" i="8"/>
  <c r="AE66" i="8"/>
  <c r="AE72" i="8"/>
  <c r="AD66" i="8"/>
  <c r="AD72" i="8"/>
  <c r="AM112" i="8"/>
  <c r="AL112" i="8"/>
  <c r="BF76" i="8"/>
  <c r="BG66" i="8"/>
  <c r="BG72" i="8"/>
  <c r="BF66" i="8"/>
  <c r="BF72" i="8"/>
  <c r="AF58" i="8"/>
  <c r="AG111" i="8"/>
  <c r="D105" i="8"/>
  <c r="D97" i="8"/>
  <c r="U76" i="8"/>
  <c r="U66" i="8"/>
  <c r="U72" i="8"/>
  <c r="V66" i="8"/>
  <c r="V72" i="8"/>
  <c r="BD76" i="8"/>
  <c r="BE66" i="8"/>
  <c r="BE72" i="8"/>
  <c r="BD66" i="8"/>
  <c r="BD72" i="8"/>
  <c r="AC76" i="8"/>
  <c r="AC79" i="8"/>
  <c r="AC83" i="8"/>
  <c r="AC66" i="8"/>
  <c r="AC72" i="8"/>
  <c r="BG112" i="8"/>
  <c r="AL76" i="8"/>
  <c r="AL66" i="8"/>
  <c r="AL72" i="8"/>
  <c r="AM66" i="8"/>
  <c r="AM72" i="8"/>
  <c r="AT76" i="8"/>
  <c r="AT66" i="8"/>
  <c r="AT72" i="8"/>
  <c r="AU66" i="8"/>
  <c r="AU72" i="8"/>
  <c r="BB76" i="8"/>
  <c r="BC66" i="8"/>
  <c r="BC72" i="8"/>
  <c r="BB66" i="8"/>
  <c r="BB72" i="8"/>
  <c r="BQ76" i="8"/>
  <c r="BR66" i="8"/>
  <c r="BR72" i="8"/>
  <c r="AN58" i="8"/>
  <c r="AN111" i="8"/>
  <c r="E105" i="8"/>
  <c r="D100" i="8"/>
  <c r="L76" i="8"/>
  <c r="L79" i="8"/>
  <c r="L83" i="8"/>
  <c r="L66" i="8"/>
  <c r="L72" i="8"/>
  <c r="BC113" i="8"/>
  <c r="M76" i="8"/>
  <c r="M66" i="8"/>
  <c r="M72" i="8"/>
  <c r="N66" i="8"/>
  <c r="N72" i="8"/>
  <c r="BH76" i="8"/>
  <c r="BI66" i="8"/>
  <c r="BI72" i="8"/>
  <c r="BH66" i="8"/>
  <c r="BH72" i="8"/>
  <c r="AG76" i="8"/>
  <c r="AG79" i="8"/>
  <c r="AG83" i="8"/>
  <c r="AG66" i="8"/>
  <c r="AG72" i="8"/>
  <c r="S76" i="8"/>
  <c r="S66" i="8"/>
  <c r="S72" i="8"/>
  <c r="T66" i="8"/>
  <c r="T72" i="8"/>
  <c r="AT58" i="8"/>
  <c r="AT113" i="8"/>
  <c r="AT111" i="8"/>
  <c r="BS112" i="8"/>
  <c r="BR112" i="8"/>
  <c r="AW113" i="8"/>
  <c r="BL113" i="8"/>
  <c r="BM113" i="8"/>
  <c r="D111" i="8"/>
  <c r="C98" i="8"/>
  <c r="AR56" i="8"/>
  <c r="AR58" i="8"/>
  <c r="A37" i="8"/>
  <c r="AO78" i="8"/>
  <c r="BH78" i="8"/>
  <c r="AU78" i="8"/>
  <c r="AY78" i="8"/>
  <c r="BC78" i="8"/>
  <c r="BD78" i="8"/>
  <c r="AV78" i="8"/>
  <c r="BM79" i="8"/>
  <c r="BM83" i="8"/>
  <c r="BL78" i="8"/>
  <c r="BP79" i="8"/>
  <c r="BP83" i="8"/>
  <c r="BQ79" i="8"/>
  <c r="BQ83" i="8"/>
  <c r="D112" i="8"/>
  <c r="D98" i="8"/>
  <c r="AA67" i="8"/>
  <c r="AA68" i="8"/>
  <c r="AA75" i="8"/>
  <c r="BO116" i="1"/>
  <c r="BO142" i="1"/>
  <c r="AB68" i="8"/>
  <c r="BA67" i="8"/>
  <c r="BA68" i="8"/>
  <c r="BA31" i="8"/>
  <c r="BA75" i="8"/>
  <c r="O116" i="1"/>
  <c r="O142" i="1"/>
  <c r="BC68" i="8"/>
  <c r="AE116" i="1"/>
  <c r="AE142" i="1"/>
  <c r="AG68" i="8"/>
  <c r="K12" i="4"/>
  <c r="E16" i="4"/>
  <c r="F13" i="4"/>
  <c r="BM67" i="8"/>
  <c r="BM68" i="8"/>
  <c r="BM31" i="8"/>
  <c r="BM75" i="8"/>
  <c r="BM78" i="8"/>
  <c r="A133" i="1"/>
  <c r="BR76" i="8"/>
  <c r="BS79" i="8"/>
  <c r="BS83" i="8"/>
  <c r="BS66" i="8"/>
  <c r="BS72" i="8"/>
  <c r="A118" i="1"/>
  <c r="AC68" i="8"/>
  <c r="F20" i="7"/>
  <c r="AR116" i="1"/>
  <c r="AR142" i="1"/>
  <c r="A41" i="8"/>
  <c r="BK76" i="8"/>
  <c r="BK66" i="8"/>
  <c r="BK72" i="8"/>
  <c r="BL66" i="8"/>
  <c r="BL72" i="8"/>
  <c r="AY112" i="8"/>
  <c r="AZ112" i="8"/>
  <c r="Y68" i="8"/>
  <c r="BR79" i="8"/>
  <c r="BR83" i="8"/>
  <c r="W67" i="8"/>
  <c r="W68" i="8"/>
  <c r="W31" i="8"/>
  <c r="W75" i="8"/>
  <c r="A115" i="1"/>
  <c r="I32" i="10"/>
  <c r="I33" i="10"/>
  <c r="I38" i="10"/>
  <c r="J24" i="10"/>
  <c r="H19" i="7"/>
  <c r="E40" i="3"/>
  <c r="F34" i="3"/>
  <c r="BK116" i="1"/>
  <c r="BK142" i="1"/>
  <c r="G31" i="8"/>
  <c r="G67" i="8"/>
  <c r="H68" i="8"/>
  <c r="G75" i="8"/>
  <c r="H78" i="8"/>
  <c r="BL112" i="8"/>
  <c r="BK112" i="8"/>
  <c r="AI67" i="8"/>
  <c r="AI68" i="8"/>
  <c r="AI31" i="8"/>
  <c r="AI75" i="8"/>
  <c r="BN67" i="8"/>
  <c r="BN68" i="8"/>
  <c r="BN31" i="8"/>
  <c r="BN75" i="8"/>
  <c r="F46" i="5"/>
  <c r="G36" i="5"/>
  <c r="G43" i="8"/>
  <c r="G48" i="8"/>
  <c r="G47" i="8"/>
  <c r="BP31" i="8"/>
  <c r="BP67" i="8"/>
  <c r="BP68" i="8"/>
  <c r="BP75" i="8"/>
  <c r="BN76" i="8"/>
  <c r="BN66" i="8"/>
  <c r="BN72" i="8"/>
  <c r="BO66" i="8"/>
  <c r="BO72" i="8"/>
  <c r="N112" i="8"/>
  <c r="M112" i="8"/>
  <c r="A38" i="8"/>
  <c r="BI31" i="8"/>
  <c r="BI67" i="8"/>
  <c r="BI75" i="8"/>
  <c r="AK68" i="8"/>
  <c r="E47" i="5"/>
  <c r="F44" i="5"/>
  <c r="AE67" i="8"/>
  <c r="AE68" i="8"/>
  <c r="AE31" i="8"/>
  <c r="AE75" i="8"/>
  <c r="AA31" i="8"/>
  <c r="AW67" i="8"/>
  <c r="AW68" i="8"/>
  <c r="AW31" i="8"/>
  <c r="AW75" i="8"/>
  <c r="BG116" i="1"/>
  <c r="BG142" i="1"/>
  <c r="F35" i="10"/>
  <c r="AB15" i="7"/>
  <c r="H20" i="7"/>
  <c r="E39" i="3"/>
  <c r="F33" i="3"/>
  <c r="BC112" i="8"/>
  <c r="BD112" i="8"/>
  <c r="BQ68" i="8"/>
  <c r="BO68" i="8"/>
  <c r="G20" i="7"/>
  <c r="O67" i="8"/>
  <c r="O68" i="8"/>
  <c r="O75" i="8"/>
  <c r="AU116" i="1"/>
  <c r="AU142" i="1"/>
  <c r="AQ67" i="8"/>
  <c r="AQ31" i="8"/>
  <c r="AQ75" i="8"/>
  <c r="J68" i="8"/>
  <c r="BO112" i="8"/>
  <c r="BN112" i="8"/>
  <c r="BB68" i="8"/>
  <c r="AO68" i="8"/>
  <c r="S67" i="8"/>
  <c r="S68" i="8"/>
  <c r="S31" i="8"/>
  <c r="S75" i="8"/>
  <c r="AU112" i="8"/>
  <c r="AV112" i="8"/>
  <c r="T68" i="8"/>
  <c r="U68" i="8"/>
  <c r="BR67" i="8"/>
  <c r="BR68" i="8"/>
  <c r="BR31" i="8"/>
  <c r="BR75" i="8"/>
  <c r="AA16" i="7"/>
  <c r="AA26" i="6"/>
  <c r="AB26" i="6"/>
  <c r="AC26" i="6"/>
  <c r="AD26" i="6"/>
  <c r="AE26" i="6"/>
  <c r="AF26" i="6"/>
  <c r="AG26" i="6"/>
  <c r="AH26" i="6"/>
  <c r="AI26" i="6"/>
  <c r="AJ26" i="6"/>
  <c r="AK26" i="6"/>
  <c r="AL26" i="6"/>
  <c r="AM26" i="6"/>
  <c r="AN26" i="6"/>
  <c r="AO26" i="6"/>
  <c r="AP26" i="6"/>
  <c r="AQ26" i="6"/>
  <c r="AR26" i="6"/>
  <c r="AS26" i="6"/>
  <c r="AT26" i="6"/>
  <c r="AU26" i="6"/>
  <c r="AV26" i="6"/>
  <c r="AW26" i="6"/>
  <c r="AX26" i="6"/>
  <c r="AY26" i="6"/>
  <c r="AZ26" i="6"/>
  <c r="BA26" i="6"/>
  <c r="BB26" i="6"/>
  <c r="BC26" i="6"/>
  <c r="BD26" i="6"/>
  <c r="BE26" i="6"/>
  <c r="BF26" i="6"/>
  <c r="BG26" i="6"/>
  <c r="BH26" i="6"/>
  <c r="BI26" i="6"/>
  <c r="BJ26" i="6"/>
  <c r="BK26" i="6"/>
  <c r="BL26" i="6"/>
  <c r="BM26" i="6"/>
  <c r="BN26" i="6"/>
  <c r="BO26" i="6"/>
  <c r="BP26" i="6"/>
  <c r="BQ26" i="6"/>
  <c r="BR26" i="6"/>
  <c r="BS26" i="6"/>
  <c r="BT26" i="6"/>
  <c r="BU26" i="6"/>
  <c r="BV26" i="6"/>
  <c r="BW26" i="6"/>
  <c r="BX26" i="6"/>
  <c r="BY26" i="6"/>
  <c r="BZ26" i="6"/>
  <c r="CA26" i="6"/>
  <c r="CB26" i="6"/>
  <c r="CC26" i="6"/>
  <c r="CD26" i="6"/>
  <c r="CE26" i="6"/>
  <c r="CF26" i="6"/>
  <c r="CG26" i="6"/>
  <c r="CH26" i="6"/>
  <c r="CI26" i="6"/>
  <c r="CJ26" i="6"/>
  <c r="CK26" i="6"/>
  <c r="CL26" i="6"/>
  <c r="AA17" i="7"/>
  <c r="U112" i="8"/>
  <c r="V112" i="8"/>
  <c r="BE67" i="8"/>
  <c r="BE68" i="8"/>
  <c r="BE31" i="8"/>
  <c r="BE75" i="8"/>
  <c r="A117" i="1"/>
  <c r="E36" i="10"/>
  <c r="G27" i="8"/>
  <c r="E40" i="10"/>
  <c r="E42" i="10"/>
  <c r="E17" i="4"/>
  <c r="F14" i="4"/>
  <c r="AM67" i="8"/>
  <c r="AM68" i="8"/>
  <c r="AM75" i="8"/>
  <c r="BK68" i="8"/>
  <c r="AS67" i="8"/>
  <c r="AS31" i="8"/>
  <c r="AS75" i="8"/>
  <c r="K31" i="8"/>
  <c r="K75" i="8"/>
  <c r="K67" i="8"/>
  <c r="BG68" i="8"/>
  <c r="BC116" i="1"/>
  <c r="BC142" i="1"/>
  <c r="AY68" i="8"/>
  <c r="G24" i="6"/>
  <c r="H35" i="3"/>
  <c r="G41" i="3"/>
  <c r="F27" i="8"/>
  <c r="F77" i="8"/>
  <c r="E27" i="8"/>
  <c r="G42" i="8"/>
  <c r="G28" i="8"/>
  <c r="H43" i="8"/>
  <c r="H47" i="8"/>
  <c r="H59" i="8"/>
  <c r="H60" i="8"/>
  <c r="H48" i="8"/>
  <c r="AY66" i="8"/>
  <c r="AY72" i="8"/>
  <c r="AY76" i="8"/>
  <c r="AY79" i="8"/>
  <c r="AY83" i="8"/>
  <c r="BD68" i="8"/>
  <c r="BH79" i="8"/>
  <c r="BH83" i="8"/>
  <c r="BI79" i="8"/>
  <c r="BI83" i="8"/>
  <c r="AM79" i="8"/>
  <c r="AM83" i="8"/>
  <c r="AL79" i="8"/>
  <c r="AL83" i="8"/>
  <c r="BA79" i="8"/>
  <c r="BA83" i="8"/>
  <c r="AZ79" i="8"/>
  <c r="AZ83" i="8"/>
  <c r="AU113" i="8"/>
  <c r="AO113" i="8"/>
  <c r="AN113" i="8"/>
  <c r="AT79" i="8"/>
  <c r="AT83" i="8"/>
  <c r="AU79" i="8"/>
  <c r="AU83" i="8"/>
  <c r="E112" i="8"/>
  <c r="D101" i="8"/>
  <c r="U79" i="8"/>
  <c r="U83" i="8"/>
  <c r="V79" i="8"/>
  <c r="V83" i="8"/>
  <c r="AZ113" i="8"/>
  <c r="AY113" i="8"/>
  <c r="R79" i="8"/>
  <c r="R83" i="8"/>
  <c r="Q79" i="8"/>
  <c r="Q83" i="8"/>
  <c r="BB79" i="8"/>
  <c r="BB83" i="8"/>
  <c r="BC79" i="8"/>
  <c r="BC83" i="8"/>
  <c r="BD79" i="8"/>
  <c r="BD83" i="8"/>
  <c r="BE79" i="8"/>
  <c r="BE83" i="8"/>
  <c r="BF79" i="8"/>
  <c r="BF83" i="8"/>
  <c r="BG79" i="8"/>
  <c r="BG83" i="8"/>
  <c r="AH79" i="8"/>
  <c r="AH83" i="8"/>
  <c r="AI79" i="8"/>
  <c r="AI83" i="8"/>
  <c r="AV79" i="8"/>
  <c r="AV83" i="8"/>
  <c r="AW79" i="8"/>
  <c r="AW83" i="8"/>
  <c r="T79" i="8"/>
  <c r="T83" i="8"/>
  <c r="S79" i="8"/>
  <c r="S83" i="8"/>
  <c r="N79" i="8"/>
  <c r="N83" i="8"/>
  <c r="M79" i="8"/>
  <c r="M83" i="8"/>
  <c r="AG113" i="8"/>
  <c r="AF113" i="8"/>
  <c r="AD79" i="8"/>
  <c r="AD83" i="8"/>
  <c r="AE79" i="8"/>
  <c r="AE83" i="8"/>
  <c r="K79" i="8"/>
  <c r="K83" i="8"/>
  <c r="J79" i="8"/>
  <c r="J83" i="8"/>
  <c r="AQ79" i="8"/>
  <c r="AQ83" i="8"/>
  <c r="AP79" i="8"/>
  <c r="AP83" i="8"/>
  <c r="H79" i="8"/>
  <c r="H83" i="8"/>
  <c r="I79" i="8"/>
  <c r="I83" i="8"/>
  <c r="AR113" i="8"/>
  <c r="AS113" i="8"/>
  <c r="AR111" i="8"/>
  <c r="E111" i="8"/>
  <c r="C101" i="8"/>
  <c r="AS111" i="8"/>
  <c r="AT68" i="8"/>
  <c r="AS68" i="8"/>
  <c r="BE78" i="8"/>
  <c r="BF78" i="8"/>
  <c r="AS78" i="8"/>
  <c r="AT78" i="8"/>
  <c r="F17" i="4"/>
  <c r="G14" i="4"/>
  <c r="BS78" i="8"/>
  <c r="BR78" i="8"/>
  <c r="F36" i="10"/>
  <c r="H27" i="8"/>
  <c r="F40" i="10"/>
  <c r="BI78" i="8"/>
  <c r="BJ78" i="8"/>
  <c r="P68" i="8"/>
  <c r="E28" i="8"/>
  <c r="A31" i="8"/>
  <c r="BK79" i="8"/>
  <c r="BK83" i="8"/>
  <c r="BL79" i="8"/>
  <c r="BL83" i="8"/>
  <c r="F16" i="4"/>
  <c r="G13" i="4"/>
  <c r="L12" i="4"/>
  <c r="K20" i="7"/>
  <c r="K19" i="7"/>
  <c r="X68" i="8"/>
  <c r="K68" i="8"/>
  <c r="L68" i="8"/>
  <c r="AN78" i="8"/>
  <c r="AM78" i="8"/>
  <c r="H26" i="8"/>
  <c r="F41" i="10"/>
  <c r="F42" i="10"/>
  <c r="AB17" i="7"/>
  <c r="AB16" i="7"/>
  <c r="P78" i="8"/>
  <c r="O78" i="8"/>
  <c r="AX68" i="8"/>
  <c r="BI68" i="8"/>
  <c r="BJ68" i="8"/>
  <c r="G44" i="8"/>
  <c r="BN78" i="8"/>
  <c r="BO78" i="8"/>
  <c r="W78" i="8"/>
  <c r="X78" i="8"/>
  <c r="AB78" i="8"/>
  <c r="AA78" i="8"/>
  <c r="AF68" i="8"/>
  <c r="AQ68" i="8"/>
  <c r="AR68" i="8"/>
  <c r="AW78" i="8"/>
  <c r="AX78" i="8"/>
  <c r="BN79" i="8"/>
  <c r="BN83" i="8"/>
  <c r="BO79" i="8"/>
  <c r="BO83" i="8"/>
  <c r="G59" i="8"/>
  <c r="G60" i="8"/>
  <c r="AI78" i="8"/>
  <c r="AJ78" i="8"/>
  <c r="AJ68" i="8"/>
  <c r="A116" i="1"/>
  <c r="L78" i="8"/>
  <c r="K78" i="8"/>
  <c r="D88" i="8"/>
  <c r="A72" i="8"/>
  <c r="C88" i="8"/>
  <c r="H30" i="8"/>
  <c r="H53" i="8"/>
  <c r="H32" i="8"/>
  <c r="H24" i="6"/>
  <c r="I35" i="3"/>
  <c r="H41" i="3"/>
  <c r="H42" i="8"/>
  <c r="H44" i="8"/>
  <c r="G69" i="8"/>
  <c r="G70" i="8"/>
  <c r="H71" i="8"/>
  <c r="G77" i="8"/>
  <c r="G80" i="8"/>
  <c r="G81" i="8"/>
  <c r="H82" i="8"/>
  <c r="T78" i="8"/>
  <c r="S78" i="8"/>
  <c r="AN68" i="8"/>
  <c r="AR78" i="8"/>
  <c r="AQ78" i="8"/>
  <c r="G33" i="3"/>
  <c r="F39" i="3"/>
  <c r="G35" i="10"/>
  <c r="AC15" i="7"/>
  <c r="AE78" i="8"/>
  <c r="AF78" i="8"/>
  <c r="F47" i="5"/>
  <c r="G44" i="5"/>
  <c r="BF68" i="8"/>
  <c r="BP78" i="8"/>
  <c r="BQ78" i="8"/>
  <c r="G46" i="5"/>
  <c r="H36" i="5"/>
  <c r="F40" i="3"/>
  <c r="G34" i="3"/>
  <c r="K24" i="10"/>
  <c r="J32" i="10"/>
  <c r="J33" i="10"/>
  <c r="J38" i="10"/>
  <c r="BS68" i="8"/>
  <c r="BA78" i="8"/>
  <c r="BB78" i="8"/>
  <c r="D113" i="8"/>
  <c r="E98" i="8"/>
  <c r="E113" i="8"/>
  <c r="E101" i="8"/>
  <c r="H46" i="5"/>
  <c r="I36" i="5"/>
  <c r="K32" i="10"/>
  <c r="K33" i="10"/>
  <c r="K38" i="10"/>
  <c r="L24" i="10"/>
  <c r="G40" i="3"/>
  <c r="H34" i="3"/>
  <c r="G47" i="5"/>
  <c r="H44" i="5"/>
  <c r="H35" i="10"/>
  <c r="AD15" i="7"/>
  <c r="G41" i="10"/>
  <c r="G42" i="10"/>
  <c r="I26" i="8"/>
  <c r="AC17" i="7"/>
  <c r="G16" i="4"/>
  <c r="H13" i="4"/>
  <c r="I42" i="8"/>
  <c r="H69" i="8"/>
  <c r="H70" i="8"/>
  <c r="I71" i="8"/>
  <c r="H77" i="8"/>
  <c r="H80" i="8"/>
  <c r="H81" i="8"/>
  <c r="I82" i="8"/>
  <c r="G39" i="3"/>
  <c r="H33" i="3"/>
  <c r="G36" i="10"/>
  <c r="I27" i="8"/>
  <c r="G40" i="10"/>
  <c r="H55" i="8"/>
  <c r="F28" i="8"/>
  <c r="G32" i="8"/>
  <c r="G30" i="8"/>
  <c r="AC16" i="7"/>
  <c r="I24" i="6"/>
  <c r="J35" i="3"/>
  <c r="I41" i="3"/>
  <c r="F88" i="8"/>
  <c r="I47" i="8"/>
  <c r="H28" i="8"/>
  <c r="I43" i="8"/>
  <c r="I48" i="8"/>
  <c r="M12" i="4"/>
  <c r="L20" i="7"/>
  <c r="L19" i="7"/>
  <c r="A83" i="8"/>
  <c r="C90" i="8"/>
  <c r="G17" i="4"/>
  <c r="H14" i="4"/>
  <c r="D90" i="8"/>
  <c r="F90" i="8"/>
  <c r="I30" i="8"/>
  <c r="I53" i="8"/>
  <c r="I32" i="8"/>
  <c r="AD16" i="7"/>
  <c r="H47" i="5"/>
  <c r="I44" i="5"/>
  <c r="I46" i="5"/>
  <c r="J36" i="5"/>
  <c r="I44" i="8"/>
  <c r="N12" i="4"/>
  <c r="M19" i="7"/>
  <c r="M20" i="7"/>
  <c r="I59" i="8"/>
  <c r="I60" i="8"/>
  <c r="J24" i="6"/>
  <c r="J41" i="3"/>
  <c r="K35" i="3"/>
  <c r="J47" i="8"/>
  <c r="J59" i="8"/>
  <c r="J60" i="8"/>
  <c r="J43" i="8"/>
  <c r="I28" i="8"/>
  <c r="J48" i="8"/>
  <c r="H17" i="4"/>
  <c r="I14" i="4"/>
  <c r="J42" i="8"/>
  <c r="I69" i="8"/>
  <c r="I70" i="8"/>
  <c r="J71" i="8"/>
  <c r="I77" i="8"/>
  <c r="I80" i="8"/>
  <c r="I81" i="8"/>
  <c r="J82" i="8"/>
  <c r="I33" i="3"/>
  <c r="H39" i="3"/>
  <c r="I35" i="10"/>
  <c r="AE15" i="7"/>
  <c r="H40" i="3"/>
  <c r="I34" i="3"/>
  <c r="M24" i="10"/>
  <c r="L32" i="10"/>
  <c r="L33" i="10"/>
  <c r="L38" i="10"/>
  <c r="G53" i="8"/>
  <c r="H16" i="4"/>
  <c r="I13" i="4"/>
  <c r="J26" i="8"/>
  <c r="H41" i="10"/>
  <c r="H42" i="10"/>
  <c r="AD17" i="7"/>
  <c r="H36" i="10"/>
  <c r="J27" i="8"/>
  <c r="H40" i="10"/>
  <c r="J35" i="10"/>
  <c r="AF15" i="7"/>
  <c r="I17" i="4"/>
  <c r="J14" i="4"/>
  <c r="J30" i="8"/>
  <c r="J32" i="8"/>
  <c r="J69" i="8"/>
  <c r="J70" i="8"/>
  <c r="K71" i="8"/>
  <c r="J77" i="8"/>
  <c r="J80" i="8"/>
  <c r="J81" i="8"/>
  <c r="K82" i="8"/>
  <c r="K42" i="8"/>
  <c r="K43" i="8"/>
  <c r="K44" i="8"/>
  <c r="J28" i="8"/>
  <c r="K48" i="8"/>
  <c r="K47" i="8"/>
  <c r="K59" i="8"/>
  <c r="K60" i="8"/>
  <c r="M32" i="10"/>
  <c r="M33" i="10"/>
  <c r="M38" i="10"/>
  <c r="N24" i="10"/>
  <c r="I36" i="10"/>
  <c r="K27" i="8"/>
  <c r="I40" i="10"/>
  <c r="J44" i="8"/>
  <c r="J46" i="5"/>
  <c r="K36" i="5"/>
  <c r="I55" i="8"/>
  <c r="I106" i="8"/>
  <c r="I104" i="8"/>
  <c r="K26" i="8"/>
  <c r="I41" i="10"/>
  <c r="I42" i="10"/>
  <c r="AE17" i="7"/>
  <c r="I40" i="3"/>
  <c r="J34" i="3"/>
  <c r="N19" i="7"/>
  <c r="O12" i="4"/>
  <c r="N20" i="7"/>
  <c r="AE16" i="7"/>
  <c r="I16" i="4"/>
  <c r="J13" i="4"/>
  <c r="G55" i="8"/>
  <c r="H106" i="8"/>
  <c r="H104" i="8"/>
  <c r="I39" i="3"/>
  <c r="J33" i="3"/>
  <c r="K24" i="6"/>
  <c r="L35" i="3"/>
  <c r="K41" i="3"/>
  <c r="I47" i="5"/>
  <c r="J44" i="5"/>
  <c r="AF16" i="7"/>
  <c r="J40" i="3"/>
  <c r="K34" i="3"/>
  <c r="K46" i="5"/>
  <c r="L36" i="5"/>
  <c r="K77" i="8"/>
  <c r="K80" i="8"/>
  <c r="K81" i="8"/>
  <c r="L82" i="8"/>
  <c r="L42" i="8"/>
  <c r="K69" i="8"/>
  <c r="K70" i="8"/>
  <c r="L71" i="8"/>
  <c r="J53" i="8"/>
  <c r="J36" i="10"/>
  <c r="L27" i="8"/>
  <c r="J40" i="10"/>
  <c r="J39" i="3"/>
  <c r="K33" i="3"/>
  <c r="K28" i="8"/>
  <c r="L43" i="8"/>
  <c r="L47" i="8"/>
  <c r="L48" i="8"/>
  <c r="O24" i="10"/>
  <c r="N32" i="10"/>
  <c r="N33" i="10"/>
  <c r="N38" i="10"/>
  <c r="K32" i="8"/>
  <c r="K30" i="8"/>
  <c r="K53" i="8"/>
  <c r="J17" i="4"/>
  <c r="K14" i="4"/>
  <c r="J16" i="4"/>
  <c r="K13" i="4"/>
  <c r="L26" i="8"/>
  <c r="J41" i="10"/>
  <c r="J42" i="10"/>
  <c r="AF17" i="7"/>
  <c r="J47" i="5"/>
  <c r="K44" i="5"/>
  <c r="L24" i="6"/>
  <c r="M35" i="3"/>
  <c r="L41" i="3"/>
  <c r="O20" i="7"/>
  <c r="P12" i="4"/>
  <c r="O19" i="7"/>
  <c r="K35" i="10"/>
  <c r="AG15" i="7"/>
  <c r="L44" i="8"/>
  <c r="L46" i="5"/>
  <c r="M36" i="5"/>
  <c r="AG16" i="7"/>
  <c r="K17" i="4"/>
  <c r="L14" i="4"/>
  <c r="M24" i="6"/>
  <c r="N35" i="3"/>
  <c r="M41" i="3"/>
  <c r="L28" i="8"/>
  <c r="M43" i="8"/>
  <c r="M48" i="8"/>
  <c r="M47" i="8"/>
  <c r="M59" i="8"/>
  <c r="M60" i="8"/>
  <c r="O32" i="10"/>
  <c r="O33" i="10"/>
  <c r="O38" i="10"/>
  <c r="P24" i="10"/>
  <c r="L30" i="8"/>
  <c r="L53" i="8"/>
  <c r="L32" i="8"/>
  <c r="L77" i="8"/>
  <c r="L80" i="8"/>
  <c r="L81" i="8"/>
  <c r="M82" i="8"/>
  <c r="L69" i="8"/>
  <c r="L70" i="8"/>
  <c r="M71" i="8"/>
  <c r="M42" i="8"/>
  <c r="L35" i="10"/>
  <c r="AH15" i="7"/>
  <c r="M26" i="8"/>
  <c r="K41" i="10"/>
  <c r="AG17" i="7"/>
  <c r="K16" i="4"/>
  <c r="L13" i="4"/>
  <c r="K104" i="8"/>
  <c r="K55" i="8"/>
  <c r="K39" i="3"/>
  <c r="L33" i="3"/>
  <c r="K40" i="3"/>
  <c r="L34" i="3"/>
  <c r="Q12" i="4"/>
  <c r="P20" i="7"/>
  <c r="P19" i="7"/>
  <c r="K36" i="10"/>
  <c r="M27" i="8"/>
  <c r="K40" i="10"/>
  <c r="K47" i="5"/>
  <c r="L44" i="5"/>
  <c r="L59" i="8"/>
  <c r="L60" i="8"/>
  <c r="J55" i="8"/>
  <c r="J106" i="8"/>
  <c r="J104" i="8"/>
  <c r="R12" i="4"/>
  <c r="Q19" i="7"/>
  <c r="Q20" i="7"/>
  <c r="M33" i="3"/>
  <c r="L39" i="3"/>
  <c r="L16" i="4"/>
  <c r="M13" i="4"/>
  <c r="K42" i="10"/>
  <c r="N42" i="8"/>
  <c r="M69" i="8"/>
  <c r="M70" i="8"/>
  <c r="N71" i="8"/>
  <c r="M77" i="8"/>
  <c r="M80" i="8"/>
  <c r="M81" i="8"/>
  <c r="N82" i="8"/>
  <c r="L40" i="3"/>
  <c r="M34" i="3"/>
  <c r="N47" i="8"/>
  <c r="M28" i="8"/>
  <c r="N43" i="8"/>
  <c r="N44" i="8"/>
  <c r="N48" i="8"/>
  <c r="L55" i="8"/>
  <c r="L106" i="8"/>
  <c r="L104" i="8"/>
  <c r="N24" i="6"/>
  <c r="N41" i="3"/>
  <c r="O35" i="3"/>
  <c r="AH16" i="7"/>
  <c r="L47" i="5"/>
  <c r="M44" i="5"/>
  <c r="K106" i="8"/>
  <c r="N26" i="8"/>
  <c r="L41" i="10"/>
  <c r="L42" i="10"/>
  <c r="AH17" i="7"/>
  <c r="M35" i="10"/>
  <c r="AI15" i="7"/>
  <c r="Q24" i="10"/>
  <c r="P32" i="10"/>
  <c r="P33" i="10"/>
  <c r="P38" i="10"/>
  <c r="M44" i="8"/>
  <c r="L36" i="10"/>
  <c r="N27" i="8"/>
  <c r="L40" i="10"/>
  <c r="M30" i="8"/>
  <c r="M32" i="8"/>
  <c r="L17" i="4"/>
  <c r="M14" i="4"/>
  <c r="M46" i="5"/>
  <c r="N36" i="5"/>
  <c r="O42" i="8"/>
  <c r="N69" i="8"/>
  <c r="N70" i="8"/>
  <c r="O71" i="8"/>
  <c r="N77" i="8"/>
  <c r="N80" i="8"/>
  <c r="N81" i="8"/>
  <c r="O82" i="8"/>
  <c r="N35" i="10"/>
  <c r="AJ15" i="7"/>
  <c r="O24" i="6"/>
  <c r="P35" i="3"/>
  <c r="O41" i="3"/>
  <c r="N59" i="8"/>
  <c r="N60" i="8"/>
  <c r="M16" i="4"/>
  <c r="N13" i="4"/>
  <c r="N46" i="5"/>
  <c r="O36" i="5"/>
  <c r="M53" i="8"/>
  <c r="M36" i="10"/>
  <c r="O27" i="8"/>
  <c r="M40" i="10"/>
  <c r="O43" i="8"/>
  <c r="O44" i="8"/>
  <c r="N28" i="8"/>
  <c r="O48" i="8"/>
  <c r="O47" i="8"/>
  <c r="O59" i="8"/>
  <c r="O60" i="8"/>
  <c r="M40" i="3"/>
  <c r="N34" i="3"/>
  <c r="M17" i="4"/>
  <c r="N14" i="4"/>
  <c r="O26" i="8"/>
  <c r="M41" i="10"/>
  <c r="M42" i="10"/>
  <c r="AI17" i="7"/>
  <c r="AI16" i="7"/>
  <c r="S12" i="4"/>
  <c r="R19" i="7"/>
  <c r="R20" i="7"/>
  <c r="Q32" i="10"/>
  <c r="Q33" i="10"/>
  <c r="Q38" i="10"/>
  <c r="R24" i="10"/>
  <c r="M47" i="5"/>
  <c r="N44" i="5"/>
  <c r="N30" i="8"/>
  <c r="N53" i="8"/>
  <c r="N32" i="8"/>
  <c r="M39" i="3"/>
  <c r="N33" i="3"/>
  <c r="N39" i="3"/>
  <c r="O33" i="3"/>
  <c r="AJ16" i="7"/>
  <c r="N40" i="3"/>
  <c r="O34" i="3"/>
  <c r="O30" i="8"/>
  <c r="O53" i="8"/>
  <c r="O32" i="8"/>
  <c r="N16" i="4"/>
  <c r="O13" i="4"/>
  <c r="N36" i="10"/>
  <c r="P27" i="8"/>
  <c r="N40" i="10"/>
  <c r="S24" i="10"/>
  <c r="R32" i="10"/>
  <c r="R33" i="10"/>
  <c r="R38" i="10"/>
  <c r="N47" i="5"/>
  <c r="O44" i="5"/>
  <c r="P42" i="8"/>
  <c r="O28" i="8"/>
  <c r="P48" i="8"/>
  <c r="P47" i="8"/>
  <c r="P59" i="8"/>
  <c r="P60" i="8"/>
  <c r="P43" i="8"/>
  <c r="P44" i="8"/>
  <c r="M55" i="8"/>
  <c r="M106" i="8"/>
  <c r="M104" i="8"/>
  <c r="P24" i="6"/>
  <c r="Q35" i="3"/>
  <c r="P41" i="3"/>
  <c r="N17" i="4"/>
  <c r="O14" i="4"/>
  <c r="O46" i="5"/>
  <c r="P36" i="5"/>
  <c r="P26" i="8"/>
  <c r="N41" i="10"/>
  <c r="N42" i="10"/>
  <c r="AJ17" i="7"/>
  <c r="N55" i="8"/>
  <c r="N106" i="8"/>
  <c r="N104" i="8"/>
  <c r="S20" i="7"/>
  <c r="S19" i="7"/>
  <c r="T12" i="4"/>
  <c r="O69" i="8"/>
  <c r="O70" i="8"/>
  <c r="P71" i="8"/>
  <c r="O77" i="8"/>
  <c r="O35" i="10"/>
  <c r="AK15" i="7"/>
  <c r="Q43" i="8"/>
  <c r="Q47" i="8"/>
  <c r="Q59" i="8"/>
  <c r="Q60" i="8"/>
  <c r="P28" i="8"/>
  <c r="Q48" i="8"/>
  <c r="Q42" i="8"/>
  <c r="P69" i="8"/>
  <c r="P70" i="8"/>
  <c r="Q71" i="8"/>
  <c r="P77" i="8"/>
  <c r="P80" i="8"/>
  <c r="P81" i="8"/>
  <c r="Q82" i="8"/>
  <c r="AK16" i="7"/>
  <c r="P35" i="10"/>
  <c r="AL15" i="7"/>
  <c r="O80" i="8"/>
  <c r="O81" i="8"/>
  <c r="P82" i="8"/>
  <c r="P46" i="5"/>
  <c r="Q36" i="5"/>
  <c r="P30" i="8"/>
  <c r="P53" i="8"/>
  <c r="P32" i="8"/>
  <c r="O16" i="4"/>
  <c r="P13" i="4"/>
  <c r="O104" i="8"/>
  <c r="O55" i="8"/>
  <c r="O106" i="8"/>
  <c r="O36" i="10"/>
  <c r="Q27" i="8"/>
  <c r="O40" i="10"/>
  <c r="Q26" i="8"/>
  <c r="O41" i="10"/>
  <c r="AK17" i="7"/>
  <c r="Q24" i="6"/>
  <c r="R35" i="3"/>
  <c r="Q41" i="3"/>
  <c r="S32" i="10"/>
  <c r="S33" i="10"/>
  <c r="S38" i="10"/>
  <c r="T24" i="10"/>
  <c r="O40" i="3"/>
  <c r="P34" i="3"/>
  <c r="O39" i="3"/>
  <c r="P33" i="3"/>
  <c r="U12" i="4"/>
  <c r="T19" i="7"/>
  <c r="T20" i="7"/>
  <c r="O17" i="4"/>
  <c r="P14" i="4"/>
  <c r="O47" i="5"/>
  <c r="P44" i="5"/>
  <c r="P47" i="5"/>
  <c r="Q44" i="5"/>
  <c r="P40" i="3"/>
  <c r="Q34" i="3"/>
  <c r="Q69" i="8"/>
  <c r="Q70" i="8"/>
  <c r="R71" i="8"/>
  <c r="R42" i="8"/>
  <c r="Q77" i="8"/>
  <c r="Q80" i="8"/>
  <c r="Q81" i="8"/>
  <c r="R82" i="8"/>
  <c r="Q46" i="5"/>
  <c r="R36" i="5"/>
  <c r="Q35" i="10"/>
  <c r="AM15" i="7"/>
  <c r="P17" i="4"/>
  <c r="Q14" i="4"/>
  <c r="V12" i="4"/>
  <c r="U20" i="7"/>
  <c r="U19" i="7"/>
  <c r="R24" i="6"/>
  <c r="R41" i="3"/>
  <c r="S35" i="3"/>
  <c r="O42" i="10"/>
  <c r="P36" i="10"/>
  <c r="R27" i="8"/>
  <c r="P40" i="10"/>
  <c r="Q30" i="8"/>
  <c r="Q53" i="8"/>
  <c r="Q32" i="8"/>
  <c r="Q33" i="3"/>
  <c r="P39" i="3"/>
  <c r="U24" i="10"/>
  <c r="T32" i="10"/>
  <c r="T33" i="10"/>
  <c r="T38" i="10"/>
  <c r="R47" i="8"/>
  <c r="R59" i="8"/>
  <c r="R60" i="8"/>
  <c r="Q28" i="8"/>
  <c r="R48" i="8"/>
  <c r="R43" i="8"/>
  <c r="R44" i="8"/>
  <c r="AL16" i="7"/>
  <c r="R26" i="8"/>
  <c r="P41" i="10"/>
  <c r="P42" i="10"/>
  <c r="AL17" i="7"/>
  <c r="P16" i="4"/>
  <c r="Q13" i="4"/>
  <c r="P55" i="8"/>
  <c r="P106" i="8"/>
  <c r="P104" i="8"/>
  <c r="Q44" i="8"/>
  <c r="R28" i="8"/>
  <c r="S47" i="8"/>
  <c r="S59" i="8"/>
  <c r="S60" i="8"/>
  <c r="S43" i="8"/>
  <c r="S48" i="8"/>
  <c r="Q40" i="3"/>
  <c r="R34" i="3"/>
  <c r="S26" i="8"/>
  <c r="Q41" i="10"/>
  <c r="AM17" i="7"/>
  <c r="U32" i="10"/>
  <c r="U33" i="10"/>
  <c r="U38" i="10"/>
  <c r="V24" i="10"/>
  <c r="Q55" i="8"/>
  <c r="Q106" i="8"/>
  <c r="Q104" i="8"/>
  <c r="S24" i="6"/>
  <c r="T35" i="3"/>
  <c r="S41" i="3"/>
  <c r="R35" i="10"/>
  <c r="AN15" i="7"/>
  <c r="AM16" i="7"/>
  <c r="R30" i="8"/>
  <c r="R53" i="8"/>
  <c r="R32" i="8"/>
  <c r="W12" i="4"/>
  <c r="V20" i="7"/>
  <c r="V19" i="7"/>
  <c r="Q36" i="10"/>
  <c r="S27" i="8"/>
  <c r="Q40" i="10"/>
  <c r="Q47" i="5"/>
  <c r="R44" i="5"/>
  <c r="Q16" i="4"/>
  <c r="R13" i="4"/>
  <c r="Q39" i="3"/>
  <c r="R33" i="3"/>
  <c r="R69" i="8"/>
  <c r="R70" i="8"/>
  <c r="S71" i="8"/>
  <c r="S42" i="8"/>
  <c r="R77" i="8"/>
  <c r="R80" i="8"/>
  <c r="R81" i="8"/>
  <c r="S82" i="8"/>
  <c r="R14" i="4"/>
  <c r="Q17" i="4"/>
  <c r="R46" i="5"/>
  <c r="S36" i="5"/>
  <c r="T42" i="8"/>
  <c r="S69" i="8"/>
  <c r="S70" i="8"/>
  <c r="T71" i="8"/>
  <c r="S77" i="8"/>
  <c r="S80" i="8"/>
  <c r="S81" i="8"/>
  <c r="T82" i="8"/>
  <c r="S35" i="10"/>
  <c r="AO15" i="7"/>
  <c r="T47" i="8"/>
  <c r="T59" i="8"/>
  <c r="T60" i="8"/>
  <c r="S28" i="8"/>
  <c r="T43" i="8"/>
  <c r="T44" i="8"/>
  <c r="T48" i="8"/>
  <c r="S33" i="3"/>
  <c r="R39" i="3"/>
  <c r="R47" i="5"/>
  <c r="S44" i="5"/>
  <c r="R55" i="8"/>
  <c r="R106" i="8"/>
  <c r="R104" i="8"/>
  <c r="R36" i="10"/>
  <c r="T27" i="8"/>
  <c r="R40" i="10"/>
  <c r="T26" i="8"/>
  <c r="R41" i="10"/>
  <c r="R42" i="10"/>
  <c r="AN17" i="7"/>
  <c r="R40" i="3"/>
  <c r="S34" i="3"/>
  <c r="S44" i="8"/>
  <c r="AN16" i="7"/>
  <c r="R17" i="4"/>
  <c r="S14" i="4"/>
  <c r="S46" i="5"/>
  <c r="T36" i="5"/>
  <c r="R16" i="4"/>
  <c r="S13" i="4"/>
  <c r="W19" i="7"/>
  <c r="W20" i="7"/>
  <c r="X12" i="4"/>
  <c r="T24" i="6"/>
  <c r="U35" i="3"/>
  <c r="T41" i="3"/>
  <c r="W24" i="10"/>
  <c r="V32" i="10"/>
  <c r="V33" i="10"/>
  <c r="V38" i="10"/>
  <c r="Q42" i="10"/>
  <c r="S30" i="8"/>
  <c r="S53" i="8"/>
  <c r="S32" i="8"/>
  <c r="S104" i="8"/>
  <c r="S55" i="8"/>
  <c r="X24" i="10"/>
  <c r="W32" i="10"/>
  <c r="W33" i="10"/>
  <c r="W38" i="10"/>
  <c r="Y12" i="4"/>
  <c r="X20" i="7"/>
  <c r="X19" i="7"/>
  <c r="S40" i="3"/>
  <c r="T34" i="3"/>
  <c r="T30" i="8"/>
  <c r="T53" i="8"/>
  <c r="T32" i="8"/>
  <c r="S36" i="10"/>
  <c r="U27" i="8"/>
  <c r="S40" i="10"/>
  <c r="AO16" i="7"/>
  <c r="U47" i="8"/>
  <c r="U59" i="8"/>
  <c r="U60" i="8"/>
  <c r="U43" i="8"/>
  <c r="T28" i="8"/>
  <c r="U48" i="8"/>
  <c r="S39" i="3"/>
  <c r="T33" i="3"/>
  <c r="T46" i="5"/>
  <c r="U36" i="5"/>
  <c r="U24" i="6"/>
  <c r="V35" i="3"/>
  <c r="U41" i="3"/>
  <c r="U26" i="8"/>
  <c r="S41" i="10"/>
  <c r="S42" i="10"/>
  <c r="AO17" i="7"/>
  <c r="S47" i="5"/>
  <c r="T44" i="5"/>
  <c r="S16" i="4"/>
  <c r="T13" i="4"/>
  <c r="S17" i="4"/>
  <c r="T14" i="4"/>
  <c r="U42" i="8"/>
  <c r="T69" i="8"/>
  <c r="T70" i="8"/>
  <c r="U71" i="8"/>
  <c r="T77" i="8"/>
  <c r="T80" i="8"/>
  <c r="T81" i="8"/>
  <c r="U82" i="8"/>
  <c r="T35" i="10"/>
  <c r="AP15" i="7"/>
  <c r="T47" i="5"/>
  <c r="U44" i="5"/>
  <c r="V42" i="8"/>
  <c r="U77" i="8"/>
  <c r="U80" i="8"/>
  <c r="U81" i="8"/>
  <c r="V82" i="8"/>
  <c r="U69" i="8"/>
  <c r="U70" i="8"/>
  <c r="V71" i="8"/>
  <c r="T36" i="10"/>
  <c r="V27" i="8"/>
  <c r="T40" i="10"/>
  <c r="T16" i="4"/>
  <c r="U13" i="4"/>
  <c r="U28" i="8"/>
  <c r="V43" i="8"/>
  <c r="V44" i="8"/>
  <c r="V47" i="8"/>
  <c r="V59" i="8"/>
  <c r="V60" i="8"/>
  <c r="V48" i="8"/>
  <c r="U46" i="5"/>
  <c r="V36" i="5"/>
  <c r="AP16" i="7"/>
  <c r="Y24" i="10"/>
  <c r="X32" i="10"/>
  <c r="X33" i="10"/>
  <c r="X38" i="10"/>
  <c r="U35" i="10"/>
  <c r="AQ15" i="7"/>
  <c r="V26" i="8"/>
  <c r="T41" i="10"/>
  <c r="T42" i="10"/>
  <c r="AP17" i="7"/>
  <c r="U30" i="8"/>
  <c r="U53" i="8"/>
  <c r="U32" i="8"/>
  <c r="T55" i="8"/>
  <c r="T104" i="8"/>
  <c r="T106" i="8"/>
  <c r="S106" i="8"/>
  <c r="T17" i="4"/>
  <c r="U14" i="4"/>
  <c r="V24" i="6"/>
  <c r="V41" i="3"/>
  <c r="W35" i="3"/>
  <c r="U33" i="3"/>
  <c r="T39" i="3"/>
  <c r="U44" i="8"/>
  <c r="T40" i="3"/>
  <c r="U34" i="3"/>
  <c r="Y19" i="7"/>
  <c r="Y20" i="7"/>
  <c r="Z12" i="4"/>
  <c r="V46" i="5"/>
  <c r="W36" i="5"/>
  <c r="U55" i="8"/>
  <c r="U106" i="8"/>
  <c r="U104" i="8"/>
  <c r="W43" i="8"/>
  <c r="V28" i="8"/>
  <c r="W47" i="8"/>
  <c r="W59" i="8"/>
  <c r="W60" i="8"/>
  <c r="W48" i="8"/>
  <c r="Z24" i="10"/>
  <c r="Y32" i="10"/>
  <c r="Y33" i="10"/>
  <c r="Y38" i="10"/>
  <c r="V30" i="8"/>
  <c r="V53" i="8"/>
  <c r="V32" i="8"/>
  <c r="W42" i="8"/>
  <c r="V69" i="8"/>
  <c r="V70" i="8"/>
  <c r="W71" i="8"/>
  <c r="V77" i="8"/>
  <c r="U40" i="3"/>
  <c r="V34" i="3"/>
  <c r="U39" i="3"/>
  <c r="V33" i="3"/>
  <c r="U17" i="4"/>
  <c r="V14" i="4"/>
  <c r="W26" i="8"/>
  <c r="U41" i="10"/>
  <c r="AQ17" i="7"/>
  <c r="V35" i="10"/>
  <c r="AR15" i="7"/>
  <c r="AQ16" i="7"/>
  <c r="U16" i="4"/>
  <c r="V13" i="4"/>
  <c r="U47" i="5"/>
  <c r="V44" i="5"/>
  <c r="AA12" i="4"/>
  <c r="Z20" i="7"/>
  <c r="Z19" i="7"/>
  <c r="W24" i="6"/>
  <c r="X35" i="3"/>
  <c r="W41" i="3"/>
  <c r="U36" i="10"/>
  <c r="W27" i="8"/>
  <c r="U40" i="10"/>
  <c r="V16" i="4"/>
  <c r="W13" i="4"/>
  <c r="W35" i="10"/>
  <c r="AS15" i="7"/>
  <c r="U42" i="10"/>
  <c r="V39" i="3"/>
  <c r="W33" i="3"/>
  <c r="V80" i="8"/>
  <c r="V81" i="8"/>
  <c r="W82" i="8"/>
  <c r="V55" i="8"/>
  <c r="V106" i="8"/>
  <c r="V104" i="8"/>
  <c r="V36" i="10"/>
  <c r="X27" i="8"/>
  <c r="V40" i="10"/>
  <c r="W28" i="8"/>
  <c r="X43" i="8"/>
  <c r="X47" i="8"/>
  <c r="X59" i="8"/>
  <c r="X60" i="8"/>
  <c r="X48" i="8"/>
  <c r="W30" i="8"/>
  <c r="W53" i="8"/>
  <c r="W32" i="8"/>
  <c r="W46" i="5"/>
  <c r="X36" i="5"/>
  <c r="X24" i="6"/>
  <c r="Y35" i="3"/>
  <c r="X41" i="3"/>
  <c r="AR16" i="7"/>
  <c r="X26" i="8"/>
  <c r="V41" i="10"/>
  <c r="V42" i="10"/>
  <c r="AR17" i="7"/>
  <c r="V17" i="4"/>
  <c r="W14" i="4"/>
  <c r="V40" i="3"/>
  <c r="W34" i="3"/>
  <c r="AA24" i="10"/>
  <c r="Z32" i="10"/>
  <c r="Z33" i="10"/>
  <c r="Z38" i="10"/>
  <c r="W44" i="8"/>
  <c r="AB12" i="4"/>
  <c r="AA19" i="7"/>
  <c r="AA20" i="7"/>
  <c r="V47" i="5"/>
  <c r="W44" i="5"/>
  <c r="W77" i="8"/>
  <c r="W80" i="8"/>
  <c r="W81" i="8"/>
  <c r="X82" i="8"/>
  <c r="X42" i="8"/>
  <c r="W69" i="8"/>
  <c r="W70" i="8"/>
  <c r="X71" i="8"/>
  <c r="Y26" i="8"/>
  <c r="W41" i="10"/>
  <c r="AS17" i="7"/>
  <c r="AB24" i="10"/>
  <c r="AA32" i="10"/>
  <c r="AA33" i="10"/>
  <c r="AA38" i="10"/>
  <c r="X28" i="8"/>
  <c r="Y47" i="8"/>
  <c r="Y59" i="8"/>
  <c r="Y60" i="8"/>
  <c r="Y48" i="8"/>
  <c r="Y43" i="8"/>
  <c r="Y44" i="8"/>
  <c r="Y24" i="6"/>
  <c r="Z35" i="3"/>
  <c r="Y41" i="3"/>
  <c r="X69" i="8"/>
  <c r="X70" i="8"/>
  <c r="Y71" i="8"/>
  <c r="Y42" i="8"/>
  <c r="X77" i="8"/>
  <c r="X80" i="8"/>
  <c r="X81" i="8"/>
  <c r="Y82" i="8"/>
  <c r="X35" i="10"/>
  <c r="AT15" i="7"/>
  <c r="W40" i="3"/>
  <c r="X34" i="3"/>
  <c r="AS16" i="7"/>
  <c r="W55" i="8"/>
  <c r="W106" i="8"/>
  <c r="W104" i="8"/>
  <c r="X44" i="8"/>
  <c r="W39" i="3"/>
  <c r="X33" i="3"/>
  <c r="W36" i="10"/>
  <c r="Y27" i="8"/>
  <c r="W40" i="10"/>
  <c r="W47" i="5"/>
  <c r="X44" i="5"/>
  <c r="X46" i="5"/>
  <c r="Y36" i="5"/>
  <c r="X30" i="8"/>
  <c r="X53" i="8"/>
  <c r="X32" i="8"/>
  <c r="W16" i="4"/>
  <c r="X13" i="4"/>
  <c r="AC12" i="4"/>
  <c r="AB19" i="7"/>
  <c r="AB20" i="7"/>
  <c r="W17" i="4"/>
  <c r="X14" i="4"/>
  <c r="Z42" i="8"/>
  <c r="Y77" i="8"/>
  <c r="Y80" i="8"/>
  <c r="Y81" i="8"/>
  <c r="Z82" i="8"/>
  <c r="Y69" i="8"/>
  <c r="Y70" i="8"/>
  <c r="Z71" i="8"/>
  <c r="X40" i="3"/>
  <c r="Y34" i="3"/>
  <c r="Z24" i="6"/>
  <c r="Z41" i="3"/>
  <c r="AA35" i="3"/>
  <c r="Z26" i="8"/>
  <c r="X41" i="10"/>
  <c r="AT17" i="7"/>
  <c r="X17" i="4"/>
  <c r="Y14" i="4"/>
  <c r="X47" i="5"/>
  <c r="Y44" i="5"/>
  <c r="Y33" i="3"/>
  <c r="X39" i="3"/>
  <c r="Y32" i="8"/>
  <c r="Y30" i="8"/>
  <c r="Y53" i="8"/>
  <c r="AD12" i="4"/>
  <c r="AC19" i="7"/>
  <c r="AC20" i="7"/>
  <c r="Y35" i="10"/>
  <c r="AU15" i="7"/>
  <c r="W42" i="10"/>
  <c r="X55" i="8"/>
  <c r="X106" i="8"/>
  <c r="X104" i="8"/>
  <c r="AT16" i="7"/>
  <c r="X16" i="4"/>
  <c r="Y13" i="4"/>
  <c r="Y46" i="5"/>
  <c r="Z36" i="5"/>
  <c r="X36" i="10"/>
  <c r="Z27" i="8"/>
  <c r="X40" i="10"/>
  <c r="AC24" i="10"/>
  <c r="AB32" i="10"/>
  <c r="AB33" i="10"/>
  <c r="AB38" i="10"/>
  <c r="Z47" i="8"/>
  <c r="Z59" i="8"/>
  <c r="Z60" i="8"/>
  <c r="Y28" i="8"/>
  <c r="Z43" i="8"/>
  <c r="Z44" i="8"/>
  <c r="Z48" i="8"/>
  <c r="Y104" i="8"/>
  <c r="Y55" i="8"/>
  <c r="Y106" i="8"/>
  <c r="Y47" i="5"/>
  <c r="Z44" i="5"/>
  <c r="AA26" i="8"/>
  <c r="Y41" i="10"/>
  <c r="Y42" i="10"/>
  <c r="AU17" i="7"/>
  <c r="AA24" i="6"/>
  <c r="AB35" i="3"/>
  <c r="AA41" i="3"/>
  <c r="AA42" i="8"/>
  <c r="Z77" i="8"/>
  <c r="Z80" i="8"/>
  <c r="Z81" i="8"/>
  <c r="AA82" i="8"/>
  <c r="Z69" i="8"/>
  <c r="Z70" i="8"/>
  <c r="AA71" i="8"/>
  <c r="Y36" i="10"/>
  <c r="AA27" i="8"/>
  <c r="Y40" i="10"/>
  <c r="AU16" i="7"/>
  <c r="AD24" i="10"/>
  <c r="AC32" i="10"/>
  <c r="AC33" i="10"/>
  <c r="AC38" i="10"/>
  <c r="Y17" i="4"/>
  <c r="Z14" i="4"/>
  <c r="X42" i="10"/>
  <c r="Z46" i="5"/>
  <c r="AA36" i="5"/>
  <c r="Z30" i="8"/>
  <c r="Z53" i="8"/>
  <c r="Z32" i="8"/>
  <c r="Y16" i="4"/>
  <c r="Z13" i="4"/>
  <c r="Z35" i="10"/>
  <c r="AV15" i="7"/>
  <c r="AE12" i="4"/>
  <c r="AD20" i="7"/>
  <c r="AD19" i="7"/>
  <c r="Y39" i="3"/>
  <c r="Z33" i="3"/>
  <c r="Z28" i="8"/>
  <c r="AA47" i="8"/>
  <c r="AA59" i="8"/>
  <c r="AA60" i="8"/>
  <c r="AA43" i="8"/>
  <c r="AA44" i="8"/>
  <c r="AA48" i="8"/>
  <c r="Y40" i="3"/>
  <c r="Z34" i="3"/>
  <c r="AA35" i="10"/>
  <c r="AW15" i="7"/>
  <c r="AE24" i="10"/>
  <c r="AD32" i="10"/>
  <c r="AD33" i="10"/>
  <c r="AD38" i="10"/>
  <c r="AA77" i="8"/>
  <c r="AA80" i="8"/>
  <c r="AA81" i="8"/>
  <c r="AB82" i="8"/>
  <c r="AA69" i="8"/>
  <c r="AA70" i="8"/>
  <c r="AB71" i="8"/>
  <c r="AB42" i="8"/>
  <c r="AB26" i="8"/>
  <c r="Z41" i="10"/>
  <c r="AV17" i="7"/>
  <c r="Z47" i="5"/>
  <c r="AA44" i="5"/>
  <c r="Z17" i="4"/>
  <c r="AA14" i="4"/>
  <c r="AV16" i="7"/>
  <c r="Z40" i="3"/>
  <c r="AA34" i="3"/>
  <c r="Z55" i="8"/>
  <c r="Z106" i="8"/>
  <c r="Z104" i="8"/>
  <c r="AA30" i="8"/>
  <c r="AA53" i="8"/>
  <c r="AA32" i="8"/>
  <c r="Z16" i="4"/>
  <c r="AA13" i="4"/>
  <c r="AA46" i="5"/>
  <c r="AB36" i="5"/>
  <c r="AB24" i="6"/>
  <c r="AC35" i="3"/>
  <c r="AB41" i="3"/>
  <c r="Z36" i="10"/>
  <c r="AB27" i="8"/>
  <c r="Z40" i="10"/>
  <c r="Z39" i="3"/>
  <c r="AA33" i="3"/>
  <c r="AF12" i="4"/>
  <c r="AE19" i="7"/>
  <c r="AE20" i="7"/>
  <c r="AA28" i="8"/>
  <c r="AB43" i="8"/>
  <c r="AB44" i="8"/>
  <c r="AB47" i="8"/>
  <c r="AB59" i="8"/>
  <c r="AB60" i="8"/>
  <c r="AB48" i="8"/>
  <c r="AG12" i="4"/>
  <c r="AF20" i="7"/>
  <c r="AF19" i="7"/>
  <c r="AC42" i="8"/>
  <c r="AB69" i="8"/>
  <c r="AB70" i="8"/>
  <c r="AC71" i="8"/>
  <c r="AB77" i="8"/>
  <c r="AB80" i="8"/>
  <c r="AB81" i="8"/>
  <c r="AC82" i="8"/>
  <c r="AC47" i="8"/>
  <c r="AC59" i="8"/>
  <c r="AC60" i="8"/>
  <c r="AC43" i="8"/>
  <c r="AC44" i="8"/>
  <c r="AB28" i="8"/>
  <c r="AC48" i="8"/>
  <c r="AA39" i="3"/>
  <c r="AB33" i="3"/>
  <c r="AB46" i="5"/>
  <c r="AC36" i="5"/>
  <c r="AA40" i="3"/>
  <c r="AB34" i="3"/>
  <c r="AA17" i="4"/>
  <c r="AB14" i="4"/>
  <c r="AC26" i="8"/>
  <c r="AA41" i="10"/>
  <c r="AW17" i="7"/>
  <c r="AF24" i="10"/>
  <c r="AE32" i="10"/>
  <c r="AE33" i="10"/>
  <c r="AE38" i="10"/>
  <c r="AA104" i="8"/>
  <c r="AA55" i="8"/>
  <c r="AA106" i="8"/>
  <c r="Z42" i="10"/>
  <c r="AB35" i="10"/>
  <c r="AX15" i="7"/>
  <c r="AB30" i="8"/>
  <c r="AB53" i="8"/>
  <c r="AB32" i="8"/>
  <c r="AC24" i="6"/>
  <c r="AD35" i="3"/>
  <c r="AC41" i="3"/>
  <c r="AA16" i="4"/>
  <c r="AB13" i="4"/>
  <c r="AW16" i="7"/>
  <c r="AA47" i="5"/>
  <c r="AB44" i="5"/>
  <c r="AA36" i="10"/>
  <c r="AC27" i="8"/>
  <c r="AA40" i="10"/>
  <c r="AB47" i="5"/>
  <c r="AC44" i="5"/>
  <c r="AG24" i="10"/>
  <c r="AF32" i="10"/>
  <c r="AF33" i="10"/>
  <c r="AF38" i="10"/>
  <c r="AD47" i="8"/>
  <c r="AD59" i="8"/>
  <c r="AD60" i="8"/>
  <c r="AD43" i="8"/>
  <c r="AD48" i="8"/>
  <c r="AD26" i="8"/>
  <c r="AB41" i="10"/>
  <c r="AX17" i="7"/>
  <c r="AB17" i="4"/>
  <c r="AC14" i="4"/>
  <c r="AC46" i="5"/>
  <c r="AD36" i="5"/>
  <c r="AX16" i="7"/>
  <c r="AC28" i="8"/>
  <c r="AD42" i="8"/>
  <c r="AC69" i="8"/>
  <c r="AC70" i="8"/>
  <c r="AD71" i="8"/>
  <c r="AC77" i="8"/>
  <c r="AC80" i="8"/>
  <c r="AC81" i="8"/>
  <c r="AD82" i="8"/>
  <c r="AD24" i="6"/>
  <c r="AD41" i="3"/>
  <c r="AE35" i="3"/>
  <c r="AC35" i="10"/>
  <c r="AY15" i="7"/>
  <c r="AB55" i="8"/>
  <c r="AB106" i="8"/>
  <c r="AB104" i="8"/>
  <c r="AB16" i="4"/>
  <c r="AC13" i="4"/>
  <c r="AB36" i="10"/>
  <c r="AD27" i="8"/>
  <c r="AB40" i="10"/>
  <c r="AA42" i="10"/>
  <c r="AB40" i="3"/>
  <c r="AC34" i="3"/>
  <c r="AB39" i="3"/>
  <c r="AC33" i="3"/>
  <c r="AC32" i="8"/>
  <c r="AC30" i="8"/>
  <c r="AC53" i="8"/>
  <c r="AH12" i="4"/>
  <c r="AG19" i="7"/>
  <c r="AG20" i="7"/>
  <c r="AD46" i="5"/>
  <c r="AE36" i="5"/>
  <c r="AE26" i="8"/>
  <c r="AC41" i="10"/>
  <c r="AY17" i="7"/>
  <c r="AC39" i="3"/>
  <c r="AD33" i="3"/>
  <c r="AC16" i="4"/>
  <c r="AD13" i="4"/>
  <c r="AD35" i="10"/>
  <c r="AZ15" i="7"/>
  <c r="AD30" i="8"/>
  <c r="AD53" i="8"/>
  <c r="AD32" i="8"/>
  <c r="AH24" i="10"/>
  <c r="AG32" i="10"/>
  <c r="AG33" i="10"/>
  <c r="AG38" i="10"/>
  <c r="AD77" i="8"/>
  <c r="AD80" i="8"/>
  <c r="AD81" i="8"/>
  <c r="AE82" i="8"/>
  <c r="AD69" i="8"/>
  <c r="AD70" i="8"/>
  <c r="AE71" i="8"/>
  <c r="AE42" i="8"/>
  <c r="AC36" i="10"/>
  <c r="AE27" i="8"/>
  <c r="AC40" i="10"/>
  <c r="AY16" i="7"/>
  <c r="AC17" i="4"/>
  <c r="AD14" i="4"/>
  <c r="AB42" i="10"/>
  <c r="AD44" i="8"/>
  <c r="AC47" i="5"/>
  <c r="AD44" i="5"/>
  <c r="AI12" i="4"/>
  <c r="AH20" i="7"/>
  <c r="AH19" i="7"/>
  <c r="AC55" i="8"/>
  <c r="AC106" i="8"/>
  <c r="AC104" i="8"/>
  <c r="AC40" i="3"/>
  <c r="AD34" i="3"/>
  <c r="AE24" i="6"/>
  <c r="AF35" i="3"/>
  <c r="AE41" i="3"/>
  <c r="AD28" i="8"/>
  <c r="AE47" i="8"/>
  <c r="AE59" i="8"/>
  <c r="AE60" i="8"/>
  <c r="AE43" i="8"/>
  <c r="AE44" i="8"/>
  <c r="AE48" i="8"/>
  <c r="AF24" i="6"/>
  <c r="AG35" i="3"/>
  <c r="AF41" i="3"/>
  <c r="AD16" i="4"/>
  <c r="AE13" i="4"/>
  <c r="AF48" i="8"/>
  <c r="AE28" i="8"/>
  <c r="AF47" i="8"/>
  <c r="AF59" i="8"/>
  <c r="AF60" i="8"/>
  <c r="AF43" i="8"/>
  <c r="AD47" i="5"/>
  <c r="AE44" i="5"/>
  <c r="AD55" i="8"/>
  <c r="AD106" i="8"/>
  <c r="AD104" i="8"/>
  <c r="AF26" i="8"/>
  <c r="AD41" i="10"/>
  <c r="AZ17" i="7"/>
  <c r="AE46" i="5"/>
  <c r="AF36" i="5"/>
  <c r="AJ12" i="4"/>
  <c r="AI20" i="7"/>
  <c r="AI19" i="7"/>
  <c r="AD40" i="3"/>
  <c r="AE34" i="3"/>
  <c r="AE69" i="8"/>
  <c r="AE70" i="8"/>
  <c r="AF71" i="8"/>
  <c r="AF42" i="8"/>
  <c r="AE77" i="8"/>
  <c r="AE80" i="8"/>
  <c r="AE81" i="8"/>
  <c r="AF82" i="8"/>
  <c r="AE35" i="10"/>
  <c r="BA15" i="7"/>
  <c r="AD39" i="3"/>
  <c r="AE33" i="3"/>
  <c r="AD17" i="4"/>
  <c r="AE14" i="4"/>
  <c r="AE32" i="8"/>
  <c r="AE30" i="8"/>
  <c r="AE53" i="8"/>
  <c r="AZ16" i="7"/>
  <c r="AI24" i="10"/>
  <c r="AH32" i="10"/>
  <c r="AH33" i="10"/>
  <c r="AH38" i="10"/>
  <c r="AD36" i="10"/>
  <c r="AF27" i="8"/>
  <c r="AD40" i="10"/>
  <c r="AC42" i="10"/>
  <c r="AE55" i="8"/>
  <c r="AE106" i="8"/>
  <c r="AE104" i="8"/>
  <c r="AE39" i="3"/>
  <c r="AF33" i="3"/>
  <c r="AE40" i="3"/>
  <c r="AF34" i="3"/>
  <c r="AK12" i="4"/>
  <c r="AJ19" i="7"/>
  <c r="AJ20" i="7"/>
  <c r="AJ24" i="10"/>
  <c r="AI32" i="10"/>
  <c r="AI33" i="10"/>
  <c r="AI38" i="10"/>
  <c r="AF46" i="5"/>
  <c r="AG36" i="5"/>
  <c r="AD42" i="10"/>
  <c r="AE47" i="5"/>
  <c r="AF44" i="5"/>
  <c r="AF32" i="8"/>
  <c r="AF30" i="8"/>
  <c r="AF53" i="8"/>
  <c r="BA16" i="7"/>
  <c r="AE17" i="4"/>
  <c r="AF14" i="4"/>
  <c r="AF35" i="10"/>
  <c r="BB15" i="7"/>
  <c r="AG43" i="8"/>
  <c r="AG47" i="8"/>
  <c r="AG59" i="8"/>
  <c r="AG60" i="8"/>
  <c r="AF28" i="8"/>
  <c r="AG48" i="8"/>
  <c r="AG24" i="6"/>
  <c r="AH35" i="3"/>
  <c r="AG41" i="3"/>
  <c r="AG42" i="8"/>
  <c r="AF69" i="8"/>
  <c r="AF70" i="8"/>
  <c r="AG71" i="8"/>
  <c r="AF77" i="8"/>
  <c r="AF80" i="8"/>
  <c r="AF81" i="8"/>
  <c r="AG82" i="8"/>
  <c r="AE36" i="10"/>
  <c r="AG27" i="8"/>
  <c r="AE40" i="10"/>
  <c r="AG26" i="8"/>
  <c r="AE41" i="10"/>
  <c r="AE42" i="10"/>
  <c r="BA17" i="7"/>
  <c r="AF44" i="8"/>
  <c r="AE16" i="4"/>
  <c r="AF13" i="4"/>
  <c r="AG69" i="8"/>
  <c r="AG70" i="8"/>
  <c r="AH71" i="8"/>
  <c r="AH42" i="8"/>
  <c r="AG77" i="8"/>
  <c r="AG80" i="8"/>
  <c r="AG81" i="8"/>
  <c r="AH82" i="8"/>
  <c r="AG30" i="8"/>
  <c r="AG53" i="8"/>
  <c r="AG32" i="8"/>
  <c r="AF36" i="10"/>
  <c r="AH27" i="8"/>
  <c r="AF40" i="10"/>
  <c r="AF39" i="3"/>
  <c r="AG33" i="3"/>
  <c r="AH24" i="6"/>
  <c r="AH41" i="3"/>
  <c r="AI35" i="3"/>
  <c r="AF17" i="4"/>
  <c r="AG14" i="4"/>
  <c r="AF55" i="8"/>
  <c r="AF106" i="8"/>
  <c r="AF104" i="8"/>
  <c r="AK24" i="10"/>
  <c r="AJ32" i="10"/>
  <c r="AJ33" i="10"/>
  <c r="AJ38" i="10"/>
  <c r="AL12" i="4"/>
  <c r="AK19" i="7"/>
  <c r="AK20" i="7"/>
  <c r="AH43" i="8"/>
  <c r="AH47" i="8"/>
  <c r="AH59" i="8"/>
  <c r="AH60" i="8"/>
  <c r="AG28" i="8"/>
  <c r="AH48" i="8"/>
  <c r="AG44" i="8"/>
  <c r="AG46" i="5"/>
  <c r="AH36" i="5"/>
  <c r="AF40" i="3"/>
  <c r="AG34" i="3"/>
  <c r="AF16" i="4"/>
  <c r="AG13" i="4"/>
  <c r="AH26" i="8"/>
  <c r="AF41" i="10"/>
  <c r="AF42" i="10"/>
  <c r="BB17" i="7"/>
  <c r="AG35" i="10"/>
  <c r="BC15" i="7"/>
  <c r="BB16" i="7"/>
  <c r="AF47" i="5"/>
  <c r="AG44" i="5"/>
  <c r="AM12" i="4"/>
  <c r="AL19" i="7"/>
  <c r="AL20" i="7"/>
  <c r="AG104" i="8"/>
  <c r="AG55" i="8"/>
  <c r="AG106" i="8"/>
  <c r="AH35" i="10"/>
  <c r="BD15" i="7"/>
  <c r="AG40" i="3"/>
  <c r="AH34" i="3"/>
  <c r="AG17" i="4"/>
  <c r="AH14" i="4"/>
  <c r="AG47" i="5"/>
  <c r="AH44" i="5"/>
  <c r="AG36" i="10"/>
  <c r="AI27" i="8"/>
  <c r="AG40" i="10"/>
  <c r="AI47" i="8"/>
  <c r="AI59" i="8"/>
  <c r="AI60" i="8"/>
  <c r="AI43" i="8"/>
  <c r="AH28" i="8"/>
  <c r="AI48" i="8"/>
  <c r="AL24" i="10"/>
  <c r="AK32" i="10"/>
  <c r="AK33" i="10"/>
  <c r="AK38" i="10"/>
  <c r="AG39" i="3"/>
  <c r="AH33" i="3"/>
  <c r="AI42" i="8"/>
  <c r="AH69" i="8"/>
  <c r="AH70" i="8"/>
  <c r="AI71" i="8"/>
  <c r="AH77" i="8"/>
  <c r="AH80" i="8"/>
  <c r="AH81" i="8"/>
  <c r="AI82" i="8"/>
  <c r="AH44" i="8"/>
  <c r="BC16" i="7"/>
  <c r="AI26" i="8"/>
  <c r="AG41" i="10"/>
  <c r="AG42" i="10"/>
  <c r="BC17" i="7"/>
  <c r="AG16" i="4"/>
  <c r="AH13" i="4"/>
  <c r="AH46" i="5"/>
  <c r="AI36" i="5"/>
  <c r="AH30" i="8"/>
  <c r="AH53" i="8"/>
  <c r="AH32" i="8"/>
  <c r="AI24" i="6"/>
  <c r="AJ35" i="3"/>
  <c r="AI41" i="3"/>
  <c r="AH16" i="4"/>
  <c r="AI13" i="4"/>
  <c r="AH39" i="3"/>
  <c r="AI33" i="3"/>
  <c r="AH17" i="4"/>
  <c r="AI14" i="4"/>
  <c r="AH55" i="8"/>
  <c r="AH106" i="8"/>
  <c r="AH104" i="8"/>
  <c r="AJ48" i="8"/>
  <c r="AJ43" i="8"/>
  <c r="AI28" i="8"/>
  <c r="AJ47" i="8"/>
  <c r="AJ59" i="8"/>
  <c r="AJ60" i="8"/>
  <c r="AI32" i="8"/>
  <c r="AI30" i="8"/>
  <c r="AI53" i="8"/>
  <c r="AI69" i="8"/>
  <c r="AI70" i="8"/>
  <c r="AJ71" i="8"/>
  <c r="AJ42" i="8"/>
  <c r="AI77" i="8"/>
  <c r="AI80" i="8"/>
  <c r="AI81" i="8"/>
  <c r="AJ82" i="8"/>
  <c r="AI35" i="10"/>
  <c r="BE15" i="7"/>
  <c r="AJ24" i="6"/>
  <c r="AK35" i="3"/>
  <c r="AJ41" i="3"/>
  <c r="AI46" i="5"/>
  <c r="AJ36" i="5"/>
  <c r="BD16" i="7"/>
  <c r="AI44" i="8"/>
  <c r="AH47" i="5"/>
  <c r="AI44" i="5"/>
  <c r="AH36" i="10"/>
  <c r="AJ27" i="8"/>
  <c r="AH40" i="10"/>
  <c r="AJ26" i="8"/>
  <c r="AH41" i="10"/>
  <c r="BD17" i="7"/>
  <c r="AM24" i="10"/>
  <c r="AL32" i="10"/>
  <c r="AL33" i="10"/>
  <c r="AL38" i="10"/>
  <c r="AH40" i="3"/>
  <c r="AI34" i="3"/>
  <c r="AN12" i="4"/>
  <c r="AM19" i="7"/>
  <c r="AM20" i="7"/>
  <c r="AK26" i="8"/>
  <c r="AI41" i="10"/>
  <c r="BE17" i="7"/>
  <c r="AJ46" i="5"/>
  <c r="AK36" i="5"/>
  <c r="AI39" i="3"/>
  <c r="AJ33" i="3"/>
  <c r="AI40" i="3"/>
  <c r="AJ34" i="3"/>
  <c r="AH42" i="10"/>
  <c r="AK42" i="8"/>
  <c r="AJ69" i="8"/>
  <c r="AJ70" i="8"/>
  <c r="AK71" i="8"/>
  <c r="AJ77" i="8"/>
  <c r="AJ80" i="8"/>
  <c r="AJ81" i="8"/>
  <c r="AK82" i="8"/>
  <c r="AJ35" i="10"/>
  <c r="BF15" i="7"/>
  <c r="AJ30" i="8"/>
  <c r="AJ53" i="8"/>
  <c r="AJ32" i="8"/>
  <c r="AI47" i="5"/>
  <c r="AJ44" i="5"/>
  <c r="AI36" i="10"/>
  <c r="AK27" i="8"/>
  <c r="AI40" i="10"/>
  <c r="AI55" i="8"/>
  <c r="AI106" i="8"/>
  <c r="AI104" i="8"/>
  <c r="AJ44" i="8"/>
  <c r="AI17" i="4"/>
  <c r="AJ14" i="4"/>
  <c r="AI16" i="4"/>
  <c r="AJ13" i="4"/>
  <c r="BE16" i="7"/>
  <c r="AO12" i="4"/>
  <c r="AN20" i="7"/>
  <c r="AN19" i="7"/>
  <c r="AN24" i="10"/>
  <c r="AM32" i="10"/>
  <c r="AM33" i="10"/>
  <c r="AM38" i="10"/>
  <c r="AJ28" i="8"/>
  <c r="AK43" i="8"/>
  <c r="AK44" i="8"/>
  <c r="AK47" i="8"/>
  <c r="AK59" i="8"/>
  <c r="AK60" i="8"/>
  <c r="AK48" i="8"/>
  <c r="AK24" i="6"/>
  <c r="AL35" i="3"/>
  <c r="AK41" i="3"/>
  <c r="AO24" i="10"/>
  <c r="AN32" i="10"/>
  <c r="AN33" i="10"/>
  <c r="AN38" i="10"/>
  <c r="AJ17" i="4"/>
  <c r="AK14" i="4"/>
  <c r="AK35" i="10"/>
  <c r="BG15" i="7"/>
  <c r="AJ39" i="3"/>
  <c r="AK33" i="3"/>
  <c r="AL26" i="8"/>
  <c r="AJ41" i="10"/>
  <c r="AJ42" i="10"/>
  <c r="BF17" i="7"/>
  <c r="BF16" i="7"/>
  <c r="AL24" i="6"/>
  <c r="AL41" i="3"/>
  <c r="AM35" i="3"/>
  <c r="AJ36" i="10"/>
  <c r="AL27" i="8"/>
  <c r="AJ40" i="10"/>
  <c r="AK30" i="8"/>
  <c r="AK53" i="8"/>
  <c r="AK32" i="8"/>
  <c r="AJ16" i="4"/>
  <c r="AK13" i="4"/>
  <c r="AK69" i="8"/>
  <c r="AK70" i="8"/>
  <c r="AL71" i="8"/>
  <c r="AL42" i="8"/>
  <c r="AK77" i="8"/>
  <c r="AK80" i="8"/>
  <c r="AK81" i="8"/>
  <c r="AL82" i="8"/>
  <c r="AJ40" i="3"/>
  <c r="AK34" i="3"/>
  <c r="AK46" i="5"/>
  <c r="AL36" i="5"/>
  <c r="AI42" i="10"/>
  <c r="AP12" i="4"/>
  <c r="AO19" i="7"/>
  <c r="AO20" i="7"/>
  <c r="AJ47" i="5"/>
  <c r="AK44" i="5"/>
  <c r="AJ104" i="8"/>
  <c r="AJ55" i="8"/>
  <c r="AJ106" i="8"/>
  <c r="AL47" i="8"/>
  <c r="AL59" i="8"/>
  <c r="AL60" i="8"/>
  <c r="AL43" i="8"/>
  <c r="AL44" i="8"/>
  <c r="AK28" i="8"/>
  <c r="AL48" i="8"/>
  <c r="AK104" i="8"/>
  <c r="AK55" i="8"/>
  <c r="AM26" i="8"/>
  <c r="AK41" i="10"/>
  <c r="BG17" i="7"/>
  <c r="AK39" i="3"/>
  <c r="AL33" i="3"/>
  <c r="AK17" i="4"/>
  <c r="AL14" i="4"/>
  <c r="AK40" i="3"/>
  <c r="AL34" i="3"/>
  <c r="AK16" i="4"/>
  <c r="AL13" i="4"/>
  <c r="AM42" i="8"/>
  <c r="AL69" i="8"/>
  <c r="AL70" i="8"/>
  <c r="AM71" i="8"/>
  <c r="AL77" i="8"/>
  <c r="AL80" i="8"/>
  <c r="AL81" i="8"/>
  <c r="AM82" i="8"/>
  <c r="BG16" i="7"/>
  <c r="AL35" i="10"/>
  <c r="BH15" i="7"/>
  <c r="AL30" i="8"/>
  <c r="AL53" i="8"/>
  <c r="AL32" i="8"/>
  <c r="AL46" i="5"/>
  <c r="AM36" i="5"/>
  <c r="AK47" i="5"/>
  <c r="AL44" i="5"/>
  <c r="AQ12" i="4"/>
  <c r="AP20" i="7"/>
  <c r="AP19" i="7"/>
  <c r="AM24" i="6"/>
  <c r="AN35" i="3"/>
  <c r="AM41" i="3"/>
  <c r="AM48" i="8"/>
  <c r="AM43" i="8"/>
  <c r="AM44" i="8"/>
  <c r="AL28" i="8"/>
  <c r="AM47" i="8"/>
  <c r="AM59" i="8"/>
  <c r="AM60" i="8"/>
  <c r="AK36" i="10"/>
  <c r="AM27" i="8"/>
  <c r="AK40" i="10"/>
  <c r="AP24" i="10"/>
  <c r="AO32" i="10"/>
  <c r="AO33" i="10"/>
  <c r="AO38" i="10"/>
  <c r="AL47" i="5"/>
  <c r="AM44" i="5"/>
  <c r="AL36" i="10"/>
  <c r="AN27" i="8"/>
  <c r="AL40" i="10"/>
  <c r="AL40" i="3"/>
  <c r="AM34" i="3"/>
  <c r="AL39" i="3"/>
  <c r="AM33" i="3"/>
  <c r="AK42" i="10"/>
  <c r="AN42" i="8"/>
  <c r="AM69" i="8"/>
  <c r="AM70" i="8"/>
  <c r="AN71" i="8"/>
  <c r="AM77" i="8"/>
  <c r="AM80" i="8"/>
  <c r="AM81" i="8"/>
  <c r="AN82" i="8"/>
  <c r="AL55" i="8"/>
  <c r="AL104" i="8"/>
  <c r="BH16" i="7"/>
  <c r="AN48" i="8"/>
  <c r="AM28" i="8"/>
  <c r="AN47" i="8"/>
  <c r="AN59" i="8"/>
  <c r="AN60" i="8"/>
  <c r="AN43" i="8"/>
  <c r="AN44" i="8"/>
  <c r="AM46" i="5"/>
  <c r="AN36" i="5"/>
  <c r="AL16" i="4"/>
  <c r="AM13" i="4"/>
  <c r="AL17" i="4"/>
  <c r="AM14" i="4"/>
  <c r="AN26" i="8"/>
  <c r="AL41" i="10"/>
  <c r="AL42" i="10"/>
  <c r="BH17" i="7"/>
  <c r="AL106" i="8"/>
  <c r="AK106" i="8"/>
  <c r="AQ24" i="10"/>
  <c r="AP32" i="10"/>
  <c r="AP33" i="10"/>
  <c r="AP38" i="10"/>
  <c r="AM30" i="8"/>
  <c r="AM53" i="8"/>
  <c r="AM32" i="8"/>
  <c r="AN24" i="6"/>
  <c r="AO35" i="3"/>
  <c r="AN41" i="3"/>
  <c r="AR12" i="4"/>
  <c r="AQ20" i="7"/>
  <c r="AQ19" i="7"/>
  <c r="AM35" i="10"/>
  <c r="BI15" i="7"/>
  <c r="AM16" i="4"/>
  <c r="AN13" i="4"/>
  <c r="BI16" i="7"/>
  <c r="AM39" i="3"/>
  <c r="AN33" i="3"/>
  <c r="AM36" i="10"/>
  <c r="AO27" i="8"/>
  <c r="AM40" i="10"/>
  <c r="AO47" i="8"/>
  <c r="AO59" i="8"/>
  <c r="AO60" i="8"/>
  <c r="AO43" i="8"/>
  <c r="AO48" i="8"/>
  <c r="AN28" i="8"/>
  <c r="AN69" i="8"/>
  <c r="AN70" i="8"/>
  <c r="AO71" i="8"/>
  <c r="AO42" i="8"/>
  <c r="AN77" i="8"/>
  <c r="AN80" i="8"/>
  <c r="AN81" i="8"/>
  <c r="AO82" i="8"/>
  <c r="AR24" i="10"/>
  <c r="AQ32" i="10"/>
  <c r="AQ33" i="10"/>
  <c r="AQ38" i="10"/>
  <c r="AO26" i="8"/>
  <c r="AM41" i="10"/>
  <c r="AM42" i="10"/>
  <c r="BI17" i="7"/>
  <c r="AM17" i="4"/>
  <c r="AN14" i="4"/>
  <c r="AN46" i="5"/>
  <c r="AO36" i="5"/>
  <c r="AN30" i="8"/>
  <c r="AN53" i="8"/>
  <c r="AN32" i="8"/>
  <c r="AM40" i="3"/>
  <c r="AN34" i="3"/>
  <c r="AM47" i="5"/>
  <c r="AN44" i="5"/>
  <c r="AM55" i="8"/>
  <c r="AM106" i="8"/>
  <c r="AM104" i="8"/>
  <c r="AO24" i="6"/>
  <c r="AP35" i="3"/>
  <c r="AO41" i="3"/>
  <c r="AN35" i="10"/>
  <c r="BJ15" i="7"/>
  <c r="AS12" i="4"/>
  <c r="AR19" i="7"/>
  <c r="AR20" i="7"/>
  <c r="AT12" i="4"/>
  <c r="AS19" i="7"/>
  <c r="AS20" i="7"/>
  <c r="AP24" i="6"/>
  <c r="AP41" i="3"/>
  <c r="AQ35" i="3"/>
  <c r="AN47" i="5"/>
  <c r="AO44" i="5"/>
  <c r="AN17" i="4"/>
  <c r="AO14" i="4"/>
  <c r="AO30" i="8"/>
  <c r="AO53" i="8"/>
  <c r="AO32" i="8"/>
  <c r="BJ16" i="7"/>
  <c r="AN55" i="8"/>
  <c r="AN106" i="8"/>
  <c r="AN104" i="8"/>
  <c r="AP43" i="8"/>
  <c r="AP47" i="8"/>
  <c r="AP59" i="8"/>
  <c r="AP60" i="8"/>
  <c r="AO28" i="8"/>
  <c r="AP48" i="8"/>
  <c r="AO69" i="8"/>
  <c r="AO70" i="8"/>
  <c r="AP71" i="8"/>
  <c r="AP42" i="8"/>
  <c r="AP44" i="8"/>
  <c r="AO77" i="8"/>
  <c r="AO80" i="8"/>
  <c r="AO81" i="8"/>
  <c r="AP82" i="8"/>
  <c r="AO35" i="10"/>
  <c r="BK15" i="7"/>
  <c r="AN36" i="10"/>
  <c r="AP27" i="8"/>
  <c r="AN40" i="10"/>
  <c r="AP26" i="8"/>
  <c r="AN41" i="10"/>
  <c r="AN42" i="10"/>
  <c r="BJ17" i="7"/>
  <c r="AO44" i="8"/>
  <c r="AN39" i="3"/>
  <c r="AO33" i="3"/>
  <c r="AN16" i="4"/>
  <c r="AO13" i="4"/>
  <c r="AN40" i="3"/>
  <c r="AO34" i="3"/>
  <c r="AO46" i="5"/>
  <c r="AP36" i="5"/>
  <c r="AS24" i="10"/>
  <c r="AR32" i="10"/>
  <c r="AR33" i="10"/>
  <c r="AR38" i="10"/>
  <c r="AP46" i="5"/>
  <c r="AQ36" i="5"/>
  <c r="AQ43" i="8"/>
  <c r="AP28" i="8"/>
  <c r="AQ48" i="8"/>
  <c r="AQ47" i="8"/>
  <c r="AQ59" i="8"/>
  <c r="AQ60" i="8"/>
  <c r="AO36" i="10"/>
  <c r="AQ27" i="8"/>
  <c r="AO40" i="10"/>
  <c r="AO47" i="5"/>
  <c r="AP44" i="5"/>
  <c r="AO40" i="3"/>
  <c r="AP34" i="3"/>
  <c r="AO39" i="3"/>
  <c r="AP33" i="3"/>
  <c r="AQ26" i="8"/>
  <c r="AO41" i="10"/>
  <c r="AO42" i="10"/>
  <c r="BK17" i="7"/>
  <c r="AP30" i="8"/>
  <c r="AP53" i="8"/>
  <c r="AP32" i="8"/>
  <c r="AO55" i="8"/>
  <c r="AO106" i="8"/>
  <c r="AO104" i="8"/>
  <c r="AP77" i="8"/>
  <c r="AP80" i="8"/>
  <c r="AP81" i="8"/>
  <c r="AQ82" i="8"/>
  <c r="AQ42" i="8"/>
  <c r="AP69" i="8"/>
  <c r="AP70" i="8"/>
  <c r="AQ71" i="8"/>
  <c r="BK16" i="7"/>
  <c r="AO17" i="4"/>
  <c r="AP14" i="4"/>
  <c r="AQ24" i="6"/>
  <c r="AR35" i="3"/>
  <c r="AQ41" i="3"/>
  <c r="AT24" i="10"/>
  <c r="AS32" i="10"/>
  <c r="AS33" i="10"/>
  <c r="AS38" i="10"/>
  <c r="AO16" i="4"/>
  <c r="AP13" i="4"/>
  <c r="AP35" i="10"/>
  <c r="BL15" i="7"/>
  <c r="AU12" i="4"/>
  <c r="AT19" i="7"/>
  <c r="AT20" i="7"/>
  <c r="AV12" i="4"/>
  <c r="AU20" i="7"/>
  <c r="AU19" i="7"/>
  <c r="AR24" i="6"/>
  <c r="AS35" i="3"/>
  <c r="AR41" i="3"/>
  <c r="BL16" i="7"/>
  <c r="AP40" i="3"/>
  <c r="AQ34" i="3"/>
  <c r="AQ30" i="8"/>
  <c r="AQ53" i="8"/>
  <c r="AQ32" i="8"/>
  <c r="AP55" i="8"/>
  <c r="AP106" i="8"/>
  <c r="D106" i="8"/>
  <c r="E97" i="8"/>
  <c r="AP104" i="8"/>
  <c r="AR48" i="8"/>
  <c r="AR47" i="8"/>
  <c r="AR59" i="8"/>
  <c r="AR60" i="8"/>
  <c r="AR43" i="8"/>
  <c r="AR44" i="8"/>
  <c r="AQ28" i="8"/>
  <c r="AQ77" i="8"/>
  <c r="AQ80" i="8"/>
  <c r="AQ81" i="8"/>
  <c r="AR82" i="8"/>
  <c r="AR42" i="8"/>
  <c r="AQ69" i="8"/>
  <c r="AQ70" i="8"/>
  <c r="AR71" i="8"/>
  <c r="AQ44" i="8"/>
  <c r="AP17" i="4"/>
  <c r="AQ14" i="4"/>
  <c r="AR26" i="8"/>
  <c r="AP41" i="10"/>
  <c r="BL17" i="7"/>
  <c r="AP39" i="3"/>
  <c r="AQ33" i="3"/>
  <c r="AP47" i="5"/>
  <c r="AQ44" i="5"/>
  <c r="AQ46" i="5"/>
  <c r="AR36" i="5"/>
  <c r="AQ35" i="10"/>
  <c r="BM15" i="7"/>
  <c r="AP36" i="10"/>
  <c r="AR27" i="8"/>
  <c r="AP40" i="10"/>
  <c r="AU24" i="10"/>
  <c r="AT32" i="10"/>
  <c r="AT33" i="10"/>
  <c r="AT38" i="10"/>
  <c r="AP16" i="4"/>
  <c r="AQ13" i="4"/>
  <c r="AV24" i="10"/>
  <c r="AU32" i="10"/>
  <c r="AU33" i="10"/>
  <c r="AU38" i="10"/>
  <c r="AQ36" i="10"/>
  <c r="AS27" i="8"/>
  <c r="AQ40" i="10"/>
  <c r="AP42" i="10"/>
  <c r="BM16" i="7"/>
  <c r="AQ16" i="4"/>
  <c r="AR13" i="4"/>
  <c r="AR46" i="5"/>
  <c r="AS36" i="5"/>
  <c r="AQ39" i="3"/>
  <c r="AR33" i="3"/>
  <c r="AR32" i="8"/>
  <c r="AR30" i="8"/>
  <c r="AR53" i="8"/>
  <c r="D104" i="8"/>
  <c r="C97" i="8"/>
  <c r="AQ104" i="8"/>
  <c r="AQ55" i="8"/>
  <c r="AS43" i="8"/>
  <c r="AS47" i="8"/>
  <c r="AS59" i="8"/>
  <c r="AS60" i="8"/>
  <c r="AR28" i="8"/>
  <c r="AS48" i="8"/>
  <c r="AQ40" i="3"/>
  <c r="AR34" i="3"/>
  <c r="AR69" i="8"/>
  <c r="AR70" i="8"/>
  <c r="AS71" i="8"/>
  <c r="AS42" i="8"/>
  <c r="AS44" i="8"/>
  <c r="AR77" i="8"/>
  <c r="AR80" i="8"/>
  <c r="AR81" i="8"/>
  <c r="AS82" i="8"/>
  <c r="AR35" i="10"/>
  <c r="BN15" i="7"/>
  <c r="AQ47" i="5"/>
  <c r="AR44" i="5"/>
  <c r="AS26" i="8"/>
  <c r="AQ41" i="10"/>
  <c r="AQ42" i="10"/>
  <c r="BM17" i="7"/>
  <c r="AQ17" i="4"/>
  <c r="AR14" i="4"/>
  <c r="AS24" i="6"/>
  <c r="AT35" i="3"/>
  <c r="AS41" i="3"/>
  <c r="AW12" i="4"/>
  <c r="AV20" i="7"/>
  <c r="AV19" i="7"/>
  <c r="AQ106" i="8"/>
  <c r="AR55" i="8"/>
  <c r="AR106" i="8"/>
  <c r="AR104" i="8"/>
  <c r="AS46" i="5"/>
  <c r="AT36" i="5"/>
  <c r="BN16" i="7"/>
  <c r="AS77" i="8"/>
  <c r="AS80" i="8"/>
  <c r="AS81" i="8"/>
  <c r="AT82" i="8"/>
  <c r="AT42" i="8"/>
  <c r="AS69" i="8"/>
  <c r="AS70" i="8"/>
  <c r="AT71" i="8"/>
  <c r="AR17" i="4"/>
  <c r="AS14" i="4"/>
  <c r="AS35" i="10"/>
  <c r="BO15" i="7"/>
  <c r="AS32" i="8"/>
  <c r="AS30" i="8"/>
  <c r="AS53" i="8"/>
  <c r="AX12" i="4"/>
  <c r="AW19" i="7"/>
  <c r="AW20" i="7"/>
  <c r="AT43" i="8"/>
  <c r="AT44" i="8"/>
  <c r="AS28" i="8"/>
  <c r="AT47" i="8"/>
  <c r="AT59" i="8"/>
  <c r="AT60" i="8"/>
  <c r="AT48" i="8"/>
  <c r="AR36" i="10"/>
  <c r="AT27" i="8"/>
  <c r="AR40" i="10"/>
  <c r="AR39" i="3"/>
  <c r="AS33" i="3"/>
  <c r="AR16" i="4"/>
  <c r="AS13" i="4"/>
  <c r="AW24" i="10"/>
  <c r="AV32" i="10"/>
  <c r="AV33" i="10"/>
  <c r="AV38" i="10"/>
  <c r="AR40" i="3"/>
  <c r="AS34" i="3"/>
  <c r="AT24" i="6"/>
  <c r="AT41" i="3"/>
  <c r="AU35" i="3"/>
  <c r="AT26" i="8"/>
  <c r="AR41" i="10"/>
  <c r="BN17" i="7"/>
  <c r="AR47" i="5"/>
  <c r="AS44" i="5"/>
  <c r="AS16" i="4"/>
  <c r="AT13" i="4"/>
  <c r="AT30" i="8"/>
  <c r="AT53" i="8"/>
  <c r="AT32" i="8"/>
  <c r="AT35" i="10"/>
  <c r="BP15" i="7"/>
  <c r="AU24" i="6"/>
  <c r="AV35" i="3"/>
  <c r="AU41" i="3"/>
  <c r="AT69" i="8"/>
  <c r="AT70" i="8"/>
  <c r="AU71" i="8"/>
  <c r="AU42" i="8"/>
  <c r="AT77" i="8"/>
  <c r="AT80" i="8"/>
  <c r="AT81" i="8"/>
  <c r="AU82" i="8"/>
  <c r="AS36" i="10"/>
  <c r="AU27" i="8"/>
  <c r="AS40" i="10"/>
  <c r="AT46" i="5"/>
  <c r="AU36" i="5"/>
  <c r="AT28" i="8"/>
  <c r="AU47" i="8"/>
  <c r="AU59" i="8"/>
  <c r="AU60" i="8"/>
  <c r="AU43" i="8"/>
  <c r="AU44" i="8"/>
  <c r="AU48" i="8"/>
  <c r="AS40" i="3"/>
  <c r="AT34" i="3"/>
  <c r="AS39" i="3"/>
  <c r="AT33" i="3"/>
  <c r="AS55" i="8"/>
  <c r="AS106" i="8"/>
  <c r="AS104" i="8"/>
  <c r="AS17" i="4"/>
  <c r="AT14" i="4"/>
  <c r="AY12" i="4"/>
  <c r="AX19" i="7"/>
  <c r="AX20" i="7"/>
  <c r="AU26" i="8"/>
  <c r="AS41" i="10"/>
  <c r="AS42" i="10"/>
  <c r="BO17" i="7"/>
  <c r="AS47" i="5"/>
  <c r="AT44" i="5"/>
  <c r="AR42" i="10"/>
  <c r="AX24" i="10"/>
  <c r="AW32" i="10"/>
  <c r="AW33" i="10"/>
  <c r="AW38" i="10"/>
  <c r="BO16" i="7"/>
  <c r="AZ12" i="4"/>
  <c r="AY19" i="7"/>
  <c r="AY20" i="7"/>
  <c r="AT40" i="3"/>
  <c r="AU34" i="3"/>
  <c r="AU35" i="10"/>
  <c r="BQ15" i="7"/>
  <c r="AT16" i="4"/>
  <c r="AU13" i="4"/>
  <c r="AT55" i="8"/>
  <c r="AT106" i="8"/>
  <c r="AT104" i="8"/>
  <c r="AV43" i="8"/>
  <c r="AU28" i="8"/>
  <c r="AV47" i="8"/>
  <c r="AV59" i="8"/>
  <c r="AV60" i="8"/>
  <c r="AV48" i="8"/>
  <c r="AT17" i="4"/>
  <c r="AU14" i="4"/>
  <c r="AT39" i="3"/>
  <c r="AU33" i="3"/>
  <c r="AU30" i="8"/>
  <c r="AU53" i="8"/>
  <c r="AU32" i="8"/>
  <c r="AV42" i="8"/>
  <c r="AU69" i="8"/>
  <c r="AU70" i="8"/>
  <c r="AV71" i="8"/>
  <c r="AU77" i="8"/>
  <c r="AU80" i="8"/>
  <c r="AU81" i="8"/>
  <c r="AV82" i="8"/>
  <c r="AT36" i="10"/>
  <c r="AV27" i="8"/>
  <c r="AT40" i="10"/>
  <c r="BP16" i="7"/>
  <c r="AT47" i="5"/>
  <c r="AU44" i="5"/>
  <c r="AY24" i="10"/>
  <c r="AX32" i="10"/>
  <c r="AX33" i="10"/>
  <c r="AX38" i="10"/>
  <c r="AV26" i="8"/>
  <c r="AT41" i="10"/>
  <c r="AT42" i="10"/>
  <c r="BP17" i="7"/>
  <c r="AU46" i="5"/>
  <c r="AV36" i="5"/>
  <c r="AV24" i="6"/>
  <c r="AW35" i="3"/>
  <c r="AV41" i="3"/>
  <c r="AV35" i="10"/>
  <c r="BR15" i="7"/>
  <c r="AZ24" i="10"/>
  <c r="AY32" i="10"/>
  <c r="AY33" i="10"/>
  <c r="AY38" i="10"/>
  <c r="AV46" i="5"/>
  <c r="AW36" i="5"/>
  <c r="AU47" i="5"/>
  <c r="AV44" i="5"/>
  <c r="AW43" i="8"/>
  <c r="AV28" i="8"/>
  <c r="AW47" i="8"/>
  <c r="AW59" i="8"/>
  <c r="AW60" i="8"/>
  <c r="AW48" i="8"/>
  <c r="AV69" i="8"/>
  <c r="AV70" i="8"/>
  <c r="AW71" i="8"/>
  <c r="AW42" i="8"/>
  <c r="AW44" i="8"/>
  <c r="AV77" i="8"/>
  <c r="AV80" i="8"/>
  <c r="AV81" i="8"/>
  <c r="AW82" i="8"/>
  <c r="AU17" i="4"/>
  <c r="AV14" i="4"/>
  <c r="AV30" i="8"/>
  <c r="AV53" i="8"/>
  <c r="AV32" i="8"/>
  <c r="AU36" i="10"/>
  <c r="AW27" i="8"/>
  <c r="AU40" i="10"/>
  <c r="AU39" i="3"/>
  <c r="AV33" i="3"/>
  <c r="AW24" i="6"/>
  <c r="AX35" i="3"/>
  <c r="AW41" i="3"/>
  <c r="AW26" i="8"/>
  <c r="AU41" i="10"/>
  <c r="AU42" i="10"/>
  <c r="BQ17" i="7"/>
  <c r="BQ16" i="7"/>
  <c r="AU55" i="8"/>
  <c r="AU106" i="8"/>
  <c r="AU104" i="8"/>
  <c r="AV44" i="8"/>
  <c r="AU16" i="4"/>
  <c r="AV13" i="4"/>
  <c r="AU40" i="3"/>
  <c r="AV34" i="3"/>
  <c r="BA12" i="4"/>
  <c r="AZ19" i="7"/>
  <c r="AZ20" i="7"/>
  <c r="AX43" i="8"/>
  <c r="AX48" i="8"/>
  <c r="AW28" i="8"/>
  <c r="AX47" i="8"/>
  <c r="AX59" i="8"/>
  <c r="AX60" i="8"/>
  <c r="AW77" i="8"/>
  <c r="AW80" i="8"/>
  <c r="AW81" i="8"/>
  <c r="AX82" i="8"/>
  <c r="AX42" i="8"/>
  <c r="AW69" i="8"/>
  <c r="AW70" i="8"/>
  <c r="AX71" i="8"/>
  <c r="AV47" i="5"/>
  <c r="AW44" i="5"/>
  <c r="AV39" i="3"/>
  <c r="AW33" i="3"/>
  <c r="BA24" i="10"/>
  <c r="AZ32" i="10"/>
  <c r="AZ33" i="10"/>
  <c r="AZ38" i="10"/>
  <c r="AX26" i="8"/>
  <c r="AV41" i="10"/>
  <c r="BR17" i="7"/>
  <c r="AV55" i="8"/>
  <c r="AV106" i="8"/>
  <c r="AV104" i="8"/>
  <c r="AW32" i="8"/>
  <c r="AW30" i="8"/>
  <c r="AW53" i="8"/>
  <c r="AW46" i="5"/>
  <c r="AX36" i="5"/>
  <c r="AW35" i="10"/>
  <c r="BS15" i="7"/>
  <c r="AV40" i="3"/>
  <c r="AW34" i="3"/>
  <c r="AV16" i="4"/>
  <c r="AW13" i="4"/>
  <c r="BB12" i="4"/>
  <c r="BA20" i="7"/>
  <c r="BA19" i="7"/>
  <c r="BR16" i="7"/>
  <c r="AX24" i="6"/>
  <c r="AX41" i="3"/>
  <c r="AY35" i="3"/>
  <c r="AV17" i="4"/>
  <c r="AW14" i="4"/>
  <c r="AV36" i="10"/>
  <c r="AX27" i="8"/>
  <c r="AV40" i="10"/>
  <c r="BB24" i="10"/>
  <c r="BA32" i="10"/>
  <c r="BA33" i="10"/>
  <c r="BA38" i="10"/>
  <c r="BS16" i="7"/>
  <c r="AW40" i="3"/>
  <c r="AX34" i="3"/>
  <c r="AX46" i="5"/>
  <c r="AY36" i="5"/>
  <c r="AV42" i="10"/>
  <c r="AW39" i="3"/>
  <c r="AX33" i="3"/>
  <c r="AX32" i="8"/>
  <c r="AX30" i="8"/>
  <c r="AX53" i="8"/>
  <c r="AW36" i="10"/>
  <c r="AY27" i="8"/>
  <c r="AW40" i="10"/>
  <c r="BC12" i="4"/>
  <c r="BB19" i="7"/>
  <c r="BB20" i="7"/>
  <c r="AY24" i="6"/>
  <c r="AZ35" i="3"/>
  <c r="AY41" i="3"/>
  <c r="AW16" i="4"/>
  <c r="AX13" i="4"/>
  <c r="AY47" i="8"/>
  <c r="AY59" i="8"/>
  <c r="AY60" i="8"/>
  <c r="AX28" i="8"/>
  <c r="AY43" i="8"/>
  <c r="AY48" i="8"/>
  <c r="AW17" i="4"/>
  <c r="AX14" i="4"/>
  <c r="AY42" i="8"/>
  <c r="AX69" i="8"/>
  <c r="AX70" i="8"/>
  <c r="AY71" i="8"/>
  <c r="AX77" i="8"/>
  <c r="AX80" i="8"/>
  <c r="AX81" i="8"/>
  <c r="AY82" i="8"/>
  <c r="AX35" i="10"/>
  <c r="BT15" i="7"/>
  <c r="AW55" i="8"/>
  <c r="AW106" i="8"/>
  <c r="AW104" i="8"/>
  <c r="AY26" i="8"/>
  <c r="AW41" i="10"/>
  <c r="AW42" i="10"/>
  <c r="BS17" i="7"/>
  <c r="AW47" i="5"/>
  <c r="AX44" i="5"/>
  <c r="AX44" i="8"/>
  <c r="BT16" i="7"/>
  <c r="AZ24" i="6"/>
  <c r="BA35" i="3"/>
  <c r="AZ41" i="3"/>
  <c r="AY46" i="5"/>
  <c r="AZ36" i="5"/>
  <c r="AX16" i="4"/>
  <c r="AY13" i="4"/>
  <c r="AX39" i="3"/>
  <c r="AY33" i="3"/>
  <c r="AZ26" i="8"/>
  <c r="AX41" i="10"/>
  <c r="BT17" i="7"/>
  <c r="BD12" i="4"/>
  <c r="BC19" i="7"/>
  <c r="BC20" i="7"/>
  <c r="AX47" i="5"/>
  <c r="AY44" i="5"/>
  <c r="AY35" i="10"/>
  <c r="BU15" i="7"/>
  <c r="AY44" i="8"/>
  <c r="AY69" i="8"/>
  <c r="AY70" i="8"/>
  <c r="AZ71" i="8"/>
  <c r="AZ42" i="8"/>
  <c r="AY77" i="8"/>
  <c r="AY80" i="8"/>
  <c r="AY81" i="8"/>
  <c r="AZ82" i="8"/>
  <c r="AX40" i="3"/>
  <c r="AY34" i="3"/>
  <c r="AZ48" i="8"/>
  <c r="AY28" i="8"/>
  <c r="AZ43" i="8"/>
  <c r="AZ44" i="8"/>
  <c r="AZ47" i="8"/>
  <c r="AZ59" i="8"/>
  <c r="AZ60" i="8"/>
  <c r="AX36" i="10"/>
  <c r="AZ27" i="8"/>
  <c r="AX40" i="10"/>
  <c r="AX17" i="4"/>
  <c r="AY14" i="4"/>
  <c r="AY30" i="8"/>
  <c r="AY53" i="8"/>
  <c r="AY32" i="8"/>
  <c r="AX55" i="8"/>
  <c r="AX106" i="8"/>
  <c r="AX104" i="8"/>
  <c r="BC24" i="10"/>
  <c r="BB32" i="10"/>
  <c r="BB33" i="10"/>
  <c r="BB38" i="10"/>
  <c r="AY40" i="3"/>
  <c r="AZ34" i="3"/>
  <c r="BA26" i="8"/>
  <c r="AY41" i="10"/>
  <c r="BU17" i="7"/>
  <c r="AY39" i="3"/>
  <c r="AZ33" i="3"/>
  <c r="AZ46" i="5"/>
  <c r="BA36" i="5"/>
  <c r="BE12" i="4"/>
  <c r="BD20" i="7"/>
  <c r="BD19" i="7"/>
  <c r="AZ28" i="8"/>
  <c r="BA47" i="8"/>
  <c r="BA59" i="8"/>
  <c r="BA60" i="8"/>
  <c r="BA43" i="8"/>
  <c r="BA48" i="8"/>
  <c r="AZ32" i="8"/>
  <c r="AZ30" i="8"/>
  <c r="AZ53" i="8"/>
  <c r="AY55" i="8"/>
  <c r="AY106" i="8"/>
  <c r="AY104" i="8"/>
  <c r="AZ77" i="8"/>
  <c r="AZ80" i="8"/>
  <c r="AZ81" i="8"/>
  <c r="BA82" i="8"/>
  <c r="AZ69" i="8"/>
  <c r="AZ70" i="8"/>
  <c r="BA71" i="8"/>
  <c r="BA42" i="8"/>
  <c r="AZ35" i="10"/>
  <c r="BV15" i="7"/>
  <c r="AX42" i="10"/>
  <c r="BU16" i="7"/>
  <c r="AY47" i="5"/>
  <c r="AZ44" i="5"/>
  <c r="BA24" i="6"/>
  <c r="BB35" i="3"/>
  <c r="BA41" i="3"/>
  <c r="BD24" i="10"/>
  <c r="BC32" i="10"/>
  <c r="BC33" i="10"/>
  <c r="BC38" i="10"/>
  <c r="AY17" i="4"/>
  <c r="AZ14" i="4"/>
  <c r="AY36" i="10"/>
  <c r="BA27" i="8"/>
  <c r="AY40" i="10"/>
  <c r="AY16" i="4"/>
  <c r="AZ13" i="4"/>
  <c r="BB42" i="8"/>
  <c r="BA69" i="8"/>
  <c r="BA70" i="8"/>
  <c r="BB71" i="8"/>
  <c r="BA77" i="8"/>
  <c r="BA80" i="8"/>
  <c r="BA81" i="8"/>
  <c r="BB82" i="8"/>
  <c r="BE24" i="10"/>
  <c r="BD32" i="10"/>
  <c r="BD33" i="10"/>
  <c r="BD38" i="10"/>
  <c r="BF12" i="4"/>
  <c r="BE19" i="7"/>
  <c r="BE20" i="7"/>
  <c r="AZ17" i="4"/>
  <c r="BA14" i="4"/>
  <c r="BA35" i="10"/>
  <c r="BW15" i="7"/>
  <c r="BA32" i="8"/>
  <c r="BA30" i="8"/>
  <c r="BA53" i="8"/>
  <c r="BA46" i="5"/>
  <c r="BB36" i="5"/>
  <c r="BB26" i="8"/>
  <c r="AZ41" i="10"/>
  <c r="BV17" i="7"/>
  <c r="AZ47" i="5"/>
  <c r="BA44" i="5"/>
  <c r="AZ55" i="8"/>
  <c r="AZ106" i="8"/>
  <c r="AZ104" i="8"/>
  <c r="BA28" i="8"/>
  <c r="BB43" i="8"/>
  <c r="BB44" i="8"/>
  <c r="BB47" i="8"/>
  <c r="BB59" i="8"/>
  <c r="BB60" i="8"/>
  <c r="BB48" i="8"/>
  <c r="BV16" i="7"/>
  <c r="AZ36" i="10"/>
  <c r="BB27" i="8"/>
  <c r="AZ40" i="10"/>
  <c r="AZ40" i="3"/>
  <c r="BA34" i="3"/>
  <c r="AZ16" i="4"/>
  <c r="BA13" i="4"/>
  <c r="BB24" i="6"/>
  <c r="BB41" i="3"/>
  <c r="BC35" i="3"/>
  <c r="BA44" i="8"/>
  <c r="AZ39" i="3"/>
  <c r="BA33" i="3"/>
  <c r="AY42" i="10"/>
  <c r="BA36" i="10"/>
  <c r="BC27" i="8"/>
  <c r="BA40" i="10"/>
  <c r="BA16" i="4"/>
  <c r="BB13" i="4"/>
  <c r="BB35" i="10"/>
  <c r="BX15" i="7"/>
  <c r="BF24" i="10"/>
  <c r="BE32" i="10"/>
  <c r="BE33" i="10"/>
  <c r="BE38" i="10"/>
  <c r="BC24" i="6"/>
  <c r="BD35" i="3"/>
  <c r="BC41" i="3"/>
  <c r="BB69" i="8"/>
  <c r="BB70" i="8"/>
  <c r="BC71" i="8"/>
  <c r="BC42" i="8"/>
  <c r="BB77" i="8"/>
  <c r="BB80" i="8"/>
  <c r="BB81" i="8"/>
  <c r="BC82" i="8"/>
  <c r="BA40" i="3"/>
  <c r="BB34" i="3"/>
  <c r="BA47" i="5"/>
  <c r="BB44" i="5"/>
  <c r="AZ42" i="10"/>
  <c r="BA104" i="8"/>
  <c r="BA55" i="8"/>
  <c r="BA106" i="8"/>
  <c r="BA17" i="4"/>
  <c r="BB14" i="4"/>
  <c r="BG12" i="4"/>
  <c r="BF20" i="7"/>
  <c r="BF19" i="7"/>
  <c r="BC26" i="8"/>
  <c r="BA41" i="10"/>
  <c r="BA42" i="10"/>
  <c r="BW17" i="7"/>
  <c r="BB46" i="5"/>
  <c r="BC36" i="5"/>
  <c r="BA39" i="3"/>
  <c r="BB33" i="3"/>
  <c r="BW16" i="7"/>
  <c r="BB32" i="8"/>
  <c r="BB30" i="8"/>
  <c r="BB53" i="8"/>
  <c r="BC47" i="8"/>
  <c r="BC59" i="8"/>
  <c r="BC60" i="8"/>
  <c r="BB28" i="8"/>
  <c r="BC43" i="8"/>
  <c r="BC44" i="8"/>
  <c r="BC48" i="8"/>
  <c r="BH12" i="4"/>
  <c r="BG20" i="7"/>
  <c r="BG19" i="7"/>
  <c r="BB40" i="3"/>
  <c r="BC34" i="3"/>
  <c r="BB16" i="4"/>
  <c r="BC13" i="4"/>
  <c r="BC46" i="5"/>
  <c r="BD36" i="5"/>
  <c r="BD48" i="8"/>
  <c r="BD43" i="8"/>
  <c r="BD47" i="8"/>
  <c r="BD59" i="8"/>
  <c r="BD60" i="8"/>
  <c r="BC28" i="8"/>
  <c r="BB17" i="4"/>
  <c r="BC14" i="4"/>
  <c r="BG24" i="10"/>
  <c r="BF32" i="10"/>
  <c r="BF33" i="10"/>
  <c r="BF38" i="10"/>
  <c r="BX16" i="7"/>
  <c r="BB39" i="3"/>
  <c r="BC33" i="3"/>
  <c r="BB47" i="5"/>
  <c r="BC44" i="5"/>
  <c r="BD24" i="6"/>
  <c r="BE35" i="3"/>
  <c r="BD41" i="3"/>
  <c r="BC35" i="10"/>
  <c r="BY15" i="7"/>
  <c r="BC32" i="8"/>
  <c r="BC30" i="8"/>
  <c r="BC53" i="8"/>
  <c r="BB55" i="8"/>
  <c r="BB106" i="8"/>
  <c r="BB104" i="8"/>
  <c r="BD26" i="8"/>
  <c r="BB41" i="10"/>
  <c r="BB42" i="10"/>
  <c r="BX17" i="7"/>
  <c r="BB36" i="10"/>
  <c r="BD27" i="8"/>
  <c r="BB40" i="10"/>
  <c r="BD42" i="8"/>
  <c r="BC69" i="8"/>
  <c r="BC70" i="8"/>
  <c r="BD71" i="8"/>
  <c r="BC77" i="8"/>
  <c r="BC80" i="8"/>
  <c r="BC81" i="8"/>
  <c r="BD82" i="8"/>
  <c r="BD69" i="8"/>
  <c r="BD70" i="8"/>
  <c r="BE71" i="8"/>
  <c r="BE42" i="8"/>
  <c r="BD77" i="8"/>
  <c r="BD80" i="8"/>
  <c r="BD81" i="8"/>
  <c r="BE82" i="8"/>
  <c r="BC36" i="10"/>
  <c r="BE27" i="8"/>
  <c r="BC40" i="10"/>
  <c r="BC47" i="5"/>
  <c r="BD44" i="5"/>
  <c r="BY16" i="7"/>
  <c r="BC17" i="4"/>
  <c r="BD14" i="4"/>
  <c r="BD44" i="8"/>
  <c r="BC16" i="4"/>
  <c r="BD13" i="4"/>
  <c r="BC104" i="8"/>
  <c r="BC55" i="8"/>
  <c r="BE48" i="8"/>
  <c r="BD28" i="8"/>
  <c r="BE47" i="8"/>
  <c r="BE59" i="8"/>
  <c r="BE60" i="8"/>
  <c r="BE43" i="8"/>
  <c r="BE44" i="8"/>
  <c r="BE24" i="6"/>
  <c r="BF35" i="3"/>
  <c r="BE41" i="3"/>
  <c r="BC39" i="3"/>
  <c r="BD33" i="3"/>
  <c r="BD30" i="8"/>
  <c r="BD53" i="8"/>
  <c r="BD32" i="8"/>
  <c r="BD46" i="5"/>
  <c r="BE36" i="5"/>
  <c r="BC41" i="10"/>
  <c r="BC42" i="10"/>
  <c r="BE26" i="8"/>
  <c r="BY17" i="7"/>
  <c r="BD35" i="10"/>
  <c r="BZ15" i="7"/>
  <c r="BH24" i="10"/>
  <c r="BG32" i="10"/>
  <c r="BG33" i="10"/>
  <c r="BG38" i="10"/>
  <c r="BC40" i="3"/>
  <c r="BD34" i="3"/>
  <c r="BI12" i="4"/>
  <c r="BH20" i="7"/>
  <c r="BH19" i="7"/>
  <c r="BD36" i="10"/>
  <c r="BF27" i="8"/>
  <c r="BD40" i="10"/>
  <c r="BD40" i="3"/>
  <c r="BE34" i="3"/>
  <c r="BE35" i="10"/>
  <c r="CA15" i="7"/>
  <c r="BF47" i="8"/>
  <c r="BF59" i="8"/>
  <c r="BF60" i="8"/>
  <c r="BF43" i="8"/>
  <c r="BF44" i="8"/>
  <c r="BE28" i="8"/>
  <c r="BF48" i="8"/>
  <c r="BC106" i="8"/>
  <c r="BF42" i="8"/>
  <c r="BE69" i="8"/>
  <c r="BE70" i="8"/>
  <c r="BF71" i="8"/>
  <c r="BE77" i="8"/>
  <c r="BE80" i="8"/>
  <c r="BE81" i="8"/>
  <c r="BF82" i="8"/>
  <c r="BD55" i="8"/>
  <c r="BD106" i="8"/>
  <c r="BD104" i="8"/>
  <c r="BD17" i="4"/>
  <c r="BE14" i="4"/>
  <c r="BD47" i="5"/>
  <c r="BE44" i="5"/>
  <c r="BF26" i="8"/>
  <c r="BD41" i="10"/>
  <c r="BD42" i="10"/>
  <c r="BZ17" i="7"/>
  <c r="BE46" i="5"/>
  <c r="BF36" i="5"/>
  <c r="BF24" i="6"/>
  <c r="BF41" i="3"/>
  <c r="BG35" i="3"/>
  <c r="BE32" i="8"/>
  <c r="BE30" i="8"/>
  <c r="BE53" i="8"/>
  <c r="BD16" i="4"/>
  <c r="BE13" i="4"/>
  <c r="BJ12" i="4"/>
  <c r="BI19" i="7"/>
  <c r="BI20" i="7"/>
  <c r="BI24" i="10"/>
  <c r="BH32" i="10"/>
  <c r="BH33" i="10"/>
  <c r="BH38" i="10"/>
  <c r="BD39" i="3"/>
  <c r="BE33" i="3"/>
  <c r="BZ16" i="7"/>
  <c r="CA16" i="7"/>
  <c r="BE40" i="3"/>
  <c r="BF34" i="3"/>
  <c r="BE17" i="4"/>
  <c r="BF14" i="4"/>
  <c r="BE104" i="8"/>
  <c r="BE55" i="8"/>
  <c r="BE106" i="8"/>
  <c r="BJ24" i="10"/>
  <c r="BI32" i="10"/>
  <c r="BI33" i="10"/>
  <c r="BI38" i="10"/>
  <c r="BF46" i="5"/>
  <c r="BG36" i="5"/>
  <c r="BE16" i="4"/>
  <c r="BF13" i="4"/>
  <c r="BG24" i="6"/>
  <c r="BH35" i="3"/>
  <c r="BG41" i="3"/>
  <c r="BG47" i="8"/>
  <c r="BG59" i="8"/>
  <c r="BG60" i="8"/>
  <c r="BG43" i="8"/>
  <c r="BF28" i="8"/>
  <c r="BG48" i="8"/>
  <c r="BF35" i="10"/>
  <c r="CB15" i="7"/>
  <c r="BK12" i="4"/>
  <c r="BJ20" i="7"/>
  <c r="BJ19" i="7"/>
  <c r="BE39" i="3"/>
  <c r="BF33" i="3"/>
  <c r="BG26" i="8"/>
  <c r="BE41" i="10"/>
  <c r="CA17" i="7"/>
  <c r="BE47" i="5"/>
  <c r="BF44" i="5"/>
  <c r="BF32" i="8"/>
  <c r="BF30" i="8"/>
  <c r="BF53" i="8"/>
  <c r="BE36" i="10"/>
  <c r="BG27" i="8"/>
  <c r="BE40" i="10"/>
  <c r="BF77" i="8"/>
  <c r="BF80" i="8"/>
  <c r="BF81" i="8"/>
  <c r="BG82" i="8"/>
  <c r="BF69" i="8"/>
  <c r="BF70" i="8"/>
  <c r="BG71" i="8"/>
  <c r="BG42" i="8"/>
  <c r="BG35" i="10"/>
  <c r="CC15" i="7"/>
  <c r="BG44" i="8"/>
  <c r="BF40" i="3"/>
  <c r="BG34" i="3"/>
  <c r="BF47" i="5"/>
  <c r="BG44" i="5"/>
  <c r="BF17" i="4"/>
  <c r="BG14" i="4"/>
  <c r="BF55" i="8"/>
  <c r="BF106" i="8"/>
  <c r="BF104" i="8"/>
  <c r="BE42" i="10"/>
  <c r="BF36" i="10"/>
  <c r="BH27" i="8"/>
  <c r="BF40" i="10"/>
  <c r="BF16" i="4"/>
  <c r="BG13" i="4"/>
  <c r="BH42" i="8"/>
  <c r="BG69" i="8"/>
  <c r="BG70" i="8"/>
  <c r="BH71" i="8"/>
  <c r="BG77" i="8"/>
  <c r="BG80" i="8"/>
  <c r="BG81" i="8"/>
  <c r="BH82" i="8"/>
  <c r="BH43" i="8"/>
  <c r="BG28" i="8"/>
  <c r="BH48" i="8"/>
  <c r="BH47" i="8"/>
  <c r="BH59" i="8"/>
  <c r="BH60" i="8"/>
  <c r="BK24" i="10"/>
  <c r="BJ32" i="10"/>
  <c r="BJ33" i="10"/>
  <c r="BJ38" i="10"/>
  <c r="CB16" i="7"/>
  <c r="BH26" i="8"/>
  <c r="BF41" i="10"/>
  <c r="BF42" i="10"/>
  <c r="CB17" i="7"/>
  <c r="BF39" i="3"/>
  <c r="BG33" i="3"/>
  <c r="BL12" i="4"/>
  <c r="BK19" i="7"/>
  <c r="BK20" i="7"/>
  <c r="BG32" i="8"/>
  <c r="BG30" i="8"/>
  <c r="BG53" i="8"/>
  <c r="BH24" i="6"/>
  <c r="BI35" i="3"/>
  <c r="BH41" i="3"/>
  <c r="BG46" i="5"/>
  <c r="BH36" i="5"/>
  <c r="BH46" i="5"/>
  <c r="BI36" i="5"/>
  <c r="BM12" i="4"/>
  <c r="BL19" i="7"/>
  <c r="BL20" i="7"/>
  <c r="BG47" i="5"/>
  <c r="BH44" i="5"/>
  <c r="BI26" i="8"/>
  <c r="BG41" i="10"/>
  <c r="CC17" i="7"/>
  <c r="BG55" i="8"/>
  <c r="BG106" i="8"/>
  <c r="BG104" i="8"/>
  <c r="BG39" i="3"/>
  <c r="BH33" i="3"/>
  <c r="BH30" i="8"/>
  <c r="BH53" i="8"/>
  <c r="BH32" i="8"/>
  <c r="BH69" i="8"/>
  <c r="BH70" i="8"/>
  <c r="BI71" i="8"/>
  <c r="BI42" i="8"/>
  <c r="BH77" i="8"/>
  <c r="BH80" i="8"/>
  <c r="BH81" i="8"/>
  <c r="BI82" i="8"/>
  <c r="BG17" i="4"/>
  <c r="BH14" i="4"/>
  <c r="BH35" i="10"/>
  <c r="CD15" i="7"/>
  <c r="CC16" i="7"/>
  <c r="BI24" i="6"/>
  <c r="BJ35" i="3"/>
  <c r="BI41" i="3"/>
  <c r="BI47" i="8"/>
  <c r="BI59" i="8"/>
  <c r="BI60" i="8"/>
  <c r="BH28" i="8"/>
  <c r="BI48" i="8"/>
  <c r="BI43" i="8"/>
  <c r="BI44" i="8"/>
  <c r="BL24" i="10"/>
  <c r="BK32" i="10"/>
  <c r="BK33" i="10"/>
  <c r="BK38" i="10"/>
  <c r="BH44" i="8"/>
  <c r="BG16" i="4"/>
  <c r="BH13" i="4"/>
  <c r="BG40" i="3"/>
  <c r="BH34" i="3"/>
  <c r="BG36" i="10"/>
  <c r="BI27" i="8"/>
  <c r="BG40" i="10"/>
  <c r="BM24" i="10"/>
  <c r="BL32" i="10"/>
  <c r="BL33" i="10"/>
  <c r="BL38" i="10"/>
  <c r="BI32" i="8"/>
  <c r="BI30" i="8"/>
  <c r="BI53" i="8"/>
  <c r="BI35" i="10"/>
  <c r="CE15" i="7"/>
  <c r="BH55" i="8"/>
  <c r="BH106" i="8"/>
  <c r="BH104" i="8"/>
  <c r="BJ43" i="8"/>
  <c r="BJ48" i="8"/>
  <c r="BI28" i="8"/>
  <c r="BJ47" i="8"/>
  <c r="BJ59" i="8"/>
  <c r="BJ60" i="8"/>
  <c r="BH36" i="10"/>
  <c r="BJ27" i="8"/>
  <c r="BH40" i="10"/>
  <c r="BH39" i="3"/>
  <c r="BI33" i="3"/>
  <c r="BJ26" i="8"/>
  <c r="BH41" i="10"/>
  <c r="BH42" i="10"/>
  <c r="CD17" i="7"/>
  <c r="BH47" i="5"/>
  <c r="BI44" i="5"/>
  <c r="BN12" i="4"/>
  <c r="BM20" i="7"/>
  <c r="BM19" i="7"/>
  <c r="BH16" i="4"/>
  <c r="BI13" i="4"/>
  <c r="BH17" i="4"/>
  <c r="BI14" i="4"/>
  <c r="BI46" i="5"/>
  <c r="BJ36" i="5"/>
  <c r="BJ42" i="8"/>
  <c r="BI69" i="8"/>
  <c r="BI70" i="8"/>
  <c r="BJ71" i="8"/>
  <c r="BI77" i="8"/>
  <c r="BI80" i="8"/>
  <c r="BI81" i="8"/>
  <c r="BJ82" i="8"/>
  <c r="CD16" i="7"/>
  <c r="BH40" i="3"/>
  <c r="BI34" i="3"/>
  <c r="BJ24" i="6"/>
  <c r="BJ41" i="3"/>
  <c r="BK35" i="3"/>
  <c r="BG42" i="10"/>
  <c r="BJ46" i="5"/>
  <c r="BK36" i="5"/>
  <c r="BI16" i="4"/>
  <c r="BJ13" i="4"/>
  <c r="BO12" i="4"/>
  <c r="BN20" i="7"/>
  <c r="BN19" i="7"/>
  <c r="BJ32" i="8"/>
  <c r="BJ30" i="8"/>
  <c r="BJ53" i="8"/>
  <c r="BI47" i="5"/>
  <c r="BJ44" i="5"/>
  <c r="BJ35" i="10"/>
  <c r="CF15" i="7"/>
  <c r="BI40" i="3"/>
  <c r="BJ34" i="3"/>
  <c r="BI17" i="4"/>
  <c r="BJ14" i="4"/>
  <c r="BK47" i="8"/>
  <c r="BK59" i="8"/>
  <c r="BK60" i="8"/>
  <c r="BJ28" i="8"/>
  <c r="BK43" i="8"/>
  <c r="BK48" i="8"/>
  <c r="BJ77" i="8"/>
  <c r="BJ80" i="8"/>
  <c r="BJ81" i="8"/>
  <c r="BK82" i="8"/>
  <c r="BJ69" i="8"/>
  <c r="BJ70" i="8"/>
  <c r="BK71" i="8"/>
  <c r="BK42" i="8"/>
  <c r="BJ44" i="8"/>
  <c r="BI36" i="10"/>
  <c r="BK27" i="8"/>
  <c r="BI40" i="10"/>
  <c r="BK24" i="6"/>
  <c r="BL35" i="3"/>
  <c r="BK41" i="3"/>
  <c r="CE16" i="7"/>
  <c r="BK26" i="8"/>
  <c r="BI41" i="10"/>
  <c r="BI42" i="10"/>
  <c r="CE17" i="7"/>
  <c r="BI39" i="3"/>
  <c r="BJ33" i="3"/>
  <c r="BI55" i="8"/>
  <c r="BI106" i="8"/>
  <c r="BI104" i="8"/>
  <c r="BN24" i="10"/>
  <c r="BM32" i="10"/>
  <c r="BM33" i="10"/>
  <c r="BM38" i="10"/>
  <c r="BJ16" i="4"/>
  <c r="BK13" i="4"/>
  <c r="BJ39" i="3"/>
  <c r="BK33" i="3"/>
  <c r="BK30" i="8"/>
  <c r="BK53" i="8"/>
  <c r="BK32" i="8"/>
  <c r="BJ40" i="3"/>
  <c r="BK34" i="3"/>
  <c r="BJ47" i="5"/>
  <c r="BK44" i="5"/>
  <c r="BK44" i="8"/>
  <c r="BJ36" i="10"/>
  <c r="BL27" i="8"/>
  <c r="BJ40" i="10"/>
  <c r="BO24" i="10"/>
  <c r="BN32" i="10"/>
  <c r="BN33" i="10"/>
  <c r="BN38" i="10"/>
  <c r="BK28" i="8"/>
  <c r="BL48" i="8"/>
  <c r="BL43" i="8"/>
  <c r="BL44" i="8"/>
  <c r="BL47" i="8"/>
  <c r="BL59" i="8"/>
  <c r="BL60" i="8"/>
  <c r="BL24" i="6"/>
  <c r="BM35" i="3"/>
  <c r="BL41" i="3"/>
  <c r="BK69" i="8"/>
  <c r="BK70" i="8"/>
  <c r="BL71" i="8"/>
  <c r="BL42" i="8"/>
  <c r="BK77" i="8"/>
  <c r="BK80" i="8"/>
  <c r="BK81" i="8"/>
  <c r="BL82" i="8"/>
  <c r="BK46" i="5"/>
  <c r="BL36" i="5"/>
  <c r="BL26" i="8"/>
  <c r="BJ41" i="10"/>
  <c r="BJ42" i="10"/>
  <c r="CF17" i="7"/>
  <c r="CF16" i="7"/>
  <c r="BJ17" i="4"/>
  <c r="BK14" i="4"/>
  <c r="BK35" i="10"/>
  <c r="CG15" i="7"/>
  <c r="BJ55" i="8"/>
  <c r="BJ106" i="8"/>
  <c r="BJ104" i="8"/>
  <c r="BP12" i="4"/>
  <c r="BO20" i="7"/>
  <c r="BO19" i="7"/>
  <c r="BK17" i="4"/>
  <c r="BL14" i="4"/>
  <c r="BL46" i="5"/>
  <c r="BM36" i="5"/>
  <c r="BK40" i="3"/>
  <c r="BL34" i="3"/>
  <c r="BK39" i="3"/>
  <c r="BL33" i="3"/>
  <c r="BP24" i="10"/>
  <c r="BO32" i="10"/>
  <c r="BO33" i="10"/>
  <c r="BO38" i="10"/>
  <c r="BL35" i="10"/>
  <c r="CH15" i="7"/>
  <c r="BM24" i="6"/>
  <c r="BN35" i="3"/>
  <c r="BM41" i="3"/>
  <c r="BK47" i="5"/>
  <c r="BL44" i="5"/>
  <c r="BK16" i="4"/>
  <c r="BL13" i="4"/>
  <c r="BM26" i="8"/>
  <c r="BK41" i="10"/>
  <c r="CG17" i="7"/>
  <c r="BM42" i="8"/>
  <c r="BL69" i="8"/>
  <c r="BL70" i="8"/>
  <c r="BM71" i="8"/>
  <c r="BL77" i="8"/>
  <c r="BL80" i="8"/>
  <c r="BL81" i="8"/>
  <c r="BM82" i="8"/>
  <c r="CG16" i="7"/>
  <c r="BQ12" i="4"/>
  <c r="BP20" i="7"/>
  <c r="BP19" i="7"/>
  <c r="BK36" i="10"/>
  <c r="BM27" i="8"/>
  <c r="BK40" i="10"/>
  <c r="BM43" i="8"/>
  <c r="BM44" i="8"/>
  <c r="BM47" i="8"/>
  <c r="BM59" i="8"/>
  <c r="BM60" i="8"/>
  <c r="BM48" i="8"/>
  <c r="BL28" i="8"/>
  <c r="BL32" i="8"/>
  <c r="BL30" i="8"/>
  <c r="BL53" i="8"/>
  <c r="BK55" i="8"/>
  <c r="BK106" i="8"/>
  <c r="BK104" i="8"/>
  <c r="BL36" i="10"/>
  <c r="BN27" i="8"/>
  <c r="BL40" i="10"/>
  <c r="BN24" i="6"/>
  <c r="BN41" i="3"/>
  <c r="BO35" i="3"/>
  <c r="BL55" i="8"/>
  <c r="BL106" i="8"/>
  <c r="BL104" i="8"/>
  <c r="BN26" i="8"/>
  <c r="BL41" i="10"/>
  <c r="BL42" i="10"/>
  <c r="CH17" i="7"/>
  <c r="BM46" i="5"/>
  <c r="BN36" i="5"/>
  <c r="BR12" i="4"/>
  <c r="BQ19" i="7"/>
  <c r="BQ20" i="7"/>
  <c r="BK42" i="10"/>
  <c r="BL47" i="5"/>
  <c r="BM44" i="5"/>
  <c r="BL40" i="3"/>
  <c r="BM34" i="3"/>
  <c r="BL17" i="4"/>
  <c r="BM14" i="4"/>
  <c r="BL16" i="4"/>
  <c r="BM13" i="4"/>
  <c r="BL39" i="3"/>
  <c r="BM33" i="3"/>
  <c r="BM32" i="8"/>
  <c r="BM30" i="8"/>
  <c r="BM53" i="8"/>
  <c r="BN42" i="8"/>
  <c r="BM69" i="8"/>
  <c r="BM70" i="8"/>
  <c r="BN71" i="8"/>
  <c r="BM77" i="8"/>
  <c r="BM80" i="8"/>
  <c r="BM81" i="8"/>
  <c r="BN82" i="8"/>
  <c r="CH16" i="7"/>
  <c r="BN43" i="8"/>
  <c r="BN44" i="8"/>
  <c r="BM28" i="8"/>
  <c r="BN47" i="8"/>
  <c r="BN59" i="8"/>
  <c r="BN60" i="8"/>
  <c r="BN48" i="8"/>
  <c r="BM35" i="10"/>
  <c r="CI15" i="7"/>
  <c r="BQ24" i="10"/>
  <c r="BQ32" i="10"/>
  <c r="BQ33" i="10"/>
  <c r="BQ38" i="10"/>
  <c r="BP32" i="10"/>
  <c r="BP33" i="10"/>
  <c r="BP38" i="10"/>
  <c r="BM36" i="10"/>
  <c r="BO27" i="8"/>
  <c r="BM40" i="10"/>
  <c r="BM47" i="5"/>
  <c r="BN44" i="5"/>
  <c r="BO26" i="8"/>
  <c r="BM41" i="10"/>
  <c r="BM42" i="10"/>
  <c r="CI17" i="7"/>
  <c r="BM17" i="4"/>
  <c r="BN14" i="4"/>
  <c r="BN28" i="8"/>
  <c r="BO47" i="8"/>
  <c r="BO59" i="8"/>
  <c r="BO60" i="8"/>
  <c r="BO43" i="8"/>
  <c r="BO48" i="8"/>
  <c r="CI16" i="7"/>
  <c r="BM104" i="8"/>
  <c r="BM55" i="8"/>
  <c r="BM106" i="8"/>
  <c r="BM16" i="4"/>
  <c r="BN13" i="4"/>
  <c r="BM40" i="3"/>
  <c r="BN34" i="3"/>
  <c r="BS12" i="4"/>
  <c r="BR19" i="7"/>
  <c r="BR20" i="7"/>
  <c r="BM39" i="3"/>
  <c r="BN33" i="3"/>
  <c r="BN35" i="10"/>
  <c r="CJ15" i="7"/>
  <c r="BN30" i="8"/>
  <c r="BN53" i="8"/>
  <c r="BN32" i="8"/>
  <c r="BN46" i="5"/>
  <c r="BO36" i="5"/>
  <c r="BO24" i="6"/>
  <c r="BP35" i="3"/>
  <c r="BO41" i="3"/>
  <c r="BN77" i="8"/>
  <c r="BN80" i="8"/>
  <c r="BN81" i="8"/>
  <c r="BO82" i="8"/>
  <c r="BN69" i="8"/>
  <c r="BN70" i="8"/>
  <c r="BO71" i="8"/>
  <c r="BO42" i="8"/>
  <c r="BN39" i="3"/>
  <c r="BO33" i="3"/>
  <c r="BN17" i="4"/>
  <c r="BO14" i="4"/>
  <c r="BT12" i="4"/>
  <c r="BS19" i="7"/>
  <c r="BS20" i="7"/>
  <c r="BO30" i="8"/>
  <c r="BO53" i="8"/>
  <c r="BO32" i="8"/>
  <c r="BO46" i="5"/>
  <c r="BP36" i="5"/>
  <c r="BN40" i="3"/>
  <c r="BO34" i="3"/>
  <c r="BN36" i="10"/>
  <c r="BP27" i="8"/>
  <c r="BN40" i="10"/>
  <c r="BO44" i="8"/>
  <c r="BP48" i="8"/>
  <c r="BP43" i="8"/>
  <c r="BP47" i="8"/>
  <c r="BP59" i="8"/>
  <c r="BP60" i="8"/>
  <c r="BO28" i="8"/>
  <c r="BN55" i="8"/>
  <c r="BN106" i="8"/>
  <c r="BN104" i="8"/>
  <c r="BO35" i="10"/>
  <c r="CK15" i="7"/>
  <c r="BP24" i="6"/>
  <c r="BQ35" i="3"/>
  <c r="BP41" i="3"/>
  <c r="BN16" i="4"/>
  <c r="BO13" i="4"/>
  <c r="CJ16" i="7"/>
  <c r="BP26" i="8"/>
  <c r="BN41" i="10"/>
  <c r="CJ17" i="7"/>
  <c r="BN47" i="5"/>
  <c r="BO44" i="5"/>
  <c r="BO69" i="8"/>
  <c r="BO70" i="8"/>
  <c r="BP71" i="8"/>
  <c r="BP42" i="8"/>
  <c r="BO77" i="8"/>
  <c r="BQ26" i="8"/>
  <c r="BO41" i="10"/>
  <c r="CK17" i="7"/>
  <c r="BO36" i="10"/>
  <c r="BQ27" i="8"/>
  <c r="BO40" i="10"/>
  <c r="BQ42" i="8"/>
  <c r="BP77" i="8"/>
  <c r="BP69" i="8"/>
  <c r="BP70" i="8"/>
  <c r="BQ71" i="8"/>
  <c r="CK16" i="7"/>
  <c r="BP46" i="5"/>
  <c r="BQ36" i="5"/>
  <c r="BN42" i="10"/>
  <c r="BO47" i="5"/>
  <c r="BP44" i="5"/>
  <c r="BO40" i="3"/>
  <c r="BP34" i="3"/>
  <c r="BU12" i="4"/>
  <c r="BT19" i="7"/>
  <c r="BT20" i="7"/>
  <c r="BO39" i="3"/>
  <c r="BP33" i="3"/>
  <c r="BQ24" i="6"/>
  <c r="BR35" i="3"/>
  <c r="BQ41" i="3"/>
  <c r="BP44" i="8"/>
  <c r="BO16" i="4"/>
  <c r="BP13" i="4"/>
  <c r="BP80" i="8"/>
  <c r="BP81" i="8"/>
  <c r="BQ82" i="8"/>
  <c r="BO80" i="8"/>
  <c r="BO81" i="8"/>
  <c r="BP82" i="8"/>
  <c r="BQ47" i="8"/>
  <c r="BQ59" i="8"/>
  <c r="BQ60" i="8"/>
  <c r="BP28" i="8"/>
  <c r="BQ48" i="8"/>
  <c r="BQ43" i="8"/>
  <c r="BQ44" i="8"/>
  <c r="BP35" i="10"/>
  <c r="CL15" i="7"/>
  <c r="BQ35" i="10"/>
  <c r="BP32" i="8"/>
  <c r="BP30" i="8"/>
  <c r="BP53" i="8"/>
  <c r="BO104" i="8"/>
  <c r="BO55" i="8"/>
  <c r="BO106" i="8"/>
  <c r="BO17" i="4"/>
  <c r="BP14" i="4"/>
  <c r="BP17" i="4"/>
  <c r="BQ14" i="4"/>
  <c r="CL16" i="7"/>
  <c r="BP40" i="3"/>
  <c r="BQ34" i="3"/>
  <c r="BO42" i="10"/>
  <c r="BP55" i="8"/>
  <c r="BP106" i="8"/>
  <c r="BP104" i="8"/>
  <c r="BP39" i="3"/>
  <c r="BQ33" i="3"/>
  <c r="BP16" i="4"/>
  <c r="BQ13" i="4"/>
  <c r="BR24" i="6"/>
  <c r="BR41" i="3"/>
  <c r="BS35" i="3"/>
  <c r="BQ46" i="5"/>
  <c r="BR36" i="5"/>
  <c r="BR42" i="8"/>
  <c r="BQ69" i="8"/>
  <c r="BQ70" i="8"/>
  <c r="BR71" i="8"/>
  <c r="BQ77" i="8"/>
  <c r="BQ80" i="8"/>
  <c r="BQ81" i="8"/>
  <c r="BR82" i="8"/>
  <c r="BR43" i="8"/>
  <c r="BQ28" i="8"/>
  <c r="BR47" i="8"/>
  <c r="BR59" i="8"/>
  <c r="BR60" i="8"/>
  <c r="BR48" i="8"/>
  <c r="BV12" i="4"/>
  <c r="BU19" i="7"/>
  <c r="BU20" i="7"/>
  <c r="BQ36" i="10"/>
  <c r="BS27" i="8"/>
  <c r="BQ40" i="10"/>
  <c r="BQ32" i="8"/>
  <c r="BQ30" i="8"/>
  <c r="BQ53" i="8"/>
  <c r="BP36" i="10"/>
  <c r="BR27" i="8"/>
  <c r="BP40" i="10"/>
  <c r="BP47" i="5"/>
  <c r="BQ44" i="5"/>
  <c r="BR26" i="8"/>
  <c r="BP41" i="10"/>
  <c r="BP42" i="10"/>
  <c r="CL17" i="7"/>
  <c r="BR32" i="8"/>
  <c r="BR30" i="8"/>
  <c r="BR53" i="8"/>
  <c r="BR44" i="8"/>
  <c r="BR46" i="5"/>
  <c r="BS36" i="5"/>
  <c r="BQ40" i="3"/>
  <c r="BR34" i="3"/>
  <c r="BQ17" i="4"/>
  <c r="BR14" i="4"/>
  <c r="BW12" i="4"/>
  <c r="BV20" i="7"/>
  <c r="BV19" i="7"/>
  <c r="BS47" i="8"/>
  <c r="BS48" i="8"/>
  <c r="A48" i="8"/>
  <c r="BR28" i="8"/>
  <c r="BS43" i="8"/>
  <c r="BR77" i="8"/>
  <c r="BR80" i="8"/>
  <c r="BR81" i="8"/>
  <c r="BS82" i="8"/>
  <c r="BR69" i="8"/>
  <c r="BR70" i="8"/>
  <c r="BS71" i="8"/>
  <c r="BS42" i="8"/>
  <c r="A42" i="8"/>
  <c r="BS69" i="8"/>
  <c r="BS70" i="8"/>
  <c r="BS77" i="8"/>
  <c r="BS80" i="8"/>
  <c r="BS81" i="8"/>
  <c r="BQ16" i="4"/>
  <c r="BR13" i="4"/>
  <c r="BQ39" i="3"/>
  <c r="BR33" i="3"/>
  <c r="BS26" i="8"/>
  <c r="BS28" i="8"/>
  <c r="BQ41" i="10"/>
  <c r="BQ42" i="10"/>
  <c r="BQ47" i="5"/>
  <c r="BR44" i="5"/>
  <c r="BQ55" i="8"/>
  <c r="BQ106" i="8"/>
  <c r="BQ104" i="8"/>
  <c r="BS24" i="6"/>
  <c r="BT35" i="3"/>
  <c r="BS41" i="3"/>
  <c r="BS30" i="8"/>
  <c r="BS32" i="8"/>
  <c r="A32" i="8"/>
  <c r="BR40" i="3"/>
  <c r="BS34" i="3"/>
  <c r="BS44" i="8"/>
  <c r="A44" i="8"/>
  <c r="A43" i="8"/>
  <c r="BR16" i="4"/>
  <c r="BS13" i="4"/>
  <c r="BR47" i="5"/>
  <c r="BS44" i="5"/>
  <c r="D87" i="8"/>
  <c r="A71" i="8"/>
  <c r="C87" i="8"/>
  <c r="BX12" i="4"/>
  <c r="BW19" i="7"/>
  <c r="BW20" i="7"/>
  <c r="BR104" i="8"/>
  <c r="BR55" i="8"/>
  <c r="BR106" i="8"/>
  <c r="BT24" i="6"/>
  <c r="BU35" i="3"/>
  <c r="BT41" i="3"/>
  <c r="BR39" i="3"/>
  <c r="BS33" i="3"/>
  <c r="A82" i="8"/>
  <c r="C89" i="8"/>
  <c r="D89" i="8"/>
  <c r="F89" i="8"/>
  <c r="BS59" i="8"/>
  <c r="BS60" i="8"/>
  <c r="A47" i="8"/>
  <c r="BR17" i="4"/>
  <c r="BS14" i="4"/>
  <c r="BS46" i="5"/>
  <c r="BT36" i="5"/>
  <c r="BS16" i="4"/>
  <c r="BT13" i="4"/>
  <c r="F87" i="8"/>
  <c r="BS17" i="4"/>
  <c r="BT14" i="4"/>
  <c r="BT46" i="5"/>
  <c r="BU36" i="5"/>
  <c r="BS39" i="3"/>
  <c r="BT33" i="3"/>
  <c r="BS47" i="5"/>
  <c r="BT44" i="5"/>
  <c r="BS40" i="3"/>
  <c r="BT34" i="3"/>
  <c r="BU24" i="6"/>
  <c r="BV35" i="3"/>
  <c r="BU41" i="3"/>
  <c r="BY12" i="4"/>
  <c r="BX20" i="7"/>
  <c r="BX19" i="7"/>
  <c r="BS53" i="8"/>
  <c r="A30" i="8"/>
  <c r="BS55" i="8"/>
  <c r="BS106" i="8"/>
  <c r="E106" i="8"/>
  <c r="E100" i="8"/>
  <c r="BS104" i="8"/>
  <c r="E104" i="8"/>
  <c r="C100" i="8"/>
  <c r="BV24" i="6"/>
  <c r="BV41" i="3"/>
  <c r="BW35" i="3"/>
  <c r="BT47" i="5"/>
  <c r="BU44" i="5"/>
  <c r="BU46" i="5"/>
  <c r="BV36" i="5"/>
  <c r="BT16" i="4"/>
  <c r="BU13" i="4"/>
  <c r="BZ12" i="4"/>
  <c r="BY19" i="7"/>
  <c r="BY20" i="7"/>
  <c r="BT40" i="3"/>
  <c r="BU34" i="3"/>
  <c r="BT39" i="3"/>
  <c r="BU33" i="3"/>
  <c r="BT17" i="4"/>
  <c r="BU14" i="4"/>
  <c r="BU17" i="4"/>
  <c r="BV14" i="4"/>
  <c r="BU47" i="5"/>
  <c r="BV44" i="5"/>
  <c r="CA12" i="4"/>
  <c r="BZ19" i="7"/>
  <c r="BZ20" i="7"/>
  <c r="BU16" i="4"/>
  <c r="BV13" i="4"/>
  <c r="BU40" i="3"/>
  <c r="BV34" i="3"/>
  <c r="BU39" i="3"/>
  <c r="BV33" i="3"/>
  <c r="BV46" i="5"/>
  <c r="BW36" i="5"/>
  <c r="BW24" i="6"/>
  <c r="BX35" i="3"/>
  <c r="BW41" i="3"/>
  <c r="BV47" i="5"/>
  <c r="BW44" i="5"/>
  <c r="BW46" i="5"/>
  <c r="BX36" i="5"/>
  <c r="BV17" i="4"/>
  <c r="BW14" i="4"/>
  <c r="BV40" i="3"/>
  <c r="BW34" i="3"/>
  <c r="BX24" i="6"/>
  <c r="BY35" i="3"/>
  <c r="BX41" i="3"/>
  <c r="BV39" i="3"/>
  <c r="BW33" i="3"/>
  <c r="BV16" i="4"/>
  <c r="BW13" i="4"/>
  <c r="CB12" i="4"/>
  <c r="CA20" i="7"/>
  <c r="CA19" i="7"/>
  <c r="BW16" i="4"/>
  <c r="BX13" i="4"/>
  <c r="BW40" i="3"/>
  <c r="BX34" i="3"/>
  <c r="BY24" i="6"/>
  <c r="BZ35" i="3"/>
  <c r="BY41" i="3"/>
  <c r="BW17" i="4"/>
  <c r="BX14" i="4"/>
  <c r="BW47" i="5"/>
  <c r="BX44" i="5"/>
  <c r="CC12" i="4"/>
  <c r="CB19" i="7"/>
  <c r="CB20" i="7"/>
  <c r="BX46" i="5"/>
  <c r="BY36" i="5"/>
  <c r="BW39" i="3"/>
  <c r="BX33" i="3"/>
  <c r="BY46" i="5"/>
  <c r="BZ36" i="5"/>
  <c r="BX47" i="5"/>
  <c r="BY44" i="5"/>
  <c r="CD12" i="4"/>
  <c r="CC20" i="7"/>
  <c r="CC19" i="7"/>
  <c r="BX39" i="3"/>
  <c r="BY33" i="3"/>
  <c r="BZ24" i="6"/>
  <c r="BZ41" i="3"/>
  <c r="CA35" i="3"/>
  <c r="BX16" i="4"/>
  <c r="BY13" i="4"/>
  <c r="BX40" i="3"/>
  <c r="BY34" i="3"/>
  <c r="BX17" i="4"/>
  <c r="BY14" i="4"/>
  <c r="CA24" i="6"/>
  <c r="CB35" i="3"/>
  <c r="CA41" i="3"/>
  <c r="BY47" i="5"/>
  <c r="BZ44" i="5"/>
  <c r="BY16" i="4"/>
  <c r="BZ13" i="4"/>
  <c r="BZ46" i="5"/>
  <c r="CA36" i="5"/>
  <c r="BY40" i="3"/>
  <c r="BZ34" i="3"/>
  <c r="BY17" i="4"/>
  <c r="BZ14" i="4"/>
  <c r="BY39" i="3"/>
  <c r="BZ33" i="3"/>
  <c r="CE12" i="4"/>
  <c r="CD20" i="7"/>
  <c r="CD19" i="7"/>
  <c r="BZ16" i="4"/>
  <c r="CA13" i="4"/>
  <c r="BZ39" i="3"/>
  <c r="CA33" i="3"/>
  <c r="CB24" i="6"/>
  <c r="CC35" i="3"/>
  <c r="CB41" i="3"/>
  <c r="CF12" i="4"/>
  <c r="CE19" i="7"/>
  <c r="CE20" i="7"/>
  <c r="BZ40" i="3"/>
  <c r="CA34" i="3"/>
  <c r="BZ17" i="4"/>
  <c r="CA14" i="4"/>
  <c r="CA46" i="5"/>
  <c r="CB36" i="5"/>
  <c r="BZ47" i="5"/>
  <c r="CA44" i="5"/>
  <c r="CA40" i="3"/>
  <c r="CB34" i="3"/>
  <c r="CA39" i="3"/>
  <c r="CB33" i="3"/>
  <c r="CB46" i="5"/>
  <c r="CC36" i="5"/>
  <c r="CA47" i="5"/>
  <c r="CB44" i="5"/>
  <c r="CC24" i="6"/>
  <c r="CD35" i="3"/>
  <c r="CC41" i="3"/>
  <c r="CA16" i="4"/>
  <c r="CB13" i="4"/>
  <c r="CG12" i="4"/>
  <c r="CF20" i="7"/>
  <c r="CF19" i="7"/>
  <c r="CA17" i="4"/>
  <c r="CB14" i="4"/>
  <c r="CB47" i="5"/>
  <c r="CC44" i="5"/>
  <c r="CB39" i="3"/>
  <c r="CC33" i="3"/>
  <c r="CH12" i="4"/>
  <c r="CG19" i="7"/>
  <c r="CG20" i="7"/>
  <c r="CC46" i="5"/>
  <c r="CD36" i="5"/>
  <c r="CB40" i="3"/>
  <c r="CC34" i="3"/>
  <c r="CB17" i="4"/>
  <c r="CC14" i="4"/>
  <c r="CD24" i="6"/>
  <c r="CD41" i="3"/>
  <c r="CE35" i="3"/>
  <c r="CB16" i="4"/>
  <c r="CC13" i="4"/>
  <c r="CC39" i="3"/>
  <c r="CD33" i="3"/>
  <c r="CC16" i="4"/>
  <c r="CD13" i="4"/>
  <c r="CC47" i="5"/>
  <c r="CD44" i="5"/>
  <c r="CE24" i="6"/>
  <c r="CF35" i="3"/>
  <c r="CE41" i="3"/>
  <c r="CC40" i="3"/>
  <c r="CD34" i="3"/>
  <c r="CC17" i="4"/>
  <c r="CD14" i="4"/>
  <c r="CD46" i="5"/>
  <c r="CE36" i="5"/>
  <c r="CI12" i="4"/>
  <c r="CH20" i="7"/>
  <c r="CH19" i="7"/>
  <c r="CF24" i="6"/>
  <c r="CG35" i="3"/>
  <c r="CF41" i="3"/>
  <c r="CE46" i="5"/>
  <c r="CF36" i="5"/>
  <c r="CD40" i="3"/>
  <c r="CE34" i="3"/>
  <c r="CD47" i="5"/>
  <c r="CE44" i="5"/>
  <c r="CD39" i="3"/>
  <c r="CE33" i="3"/>
  <c r="CJ12" i="4"/>
  <c r="CI20" i="7"/>
  <c r="CI19" i="7"/>
  <c r="CD16" i="4"/>
  <c r="CE13" i="4"/>
  <c r="CD17" i="4"/>
  <c r="CE14" i="4"/>
  <c r="CE16" i="4"/>
  <c r="CF13" i="4"/>
  <c r="CE40" i="3"/>
  <c r="CF34" i="3"/>
  <c r="CK12" i="4"/>
  <c r="CJ19" i="7"/>
  <c r="CJ20" i="7"/>
  <c r="CE17" i="4"/>
  <c r="CF14" i="4"/>
  <c r="CG24" i="6"/>
  <c r="CH35" i="3"/>
  <c r="CG41" i="3"/>
  <c r="CE39" i="3"/>
  <c r="CF33" i="3"/>
  <c r="CE47" i="5"/>
  <c r="CF44" i="5"/>
  <c r="CF46" i="5"/>
  <c r="CG36" i="5"/>
  <c r="CF47" i="5"/>
  <c r="CG44" i="5"/>
  <c r="CH24" i="6"/>
  <c r="CH41" i="3"/>
  <c r="CI35" i="3"/>
  <c r="CF39" i="3"/>
  <c r="CG33" i="3"/>
  <c r="CF16" i="4"/>
  <c r="CG13" i="4"/>
  <c r="CF40" i="3"/>
  <c r="CG34" i="3"/>
  <c r="CG46" i="5"/>
  <c r="CH36" i="5"/>
  <c r="CF17" i="4"/>
  <c r="CG14" i="4"/>
  <c r="CL12" i="4"/>
  <c r="CK20" i="7"/>
  <c r="CK19" i="7"/>
  <c r="CL19" i="7"/>
  <c r="CL20" i="7"/>
  <c r="CG39" i="3"/>
  <c r="CH33" i="3"/>
  <c r="CG17" i="4"/>
  <c r="CH14" i="4"/>
  <c r="CG47" i="5"/>
  <c r="CH44" i="5"/>
  <c r="CG40" i="3"/>
  <c r="CH34" i="3"/>
  <c r="CH46" i="5"/>
  <c r="CI36" i="5"/>
  <c r="CG16" i="4"/>
  <c r="CH13" i="4"/>
  <c r="CI24" i="6"/>
  <c r="CJ35" i="3"/>
  <c r="CI41" i="3"/>
  <c r="CI46" i="5"/>
  <c r="CJ36" i="5"/>
  <c r="CJ24" i="6"/>
  <c r="CK35" i="3"/>
  <c r="CJ41" i="3"/>
  <c r="CH47" i="5"/>
  <c r="CI44" i="5"/>
  <c r="CH40" i="3"/>
  <c r="CI34" i="3"/>
  <c r="CH39" i="3"/>
  <c r="CI33" i="3"/>
  <c r="CH16" i="4"/>
  <c r="CI13" i="4"/>
  <c r="CH17" i="4"/>
  <c r="CI14" i="4"/>
  <c r="CI47" i="5"/>
  <c r="CJ44" i="5"/>
  <c r="CI17" i="4"/>
  <c r="CJ14" i="4"/>
  <c r="CJ46" i="5"/>
  <c r="CK36" i="5"/>
  <c r="CK24" i="6"/>
  <c r="CL35" i="3"/>
  <c r="CK41" i="3"/>
  <c r="CI39" i="3"/>
  <c r="CJ33" i="3"/>
  <c r="CI16" i="4"/>
  <c r="CJ13" i="4"/>
  <c r="CI40" i="3"/>
  <c r="CJ34" i="3"/>
  <c r="CJ17" i="4"/>
  <c r="CK14" i="4"/>
  <c r="CJ39" i="3"/>
  <c r="CK33" i="3"/>
  <c r="CL24" i="6"/>
  <c r="CL41" i="3"/>
  <c r="B46" i="3"/>
  <c r="CK46" i="5"/>
  <c r="CL36" i="5"/>
  <c r="CL46" i="5"/>
  <c r="CJ47" i="5"/>
  <c r="CK44" i="5"/>
  <c r="CJ40" i="3"/>
  <c r="CK34" i="3"/>
  <c r="CJ16" i="4"/>
  <c r="CK13" i="4"/>
  <c r="CK40" i="3"/>
  <c r="CL34" i="3"/>
  <c r="CL40" i="3"/>
  <c r="B45" i="3"/>
  <c r="CK39" i="3"/>
  <c r="CL33" i="3"/>
  <c r="CL39" i="3"/>
  <c r="B44" i="3"/>
  <c r="CK16" i="4"/>
  <c r="CL13" i="4"/>
  <c r="CL16" i="4"/>
  <c r="CK47" i="5"/>
  <c r="CL44" i="5"/>
  <c r="CL47" i="5"/>
  <c r="CK17" i="4"/>
  <c r="CL14" i="4"/>
  <c r="CL17" i="4"/>
</calcChain>
</file>

<file path=xl/comments1.xml><?xml version="1.0" encoding="utf-8"?>
<comments xmlns="http://schemas.openxmlformats.org/spreadsheetml/2006/main">
  <authors>
    <author>shaikh@newschool.edu</author>
    <author>Anwar Shaikh</author>
  </authors>
  <commentList>
    <comment ref="C13" authorId="0" shapeId="0">
      <text>
        <r>
          <rPr>
            <b/>
            <sz val="9"/>
            <color indexed="81"/>
            <rFont val="Tahoma"/>
            <family val="2"/>
          </rPr>
          <t>shaikh@newschool.edu:</t>
        </r>
        <r>
          <rPr>
            <sz val="9"/>
            <color indexed="81"/>
            <rFont val="Tahoma"/>
            <family val="2"/>
          </rPr>
          <t xml:space="preserve">
Business transfer payments (1–21) consists of payments to persons (1–22) and to the rest of the world (1–23) by private business for which no current services are performed. Business transfer payments to persons consists primarily of liability payments for personal injury and of corporate gifts to nonprofit institutions [which may be tax deductible]. Business transfer payments to the rest of the world consists of nonresident taxes—that is, taxes paid by domestic corporations to foreign governments.</t>
        </r>
      </text>
    </comment>
    <comment ref="A20" authorId="1" shapeId="0">
      <text>
        <r>
          <rPr>
            <b/>
            <sz val="8"/>
            <color indexed="81"/>
            <rFont val="Tahoma"/>
            <family val="2"/>
          </rPr>
          <t>Anwar Shaikh:</t>
        </r>
        <r>
          <rPr>
            <sz val="8"/>
            <color indexed="81"/>
            <rFont val="Tahoma"/>
            <family val="2"/>
          </rPr>
          <t xml:space="preserve">
ECdomestic workers = GVAhh- GVAooh {BEA, 2003 #1739@`, p. 2-16}</t>
        </r>
      </text>
    </comment>
    <comment ref="C20" authorId="1" shapeId="0">
      <text>
        <r>
          <rPr>
            <b/>
            <sz val="8"/>
            <color indexed="81"/>
            <rFont val="Tahoma"/>
            <family val="2"/>
          </rPr>
          <t>Anwar Shaikh:</t>
        </r>
        <r>
          <rPr>
            <sz val="8"/>
            <color indexed="81"/>
            <rFont val="Tahoma"/>
            <family val="2"/>
          </rPr>
          <t xml:space="preserve">
ECdomestic workers = GVAhh- GVAooh {BEA, 2003 #1739@`, p. 2-16}</t>
        </r>
      </text>
    </comment>
    <comment ref="A31" authorId="1" shapeId="0">
      <text>
        <r>
          <rPr>
            <b/>
            <sz val="8"/>
            <color indexed="81"/>
            <rFont val="Tahoma"/>
            <family val="2"/>
          </rPr>
          <t>Anwar Shaikh:</t>
        </r>
        <r>
          <rPr>
            <sz val="8"/>
            <color indexed="81"/>
            <rFont val="Tahoma"/>
            <family val="2"/>
          </rPr>
          <t xml:space="preserve">
This is the tax component of "Rental value of nonresidential fixed assets owned and used by nonprofit institutions serving households":  Tota rental value =Table 7.12, line 141 , and  tax component is line 142</t>
        </r>
      </text>
    </comment>
    <comment ref="C31" authorId="1" shapeId="0">
      <text>
        <r>
          <rPr>
            <b/>
            <sz val="8"/>
            <color indexed="81"/>
            <rFont val="Tahoma"/>
            <family val="2"/>
          </rPr>
          <t>Anwar Shaikh:</t>
        </r>
        <r>
          <rPr>
            <sz val="8"/>
            <color indexed="81"/>
            <rFont val="Tahoma"/>
            <family val="2"/>
          </rPr>
          <t xml:space="preserve">
This is the tax component of "Rental value of nonresidential fixed assets owned and used by nonprofit institutions serving households":  Tota rental value =Table 7.12, line 141 , and  tax component is line 142</t>
        </r>
      </text>
    </comment>
    <comment ref="A33" authorId="1" shapeId="0">
      <text>
        <r>
          <rPr>
            <b/>
            <sz val="8"/>
            <color indexed="81"/>
            <rFont val="Tahoma"/>
            <family val="2"/>
          </rPr>
          <t>Anwar Shaikh:</t>
        </r>
        <r>
          <rPr>
            <sz val="8"/>
            <color indexed="81"/>
            <rFont val="Tahoma"/>
            <family val="2"/>
          </rPr>
          <t xml:space="preserve">
This is the consumption of fixed capital component of "Rental value of nonresidential fixed assets owned and used by nonprofit institutions serving households":  Tota rental value =Table 7.12, line 141 , and  CFC component is in line 144
</t>
        </r>
      </text>
    </comment>
    <comment ref="C33" authorId="1" shapeId="0">
      <text>
        <r>
          <rPr>
            <b/>
            <sz val="8"/>
            <color indexed="81"/>
            <rFont val="Tahoma"/>
            <family val="2"/>
          </rPr>
          <t>Anwar Shaikh:</t>
        </r>
        <r>
          <rPr>
            <sz val="8"/>
            <color indexed="81"/>
            <rFont val="Tahoma"/>
            <family val="2"/>
          </rPr>
          <t xml:space="preserve">
This is the consumption of fixed capital component of "Rental value of nonresidential fixed assets owned and used by nonprofit institutions serving households":  Tota rental value =Table 7.12, line 141 , and  CFC component is in line 144
</t>
        </r>
      </text>
    </comment>
    <comment ref="A35" authorId="1" shapeId="0">
      <text>
        <r>
          <rPr>
            <b/>
            <sz val="8"/>
            <color indexed="81"/>
            <rFont val="Tahoma"/>
            <family val="2"/>
          </rPr>
          <t>Anwar Shaikh:</t>
        </r>
        <r>
          <rPr>
            <sz val="8"/>
            <color indexed="81"/>
            <rFont val="Tahoma"/>
            <family val="2"/>
          </rPr>
          <t xml:space="preserve">
This is the net interest </t>
        </r>
        <r>
          <rPr>
            <u/>
            <sz val="8"/>
            <color indexed="81"/>
            <rFont val="Tahoma"/>
            <family val="2"/>
          </rPr>
          <t>component</t>
        </r>
        <r>
          <rPr>
            <sz val="8"/>
            <color indexed="81"/>
            <rFont val="Tahoma"/>
            <family val="2"/>
          </rPr>
          <t xml:space="preserve"> of "Rental value of nonresidential fixed assets owned and used by nonprofit institutions serving households":  Tota rental value =Table 7.12, line 141 , and  net interest component is in line 143</t>
        </r>
      </text>
    </comment>
    <comment ref="A39" authorId="1" shapeId="0">
      <text>
        <r>
          <rPr>
            <b/>
            <sz val="8"/>
            <color indexed="81"/>
            <rFont val="Tahoma"/>
            <family val="2"/>
          </rPr>
          <t>Anwar Shaikh:</t>
        </r>
        <r>
          <rPr>
            <sz val="8"/>
            <color indexed="81"/>
            <rFont val="Tahoma"/>
            <family val="2"/>
          </rPr>
          <t xml:space="preserve">
"The measurement of value added for general government differs from the measurement of value added for private
business and government enterprises. For these enterprises, gross value added can be measured as the sum of
compensation of employees, consumption of fixed capital, taxes on production and imports, less subsidies, plus a “net
operating surplus.” “Net operating surplus” is a profits-like measure that shows business income after deducting the
costs of compensation of employees and taxes on production and imports, less subsidies, from gross value added, but
before deducting financing costs (such as net interest) or business current transfer payments. In contrast, general
government is assumed to receive no subsidies, to pay no taxes on production and imports, and to have no net
operating surplus (value added less compensation of employees and consumption of fixed capital equals zero). [BEA 2005, Gov Transactions, footnote 6, p. I-6]</t>
        </r>
      </text>
    </comment>
    <comment ref="C39" authorId="1" shapeId="0">
      <text>
        <r>
          <rPr>
            <b/>
            <sz val="8"/>
            <color indexed="81"/>
            <rFont val="Tahoma"/>
            <family val="2"/>
          </rPr>
          <t>Anwar Shaikh:</t>
        </r>
        <r>
          <rPr>
            <sz val="8"/>
            <color indexed="81"/>
            <rFont val="Tahoma"/>
            <family val="2"/>
          </rPr>
          <t xml:space="preserve">
"The measurement of value added for general government differs from the measurement of value added for private
business and government enterprises. For these enterprises, gross value added can be measured as the sum of
compensation of employees, consumption of fixed capital, taxes on production and imports, less subsidies, plus a “net
operating surplus.” “Net operating surplus” is a profits-like measure that shows business income after deducting the
costs of compensation of employees and taxes on production and imports, less subsidies, from gross value added, but
before deducting financing costs (such as net interest) or business current transfer payments. In contrast, general
government is assumed to receive no subsidies, to pay no taxes on production and imports, and to have no net
operating surplus (value added less compensation of employees and consumption of fixed capital equals zero). [BEA 2005, Gov Transactions, footnote 6, p. I-6]</t>
        </r>
      </text>
    </comment>
    <comment ref="A45" authorId="1" shapeId="0">
      <text>
        <r>
          <rPr>
            <b/>
            <sz val="8"/>
            <color indexed="81"/>
            <rFont val="Tahoma"/>
            <family val="2"/>
          </rPr>
          <t>Anwar Shaikh:</t>
        </r>
        <r>
          <rPr>
            <sz val="8"/>
            <color indexed="81"/>
            <rFont val="Tahoma"/>
            <family val="2"/>
          </rPr>
          <t xml:space="preserve">
Mon Int paid  -  received  (T 7.11, lines 19 - 35)  + imputed int paid  (lines 85 - 66)</t>
        </r>
      </text>
    </comment>
    <comment ref="A59" authorId="1" shapeId="0">
      <text>
        <r>
          <rPr>
            <b/>
            <sz val="8"/>
            <color indexed="81"/>
            <rFont val="Tahoma"/>
            <family val="2"/>
          </rPr>
          <t>Anwar Shaikh:</t>
        </r>
        <r>
          <rPr>
            <sz val="8"/>
            <color indexed="81"/>
            <rFont val="Tahoma"/>
            <family val="2"/>
          </rPr>
          <t xml:space="preserve">
Matches NIPA GVAbus after removing GVAgoventerp, which I exclude from for-profit business sector.</t>
        </r>
      </text>
    </comment>
    <comment ref="C59" authorId="1" shapeId="0">
      <text>
        <r>
          <rPr>
            <b/>
            <sz val="8"/>
            <color indexed="81"/>
            <rFont val="Tahoma"/>
            <family val="2"/>
          </rPr>
          <t>Anwar Shaikh:</t>
        </r>
        <r>
          <rPr>
            <sz val="8"/>
            <color indexed="81"/>
            <rFont val="Tahoma"/>
            <family val="2"/>
          </rPr>
          <t xml:space="preserve">
Matches NIPA GVAbus after removing GVAgoventerp, which I exclude from for-profit business sector.</t>
        </r>
      </text>
    </comment>
    <comment ref="A78" authorId="1" shapeId="0">
      <text>
        <r>
          <rPr>
            <b/>
            <sz val="8"/>
            <color indexed="81"/>
            <rFont val="Tahoma"/>
            <family val="2"/>
          </rPr>
          <t>Anwar Shaikh:</t>
        </r>
        <r>
          <rPr>
            <sz val="8"/>
            <color indexed="81"/>
            <rFont val="Tahoma"/>
            <family val="2"/>
          </rPr>
          <t xml:space="preserve">
SEP = proprietors and partners only, see NIPA T 6.7, footnote 1
</t>
        </r>
      </text>
    </comment>
    <comment ref="B100" authorId="0" shapeId="0">
      <text>
        <r>
          <rPr>
            <b/>
            <sz val="9"/>
            <color indexed="81"/>
            <rFont val="Tahoma"/>
            <family val="2"/>
          </rPr>
          <t>shaikh@newschool.edu:</t>
        </r>
        <r>
          <rPr>
            <sz val="9"/>
            <color indexed="81"/>
            <rFont val="Tahoma"/>
            <family val="2"/>
          </rPr>
          <t xml:space="preserve">
(Note: NF Imp Int Paid = tot (43) - banks (44) = 0) </t>
        </r>
      </text>
    </comment>
    <comment ref="A138" authorId="1" shapeId="0">
      <text>
        <r>
          <rPr>
            <b/>
            <sz val="8"/>
            <color indexed="81"/>
            <rFont val="Tahoma"/>
            <family val="2"/>
          </rPr>
          <t>Anwar Shaikh:</t>
        </r>
        <r>
          <rPr>
            <sz val="8"/>
            <color indexed="81"/>
            <rFont val="Tahoma"/>
            <family val="2"/>
          </rPr>
          <t xml:space="preserve">
Ecbus already has WEQ2 added to it, so subtracting Eccorp leaves WEQ2 in Ecnoncorp
</t>
        </r>
      </text>
    </comment>
    <comment ref="D154" authorId="0" shapeId="0">
      <text>
        <r>
          <rPr>
            <b/>
            <sz val="9"/>
            <color indexed="81"/>
            <rFont val="Tahoma"/>
            <family val="2"/>
          </rPr>
          <t>shaikh@newschool.edu:</t>
        </r>
        <r>
          <rPr>
            <sz val="9"/>
            <color indexed="81"/>
            <rFont val="Tahoma"/>
            <family val="2"/>
          </rPr>
          <t xml:space="preserve">
KNCbus = 227.5 in 1946</t>
        </r>
      </text>
    </comment>
    <comment ref="D155" authorId="0" shapeId="0">
      <text>
        <r>
          <rPr>
            <b/>
            <sz val="9"/>
            <color indexed="81"/>
            <rFont val="Tahoma"/>
            <family val="2"/>
          </rPr>
          <t>shaikh@newschool.edu:</t>
        </r>
        <r>
          <rPr>
            <sz val="9"/>
            <color indexed="81"/>
            <rFont val="Tahoma"/>
            <family val="2"/>
          </rPr>
          <t xml:space="preserve">
KNCcorp = 159.5 in 1946</t>
        </r>
      </text>
    </comment>
    <comment ref="D156" authorId="0" shapeId="0">
      <text>
        <r>
          <rPr>
            <b/>
            <sz val="9"/>
            <color indexed="81"/>
            <rFont val="Tahoma"/>
            <family val="2"/>
          </rPr>
          <t>shaikh@newschool.edu:</t>
        </r>
        <r>
          <rPr>
            <sz val="9"/>
            <color indexed="81"/>
            <rFont val="Tahoma"/>
            <family val="2"/>
          </rPr>
          <t xml:space="preserve">
KNCnoncorp = 68 in 1946</t>
        </r>
      </text>
    </comment>
    <comment ref="D157" authorId="0" shapeId="0">
      <text>
        <r>
          <rPr>
            <b/>
            <sz val="9"/>
            <color indexed="81"/>
            <rFont val="Tahoma"/>
            <family val="2"/>
          </rPr>
          <t>shaikh@newschool.edu:</t>
        </r>
        <r>
          <rPr>
            <sz val="9"/>
            <color indexed="81"/>
            <rFont val="Tahoma"/>
            <family val="2"/>
          </rPr>
          <t xml:space="preserve">
KNCnoncorp = 68 in 1946</t>
        </r>
      </text>
    </comment>
  </commentList>
</comments>
</file>

<file path=xl/comments2.xml><?xml version="1.0" encoding="utf-8"?>
<comments xmlns="http://schemas.openxmlformats.org/spreadsheetml/2006/main">
  <authors>
    <author>shaikh@newschool.edu</author>
  </authors>
  <commentList>
    <comment ref="CM28" authorId="0" shapeId="0">
      <text>
        <r>
          <rPr>
            <b/>
            <sz val="9"/>
            <color indexed="81"/>
            <rFont val="Tahoma"/>
            <family val="2"/>
          </rPr>
          <t>shaikh@newschool.edu:</t>
        </r>
        <r>
          <rPr>
            <sz val="9"/>
            <color indexed="81"/>
            <rFont val="Tahoma"/>
            <family val="2"/>
          </rPr>
          <t xml:space="preserve">
updated using % changes in FA T6.7, line 
downloaded 1/31/2015</t>
        </r>
      </text>
    </comment>
    <comment ref="CN28" authorId="0" shapeId="0">
      <text>
        <r>
          <rPr>
            <b/>
            <sz val="9"/>
            <color indexed="81"/>
            <rFont val="Tahoma"/>
            <family val="2"/>
          </rPr>
          <t>shaikh@newschool.edu:</t>
        </r>
        <r>
          <rPr>
            <sz val="9"/>
            <color indexed="81"/>
            <rFont val="Tahoma"/>
            <family val="2"/>
          </rPr>
          <t xml:space="preserve">
updated using % changes in FA T6.7, line 
downloaded 1/31/2015</t>
        </r>
      </text>
    </comment>
    <comment ref="CM29" authorId="0" shapeId="0">
      <text>
        <r>
          <rPr>
            <b/>
            <sz val="9"/>
            <color indexed="81"/>
            <rFont val="Tahoma"/>
            <family val="2"/>
          </rPr>
          <t>shaikh@newschool.edu:</t>
        </r>
        <r>
          <rPr>
            <sz val="9"/>
            <color indexed="81"/>
            <rFont val="Tahoma"/>
            <family val="2"/>
          </rPr>
          <t xml:space="preserve">
updated using % changes in FA T6.8, line 
downloaded 1/31/2015</t>
        </r>
      </text>
    </comment>
    <comment ref="CN29" authorId="0" shapeId="0">
      <text>
        <r>
          <rPr>
            <b/>
            <sz val="9"/>
            <color indexed="81"/>
            <rFont val="Tahoma"/>
            <family val="2"/>
          </rPr>
          <t>shaikh@newschool.edu:</t>
        </r>
        <r>
          <rPr>
            <sz val="9"/>
            <color indexed="81"/>
            <rFont val="Tahoma"/>
            <family val="2"/>
          </rPr>
          <t xml:space="preserve">
</t>
        </r>
      </text>
    </comment>
    <comment ref="D33" authorId="0" shapeId="0">
      <text>
        <r>
          <rPr>
            <b/>
            <sz val="9"/>
            <color indexed="81"/>
            <rFont val="Tahoma"/>
            <family val="2"/>
          </rPr>
          <t>shaikh@newschool.edu:</t>
        </r>
        <r>
          <rPr>
            <sz val="9"/>
            <color indexed="81"/>
            <rFont val="Tahoma"/>
            <family val="2"/>
          </rPr>
          <t xml:space="preserve">
Initial year is KNCcorp(1925) from BEA 2011</t>
        </r>
      </text>
    </comment>
    <comment ref="D34" authorId="0" shapeId="0">
      <text>
        <r>
          <rPr>
            <b/>
            <sz val="9"/>
            <color indexed="81"/>
            <rFont val="Tahoma"/>
            <family val="2"/>
          </rPr>
          <t>shaikh@newschool.edu:</t>
        </r>
        <r>
          <rPr>
            <sz val="9"/>
            <color indexed="81"/>
            <rFont val="Tahoma"/>
            <family val="2"/>
          </rPr>
          <t xml:space="preserve">
Initial year is KNRcorp(1925) from BEA 2011</t>
        </r>
      </text>
    </comment>
    <comment ref="D35" authorId="0" shapeId="0">
      <text>
        <r>
          <rPr>
            <b/>
            <sz val="9"/>
            <color indexed="81"/>
            <rFont val="Tahoma"/>
            <family val="2"/>
          </rPr>
          <t>shaikh@newschool.edu:</t>
        </r>
        <r>
          <rPr>
            <sz val="9"/>
            <color indexed="81"/>
            <rFont val="Tahoma"/>
            <family val="2"/>
          </rPr>
          <t xml:space="preserve">
Initial year is KNHcorp(1925) from BEA 2011</t>
        </r>
      </text>
    </comment>
  </commentList>
</comments>
</file>

<file path=xl/comments3.xml><?xml version="1.0" encoding="utf-8"?>
<comments xmlns="http://schemas.openxmlformats.org/spreadsheetml/2006/main">
  <authors>
    <author>shaikh@newschool.edu</author>
  </authors>
  <commentList>
    <comment ref="C33" authorId="0" shapeId="0">
      <text>
        <r>
          <rPr>
            <b/>
            <sz val="9"/>
            <color indexed="81"/>
            <rFont val="Tahoma"/>
            <family val="2"/>
          </rPr>
          <t>shaikh@newschool.edu:</t>
        </r>
        <r>
          <rPr>
            <sz val="9"/>
            <color indexed="81"/>
            <rFont val="Tahoma"/>
            <family val="2"/>
          </rPr>
          <t xml:space="preserve">
points after 1989 are linear projections</t>
        </r>
      </text>
    </comment>
    <comment ref="D36" authorId="0" shapeId="0">
      <text>
        <r>
          <rPr>
            <b/>
            <sz val="9"/>
            <color indexed="81"/>
            <rFont val="Tahoma"/>
            <family val="2"/>
          </rPr>
          <t>shaikh@newschool.edu:</t>
        </r>
        <r>
          <rPr>
            <sz val="9"/>
            <color indexed="81"/>
            <rFont val="Tahoma"/>
            <family val="2"/>
          </rPr>
          <t xml:space="preserve">
Initial point KNCcorpnew(1925) same as in BEA 2011 (see Appendix 6.8B1)</t>
        </r>
      </text>
    </comment>
    <comment ref="C43" authorId="0" shapeId="0">
      <text>
        <r>
          <rPr>
            <b/>
            <sz val="9"/>
            <color indexed="81"/>
            <rFont val="Tahoma"/>
            <family val="2"/>
          </rPr>
          <t>shaikh@newschool.edu:</t>
        </r>
        <r>
          <rPr>
            <sz val="9"/>
            <color indexed="81"/>
            <rFont val="Tahoma"/>
            <family val="2"/>
          </rPr>
          <t xml:space="preserve">
Linearly projected after 1989</t>
        </r>
      </text>
    </comment>
    <comment ref="D44" authorId="0" shapeId="0">
      <text>
        <r>
          <rPr>
            <b/>
            <sz val="9"/>
            <color indexed="81"/>
            <rFont val="Tahoma"/>
            <family val="2"/>
          </rPr>
          <t>shaikh@newschool.edu:</t>
        </r>
        <r>
          <rPr>
            <sz val="9"/>
            <color indexed="81"/>
            <rFont val="Tahoma"/>
            <family val="2"/>
          </rPr>
          <t xml:space="preserve">
Initial point KGCcorpnew(1925) set equal to KNCcorpnew(1925), itself equal to KNCcorp in BEA 2011, so as to focus on effects of depletion rates</t>
        </r>
      </text>
    </comment>
  </commentList>
</comments>
</file>

<file path=xl/comments4.xml><?xml version="1.0" encoding="utf-8"?>
<comments xmlns="http://schemas.openxmlformats.org/spreadsheetml/2006/main">
  <authors>
    <author>Anwar Shaikh</author>
  </authors>
  <commentList>
    <comment ref="D22" authorId="0" shapeId="0">
      <text>
        <r>
          <rPr>
            <b/>
            <sz val="8"/>
            <color rgb="FF000000"/>
            <rFont val="Tahoma"/>
            <family val="2"/>
          </rPr>
          <t>Anwar Shaikh:</t>
        </r>
        <r>
          <rPr>
            <sz val="8"/>
            <color rgb="FF000000"/>
            <rFont val="Tahoma"/>
            <family val="2"/>
          </rPr>
          <t xml:space="preserve">
1925 value is derived by backcasting 1926 value using 1925/1926 ratio of BEA 2011 historical cost capital stock</t>
        </r>
      </text>
    </comment>
  </commentList>
</comments>
</file>

<file path=xl/comments5.xml><?xml version="1.0" encoding="utf-8"?>
<comments xmlns="http://schemas.openxmlformats.org/spreadsheetml/2006/main">
  <authors>
    <author>shaikh@newschool.edu</author>
  </authors>
  <commentList>
    <comment ref="D15" authorId="0" shapeId="0">
      <text>
        <r>
          <rPr>
            <b/>
            <sz val="9"/>
            <color indexed="81"/>
            <rFont val="Tahoma"/>
            <family val="2"/>
          </rPr>
          <t>shaikh@newschool.edu:</t>
        </r>
        <r>
          <rPr>
            <sz val="9"/>
            <color indexed="81"/>
            <rFont val="Tahoma"/>
            <family val="2"/>
          </rPr>
          <t xml:space="preserve">
Initial value from BEA 1993, Table A14, p. 300</t>
        </r>
      </text>
    </comment>
    <comment ref="D16" authorId="0" shapeId="0">
      <text>
        <r>
          <rPr>
            <b/>
            <sz val="9"/>
            <color indexed="81"/>
            <rFont val="Tahoma"/>
            <family val="2"/>
          </rPr>
          <t>shaikh@newschool.edu:</t>
        </r>
        <r>
          <rPr>
            <sz val="9"/>
            <color indexed="81"/>
            <rFont val="Tahoma"/>
            <family val="2"/>
          </rPr>
          <t xml:space="preserve">
Initial value from BEA 1993, see Appendix 6.8.II.2</t>
        </r>
      </text>
    </comment>
    <comment ref="D17" authorId="0" shapeId="0">
      <text>
        <r>
          <rPr>
            <b/>
            <sz val="9"/>
            <color indexed="81"/>
            <rFont val="Tahoma"/>
            <family val="2"/>
          </rPr>
          <t>shaikh@newschool.edu:</t>
        </r>
        <r>
          <rPr>
            <sz val="9"/>
            <color indexed="81"/>
            <rFont val="Tahoma"/>
            <family val="2"/>
          </rPr>
          <t xml:space="preserve">
Initial value from BEA 1993, Table A13, p. 294</t>
        </r>
      </text>
    </comment>
  </commentList>
</comments>
</file>

<file path=xl/comments6.xml><?xml version="1.0" encoding="utf-8"?>
<comments xmlns="http://schemas.openxmlformats.org/spreadsheetml/2006/main">
  <authors>
    <author>Anwar Shaikh</author>
    <author>shaikh@newschool.edu</author>
  </authors>
  <commentList>
    <comment ref="C51" authorId="0" shapeId="0">
      <text>
        <r>
          <rPr>
            <b/>
            <sz val="9"/>
            <color indexed="81"/>
            <rFont val="Tahoma"/>
            <family val="2"/>
          </rPr>
          <t>Anwar Shaikh:</t>
        </r>
        <r>
          <rPr>
            <sz val="9"/>
            <color indexed="81"/>
            <rFont val="Tahoma"/>
            <family val="2"/>
          </rPr>
          <t xml:space="preserve">
This has general description but no matching data. Where is cap util data?</t>
        </r>
      </text>
    </comment>
    <comment ref="B52" authorId="1" shapeId="0">
      <text>
        <r>
          <rPr>
            <b/>
            <sz val="9"/>
            <color indexed="81"/>
            <rFont val="Tahoma"/>
            <family val="2"/>
          </rPr>
          <t>shaikh@newschool.edu:</t>
        </r>
        <r>
          <rPr>
            <sz val="9"/>
            <color indexed="81"/>
            <rFont val="Tahoma"/>
            <family val="2"/>
          </rPr>
          <t xml:space="preserve">
series = G17/CAPUTL/CAPUTL.B50001.A</t>
        </r>
      </text>
    </comment>
    <comment ref="BT74" authorId="1" shapeId="0">
      <text>
        <r>
          <rPr>
            <b/>
            <sz val="9"/>
            <color indexed="81"/>
            <rFont val="Tahoma"/>
            <family val="2"/>
          </rPr>
          <t>shaikh@newschool.edu:</t>
        </r>
        <r>
          <rPr>
            <sz val="9"/>
            <color indexed="81"/>
            <rFont val="Tahoma"/>
            <family val="2"/>
          </rPr>
          <t xml:space="preserve">
updated using updated using % changes in FA T6.7 and FA T6.8, lines 2,  downloaded 1/31/2015, see Appndx 6.8.II.1</t>
        </r>
      </text>
    </comment>
  </commentList>
</comments>
</file>

<file path=xl/sharedStrings.xml><?xml version="1.0" encoding="utf-8"?>
<sst xmlns="http://schemas.openxmlformats.org/spreadsheetml/2006/main" count="817" uniqueCount="653">
  <si>
    <t>Description</t>
  </si>
  <si>
    <t>Source</t>
  </si>
  <si>
    <t>Variable</t>
  </si>
  <si>
    <t>GDP</t>
  </si>
  <si>
    <t>T  1.7.5, 1</t>
  </si>
  <si>
    <t>Less: SD (Stat. Discrepancy)</t>
  </si>
  <si>
    <t>T  1.7.5, 15</t>
  </si>
  <si>
    <t>Less: SD</t>
  </si>
  <si>
    <t>GDI</t>
  </si>
  <si>
    <t>T 1.10, 1</t>
  </si>
  <si>
    <t>Less: EC (Empl. Comp., Paid)</t>
  </si>
  <si>
    <t>T  1.10, 2</t>
  </si>
  <si>
    <t>Less: EC</t>
  </si>
  <si>
    <t>Less: T (Taxes net of Subsidies)</t>
  </si>
  <si>
    <t>T  1.10, 9 - 10</t>
  </si>
  <si>
    <t>Less: T</t>
  </si>
  <si>
    <t>Aggregate GOS</t>
  </si>
  <si>
    <t>Less: CFC (Cons. of Fixed Capital)</t>
  </si>
  <si>
    <t>T  1.10, 23</t>
  </si>
  <si>
    <t>Less: CFC</t>
  </si>
  <si>
    <t>Aggregate NOS</t>
  </si>
  <si>
    <t>T  1.10, 11</t>
  </si>
  <si>
    <t xml:space="preserve">    Net interest and miscellaneous payments, domestic industries</t>
  </si>
  <si>
    <t>T  1.10, 13</t>
  </si>
  <si>
    <t xml:space="preserve">    Net Int </t>
  </si>
  <si>
    <t xml:space="preserve">    Business current transfer payments (net)</t>
  </si>
  <si>
    <t>T  1.10, 14</t>
  </si>
  <si>
    <t xml:space="preserve">    Curr Transfers</t>
  </si>
  <si>
    <t xml:space="preserve">    Proprietors' income with inventory valuation and capital consumption adjustments</t>
  </si>
  <si>
    <t>T  1.10, 15</t>
  </si>
  <si>
    <t xml:space="preserve">    Prop Inc w/IVA and CCAdj</t>
  </si>
  <si>
    <t xml:space="preserve">    Rental income of persons with capital consumption adjustment</t>
  </si>
  <si>
    <t>T  1.10, 16</t>
  </si>
  <si>
    <t xml:space="preserve">    Rental Inc w/ CCAdj</t>
  </si>
  <si>
    <t xml:space="preserve">    Corporate profits with inventory valuation and capital consumption adjustments, domestic industries</t>
  </si>
  <si>
    <t>T  1.10, 17</t>
  </si>
  <si>
    <t xml:space="preserve">    Corp Profit w/IVA and CCAdj</t>
  </si>
  <si>
    <t xml:space="preserve">   Current surplus of government enterprises</t>
  </si>
  <si>
    <t>T  1.10, 22</t>
  </si>
  <si>
    <t xml:space="preserve">   Curr Surplus Gov. Enterp</t>
  </si>
  <si>
    <t>GVAhh</t>
  </si>
  <si>
    <t>T  1.3.5, 6</t>
  </si>
  <si>
    <t>Less: EChh</t>
  </si>
  <si>
    <t>GVAhh - GVAooh</t>
  </si>
  <si>
    <t>Less: Thh</t>
  </si>
  <si>
    <t>T  7.12, 135-136</t>
  </si>
  <si>
    <t>GOShh</t>
  </si>
  <si>
    <t>Less: CFChh</t>
  </si>
  <si>
    <t>T  7.12, 140</t>
  </si>
  <si>
    <t>NOShh</t>
  </si>
  <si>
    <t xml:space="preserve">  Net interest</t>
  </si>
  <si>
    <t>T  7.12, 137</t>
  </si>
  <si>
    <t xml:space="preserve">  Current transfer payments</t>
  </si>
  <si>
    <t>T  7.12, 138</t>
  </si>
  <si>
    <t xml:space="preserve">  Rental income of persons with capital consumption adjustment</t>
  </si>
  <si>
    <t>T  7.12, 139</t>
  </si>
  <si>
    <t>GVAnpish</t>
  </si>
  <si>
    <t>T  1.3.5, 7</t>
  </si>
  <si>
    <t>Less: ECnpish</t>
  </si>
  <si>
    <t>T1.3.5, 7 - T7.12, 141 - T7.9, 14</t>
  </si>
  <si>
    <t>Less: Tnpish</t>
  </si>
  <si>
    <t>T  7.12, 141</t>
  </si>
  <si>
    <t>GOSnpish</t>
  </si>
  <si>
    <t>Less: CFCnpish</t>
  </si>
  <si>
    <t>T  7.12, 144</t>
  </si>
  <si>
    <t>NOSnpish</t>
  </si>
  <si>
    <t xml:space="preserve">  Net Interest </t>
  </si>
  <si>
    <t>T 7.12, 141</t>
  </si>
  <si>
    <t xml:space="preserve">  Transfer Payments</t>
  </si>
  <si>
    <t>n.a.</t>
  </si>
  <si>
    <t xml:space="preserve">  Rental inc of persons for tenant-occupied housing owned by npishes</t>
  </si>
  <si>
    <t>T 7.9,14</t>
  </si>
  <si>
    <t>GVAgengov</t>
  </si>
  <si>
    <t>T  1.3.5, 8</t>
  </si>
  <si>
    <t>Less: ECgengov</t>
  </si>
  <si>
    <t>T 6.2A-D, 77, 78, 88 + 80, 83, 93 in successive tables</t>
  </si>
  <si>
    <t>Less: Tgengov</t>
  </si>
  <si>
    <t>GOSgengov</t>
  </si>
  <si>
    <t>Less: CFCgengov</t>
  </si>
  <si>
    <t>T  7.5, 22</t>
  </si>
  <si>
    <t>NOSgengov</t>
  </si>
  <si>
    <t>NOSgov = 0 by construction</t>
  </si>
  <si>
    <t xml:space="preserve">  Transfer Payments (negative of net int paid)</t>
  </si>
  <si>
    <t xml:space="preserve">  Rental inc of persons</t>
  </si>
  <si>
    <t>GVAgoventerp</t>
  </si>
  <si>
    <t>Less: ECgoventerp</t>
  </si>
  <si>
    <t>T 6.2A-D, 16 + 19, divided by 1000</t>
  </si>
  <si>
    <t>Less: Tgoventerp</t>
  </si>
  <si>
    <t>GOSgoventerp</t>
  </si>
  <si>
    <t>Less: CFCgoventerp</t>
  </si>
  <si>
    <t>T  7.5, 25</t>
  </si>
  <si>
    <t>NOSgoventerp (current surplus of government enterprises)</t>
  </si>
  <si>
    <t>T 1.10, 22</t>
  </si>
  <si>
    <t>NOSgoventerp</t>
  </si>
  <si>
    <t>GVAbusnipa</t>
  </si>
  <si>
    <t>SD</t>
  </si>
  <si>
    <t>Less: ECbusnipa</t>
  </si>
  <si>
    <t>Less: Tbusnipa</t>
  </si>
  <si>
    <t>GOSbusnipa</t>
  </si>
  <si>
    <t>GVAbus - ECbus - Tbus - SD</t>
  </si>
  <si>
    <t>Less: CFCbusnipa</t>
  </si>
  <si>
    <t>NOSbusnipa</t>
  </si>
  <si>
    <t>GOSbus - CFCbus</t>
  </si>
  <si>
    <t xml:space="preserve">    Net interest and miscellaneous payments (NIbus)</t>
  </si>
  <si>
    <t>NI - NIhh - NInpish - NIgengov - NIgoventerp</t>
  </si>
  <si>
    <t xml:space="preserve">    Current transfer payments (net) (CTbus)</t>
  </si>
  <si>
    <t xml:space="preserve">    Proprietors' income with inventory valuation and capital consumption adjustments (PIbus)</t>
  </si>
  <si>
    <t xml:space="preserve">    Rental income of persons with capital consumption adjustment (RIbus)</t>
  </si>
  <si>
    <t>RI - RIhh - RInpish - RIgengov - RIgoventerp</t>
  </si>
  <si>
    <t xml:space="preserve">   Corp Profit with inventory valuation and capital consumption adjustments, domestic industries</t>
  </si>
  <si>
    <t>All Tables from NIPA , and all sums in Bills-$, unless indicated otherwise</t>
  </si>
  <si>
    <t>Proprietorships and Partnerships Income w/IVA and CCAdj</t>
  </si>
  <si>
    <t>T 1.13, line 23</t>
  </si>
  <si>
    <t>PropInc</t>
  </si>
  <si>
    <t>Employee Compensation, Proprietorships and Partnerships</t>
  </si>
  <si>
    <t xml:space="preserve">  No. of Proprietors and Partners (Self-Employed Persons)</t>
  </si>
  <si>
    <t>T 6.7, line 1 (Thousands-$)</t>
  </si>
  <si>
    <t>SEP</t>
  </si>
  <si>
    <t xml:space="preserve">  Private Sector Employee Compensation per Full Time Equivalent Employee (FEE)</t>
  </si>
  <si>
    <t>T 6.2, line 3/Table 6.3, line 3 ($)</t>
  </si>
  <si>
    <t>Estimated Wage Equivalent of Prop &amp; Partner's Income using SEP times Average Private Sector EC per FTE</t>
  </si>
  <si>
    <t>ecpriv*SEP</t>
  </si>
  <si>
    <t>WEQ1</t>
  </si>
  <si>
    <t>Noncorporate Profit Estimate 1</t>
  </si>
  <si>
    <t>PropInc - WEQ1</t>
  </si>
  <si>
    <t>Pnoncorp1</t>
  </si>
  <si>
    <t>Corporate Wage-Profit Ratio</t>
  </si>
  <si>
    <t>T1.14, line 4 ÷ line 11</t>
  </si>
  <si>
    <t>s</t>
  </si>
  <si>
    <t>ECprop</t>
  </si>
  <si>
    <t>Estimated Wage Equivalent of Prop &amp; Partner's Income using Corp Wage/Profit ratio</t>
  </si>
  <si>
    <t>WEQ2</t>
  </si>
  <si>
    <t>Noncorporate Profit Estimate 2</t>
  </si>
  <si>
    <t>PropInc - WEQ2</t>
  </si>
  <si>
    <t>Pnoncorp</t>
  </si>
  <si>
    <t xml:space="preserve"> NIPA Corporate GVA</t>
  </si>
  <si>
    <t>T 1.14, line 1</t>
  </si>
  <si>
    <t>GVAcorpnipa</t>
  </si>
  <si>
    <t xml:space="preserve"> NIPA Corporate VA</t>
  </si>
  <si>
    <t>T 1.14, line 3</t>
  </si>
  <si>
    <t>VAcorpnipa</t>
  </si>
  <si>
    <t xml:space="preserve"> NIPA Corporate GOS</t>
  </si>
  <si>
    <t>T 1.14, line 2 + line 8</t>
  </si>
  <si>
    <t>GOScorpnipa</t>
  </si>
  <si>
    <t xml:space="preserve"> NIPA Corporate NOS</t>
  </si>
  <si>
    <t>T 1.14, line 8</t>
  </si>
  <si>
    <t>NOScorpnipa</t>
  </si>
  <si>
    <t xml:space="preserve">T 1.14, line 11 </t>
  </si>
  <si>
    <t>GVAcorp</t>
  </si>
  <si>
    <t>VAcorp</t>
  </si>
  <si>
    <t>GOScorp</t>
  </si>
  <si>
    <t>NOScorp</t>
  </si>
  <si>
    <t>Pcorp</t>
  </si>
  <si>
    <t>Business Sector</t>
  </si>
  <si>
    <t>GVA Business Sector</t>
  </si>
  <si>
    <t>GVAbus</t>
  </si>
  <si>
    <t>SDbus</t>
  </si>
  <si>
    <t>SDbusnipa</t>
  </si>
  <si>
    <t>ECbus (EC including WEQ2)</t>
  </si>
  <si>
    <t>ECbusnipa + WEQ2</t>
  </si>
  <si>
    <t>ECbus</t>
  </si>
  <si>
    <t>Tbus</t>
  </si>
  <si>
    <t xml:space="preserve">Tbusnipa </t>
  </si>
  <si>
    <t>GOSbus</t>
  </si>
  <si>
    <t>CFCbus</t>
  </si>
  <si>
    <t>CFCbusnipa</t>
  </si>
  <si>
    <t>VAbus</t>
  </si>
  <si>
    <t>NOSbus</t>
  </si>
  <si>
    <t xml:space="preserve">   NIPA bus current transfer payments (net)</t>
  </si>
  <si>
    <t xml:space="preserve">   NIPA bus curr transfer payments (net)</t>
  </si>
  <si>
    <t xml:space="preserve">   NIPA rental income of persons w/CCAdj</t>
  </si>
  <si>
    <t xml:space="preserve">   NIPA rental inc of persons w/CCAdj </t>
  </si>
  <si>
    <t xml:space="preserve">   NIPA bus profits with IVA and CCAdj</t>
  </si>
  <si>
    <t>Corp Profit + (Proprietors' Income - WEQ2)</t>
  </si>
  <si>
    <t>Corporate Sector</t>
  </si>
  <si>
    <t>Tcorp</t>
  </si>
  <si>
    <t>CFCcorp</t>
  </si>
  <si>
    <t xml:space="preserve">   NIPA Corp curr transfers (net) (T 1.14, 10)</t>
  </si>
  <si>
    <t>Noncorporate Sector</t>
  </si>
  <si>
    <t>GVAbus - GVAcorp</t>
  </si>
  <si>
    <t>GVAnoncorp</t>
  </si>
  <si>
    <t>SDnipa</t>
  </si>
  <si>
    <t>ECnoncorp</t>
  </si>
  <si>
    <t>Tbus-Tcorp</t>
  </si>
  <si>
    <t>Tnoncorp</t>
  </si>
  <si>
    <t>GOSbus - GOScorp</t>
  </si>
  <si>
    <t>GOSbus - GOScorp - WEQ2</t>
  </si>
  <si>
    <t>GOSnoncorp</t>
  </si>
  <si>
    <t>CFCbus-CFCcorp</t>
  </si>
  <si>
    <t>CFCnoncorp</t>
  </si>
  <si>
    <t>VAbus - VAcorp</t>
  </si>
  <si>
    <t>VAnoncorp</t>
  </si>
  <si>
    <t>NOSbus - NOScorp - WEQ2</t>
  </si>
  <si>
    <t>NOSnoncorp</t>
  </si>
  <si>
    <t>NetIntbus-NetIntbus</t>
  </si>
  <si>
    <t>Bus transf - Corp transfers</t>
  </si>
  <si>
    <t>Bus rental Income of persons</t>
  </si>
  <si>
    <t>Proprietors' Income  - WEQ2</t>
  </si>
  <si>
    <t>Sectoral Profit Rates</t>
  </si>
  <si>
    <t>Business Net Fixed Capital, Current-Cost (end of yr)</t>
  </si>
  <si>
    <t>KNCcorp + KNCnoncorp (see below)</t>
  </si>
  <si>
    <t>KNCbus</t>
  </si>
  <si>
    <t>Corporate Net Fixed Capital, Current-Cost (end of yr)</t>
  </si>
  <si>
    <t>Fixed Asset Table 6.1, line 2</t>
  </si>
  <si>
    <t>KNCcorp</t>
  </si>
  <si>
    <t>Proprietor and Partner Net Fixed Capital, Current-Cost (end of yr)</t>
  </si>
  <si>
    <t>Fixed Asset Table 6.1, lines 6 + 7</t>
  </si>
  <si>
    <t>KNCnoncorp</t>
  </si>
  <si>
    <t>Business profit rate</t>
  </si>
  <si>
    <t>Pbus/KNCbus(-1)</t>
  </si>
  <si>
    <t>rbus</t>
  </si>
  <si>
    <t>Corporate profit rate</t>
  </si>
  <si>
    <t>Pcorp/KNCcorp(-1)</t>
  </si>
  <si>
    <t>rcorp</t>
  </si>
  <si>
    <t>Noncorporate profit rate</t>
  </si>
  <si>
    <t>Pnoncorp/KNCnoncorp(-1)</t>
  </si>
  <si>
    <t>rnoncorp</t>
  </si>
  <si>
    <t>rnoncorp1</t>
  </si>
  <si>
    <t>GDP - GVAhh - GVAnpish - GVAgengov - GVAgoventerp</t>
  </si>
  <si>
    <t>EC - EChh - ECnpish - ECgengov - ECgoventerp</t>
  </si>
  <si>
    <t>T - Thh - Tnpish - Tgengov -Tgoventerp</t>
  </si>
  <si>
    <t>CFC - CFChh - CFCnpish - CFCgengov - CFCgoventerp</t>
  </si>
  <si>
    <t>CT - CThh - CTnpish - CTgengov - CTgoventerp</t>
  </si>
  <si>
    <t>Ecbusnipa -Eccorpnipa (NIPA Table 1.14, 4)</t>
  </si>
  <si>
    <r>
      <t>(</t>
    </r>
    <r>
      <rPr>
        <sz val="9"/>
        <color theme="1"/>
        <rFont val="Calibri"/>
        <family val="2"/>
      </rPr>
      <t>σ</t>
    </r>
    <r>
      <rPr>
        <sz val="9"/>
        <color theme="1"/>
        <rFont val="Calibri"/>
        <family val="2"/>
        <scheme val="minor"/>
      </rPr>
      <t>∙PropInc - ECprop)/(1+σ)</t>
    </r>
  </si>
  <si>
    <t>BEA Current-Cost Corporate Net Stock</t>
  </si>
  <si>
    <t>FA Table 6.1, line 2: Bill-$</t>
  </si>
  <si>
    <t>KNCcorpbea</t>
  </si>
  <si>
    <t>BEA Chain-Index Real Corporate Net Stock</t>
  </si>
  <si>
    <t>FA Table 6.2, line 2: 2005 = 100</t>
  </si>
  <si>
    <t>KNRIndxcorpbea</t>
  </si>
  <si>
    <t xml:space="preserve">BEA Constant-Cost Corporate Net Stock </t>
  </si>
  <si>
    <t>KNRcorpbea</t>
  </si>
  <si>
    <t>(KNCcorp/KNRcorp)*100</t>
  </si>
  <si>
    <t>BEA Historical-Cost Corporate Net Stock</t>
  </si>
  <si>
    <t>FA Table 6.3, line 2: Bill-$</t>
  </si>
  <si>
    <t>KNHcorpbea</t>
  </si>
  <si>
    <t>Current-Cost Corporate Depreciation</t>
  </si>
  <si>
    <t>FA Table 6.4, line 2: Bill-$</t>
  </si>
  <si>
    <t>DEPCcorp</t>
  </si>
  <si>
    <t>Historical-Cost Corporate Depreciation</t>
  </si>
  <si>
    <t>FA Table 6.6, line 2: Bill-$</t>
  </si>
  <si>
    <t>DEPHcorpbea</t>
  </si>
  <si>
    <t>Current-Cost Gross Investment</t>
  </si>
  <si>
    <t>IGCcorpbea</t>
  </si>
  <si>
    <t>Chain-Type Quantity Index Gross Investment</t>
  </si>
  <si>
    <t>FA Table 6.8, line 2: Bill-$</t>
  </si>
  <si>
    <t>IGRcorpindexbea</t>
  </si>
  <si>
    <t>Constant-Cost Quantity Index Gross Investment</t>
  </si>
  <si>
    <t>IGRcorpbea</t>
  </si>
  <si>
    <t>Implicit Price Deflator, Gross Investment</t>
  </si>
  <si>
    <t>KNCcorp'</t>
  </si>
  <si>
    <t>KNRcorp'</t>
  </si>
  <si>
    <t>KNHcorp'</t>
  </si>
  <si>
    <t>Relative Current-Cost Approximation</t>
  </si>
  <si>
    <t>KNCcorp'/KNCcorp</t>
  </si>
  <si>
    <t>KNCcorp'ratio</t>
  </si>
  <si>
    <t>Relative Constant-Cost Approximation</t>
  </si>
  <si>
    <t>KNRcorp'/KNRcorp</t>
  </si>
  <si>
    <t>KNRcorp'ratio</t>
  </si>
  <si>
    <t>Relative Historical-Cost Approximation</t>
  </si>
  <si>
    <t>KNHcorp'/KNhcorp</t>
  </si>
  <si>
    <t>KNHcorp'ratio</t>
  </si>
  <si>
    <t>Average Accuracy of GPIM rules, 1947-2009</t>
  </si>
  <si>
    <t>Average KNCcorpratio</t>
  </si>
  <si>
    <t>Average KNRcorpratio</t>
  </si>
  <si>
    <t>Average KNHcorpratio</t>
  </si>
  <si>
    <t>Appendix 7.2C2: Effects of Different Initial Values</t>
  </si>
  <si>
    <t>BEA 2011 initial value</t>
  </si>
  <si>
    <t>FA Table 6.1, line 1</t>
  </si>
  <si>
    <t>BEA 1993 initial value</t>
  </si>
  <si>
    <t>Table A.13, p. 294</t>
  </si>
  <si>
    <t>KNCcorp1'</t>
  </si>
  <si>
    <t>SCB  1985 initial value</t>
  </si>
  <si>
    <t>Table 6, p. 56</t>
  </si>
  <si>
    <t>KNCcorp2'</t>
  </si>
  <si>
    <t>Ratio KNCcorp1' to KNCcorpbea</t>
  </si>
  <si>
    <t>KNCcorp1'/KNCcorpbea</t>
  </si>
  <si>
    <t>KNCcorp1'ratio</t>
  </si>
  <si>
    <t>Ratio KNCcorp2' to KNCcorpbea</t>
  </si>
  <si>
    <t>KNCCorp2'/KNCorpbea</t>
  </si>
  <si>
    <t>KNCCorp2'ratio</t>
  </si>
  <si>
    <t>New Net Stock Calculations using BEA 1993 depreciation rates</t>
  </si>
  <si>
    <t>BEA 1993 Current-Cost Net stock</t>
  </si>
  <si>
    <t>BEA 1993, Table A13</t>
  </si>
  <si>
    <t>KNCbea93</t>
  </si>
  <si>
    <t>BEA 1993 Constant-Cost Net stock (1987-$)</t>
  </si>
  <si>
    <t>BEA 1993, Table A12</t>
  </si>
  <si>
    <t>KNRbea93</t>
  </si>
  <si>
    <t>BEA 1993 Implicit Price Deflator, Net Stock (1985 = 100)</t>
  </si>
  <si>
    <t>pKNbea93</t>
  </si>
  <si>
    <t>BEA 1993 Current-Cost Corporate Depreciation</t>
  </si>
  <si>
    <t>DEPcorpbea93</t>
  </si>
  <si>
    <t>BEA 1993 Depreciation Rate, Net Stock</t>
  </si>
  <si>
    <t>BEA 2011 Chain Index Net Stock Deflator, 2005 = 100</t>
  </si>
  <si>
    <t>BEA 2011 Current-Cost Gross Investment</t>
  </si>
  <si>
    <t>IGCcorp</t>
  </si>
  <si>
    <t>New Net Current Cost Corp Stock</t>
  </si>
  <si>
    <t>KNCcorpnew</t>
  </si>
  <si>
    <t>New Gross Stock Calculations using BEA 1993 retirement rates</t>
  </si>
  <si>
    <t>BEA 1993 Current-Cost Gross stock</t>
  </si>
  <si>
    <t>KGCBEA93</t>
  </si>
  <si>
    <t>BEA 1993 Constant-Cost Gross stock (1987-$)</t>
  </si>
  <si>
    <t>KGRBEA93</t>
  </si>
  <si>
    <t>BEA 1993 Implicit Price Deflator, Gross Stock</t>
  </si>
  <si>
    <t>pKGbea93</t>
  </si>
  <si>
    <t>BEA 1993 Current-Cost Corporate Retirements (Discards)</t>
  </si>
  <si>
    <t>RETcorpBEA93</t>
  </si>
  <si>
    <t>BEA 1993 Retirement Rate, Gross Stock</t>
  </si>
  <si>
    <t>RETcorp/[pKG*KGR(-1)]</t>
  </si>
  <si>
    <t>New Gross Current Cost Corp Stock</t>
  </si>
  <si>
    <t>KGCcorpnew</t>
  </si>
  <si>
    <t>Ratio of New Current-Cost Net Stock to BEA Net Stock</t>
  </si>
  <si>
    <t>KNCorpnew/KNCbea</t>
  </si>
  <si>
    <t>KGCcorpnew/KNCbea</t>
  </si>
  <si>
    <t>HS 1975, Series V 115, pp. 924-926</t>
  </si>
  <si>
    <t>KNHcorbea relative to its initial value</t>
  </si>
  <si>
    <t>KNHcorpbeaIndx</t>
  </si>
  <si>
    <t>Adjusted KNCcorp</t>
  </si>
  <si>
    <t>KNCcorpbeaAdj</t>
  </si>
  <si>
    <t>Adjusted KNRcorp</t>
  </si>
  <si>
    <t>KNRcorpbeaAdj</t>
  </si>
  <si>
    <t>Adjusted KNHcorp</t>
  </si>
  <si>
    <t>KNHcorpbeaAdj</t>
  </si>
  <si>
    <t>[1] The IRS data begins in 1926 and is backcast to 1925 through the 1926/1925 ratio of BEA 2011 historical-cost stock</t>
  </si>
  <si>
    <t>[2] Historical Statistics of Income, Colonial Times to 1970, US Bureau of Census, 1975</t>
  </si>
  <si>
    <t>KGCcorp</t>
  </si>
  <si>
    <t xml:space="preserve">Ratio of new net stock to BEA </t>
  </si>
  <si>
    <t>KNCcorp/KNCcorpbea</t>
  </si>
  <si>
    <t>Ratio of new gross stock to BEA</t>
  </si>
  <si>
    <t>KGCcorp/KNCcorpbea</t>
  </si>
  <si>
    <t>Rcorp</t>
  </si>
  <si>
    <t>Profshcorp</t>
  </si>
  <si>
    <t>Corp Capacity Utilization</t>
  </si>
  <si>
    <t>Normal Corp Max Rate of Profit</t>
  </si>
  <si>
    <t>Normal Corp  Rate of Profit</t>
  </si>
  <si>
    <t>1947-1982</t>
  </si>
  <si>
    <t>Profit Rate</t>
  </si>
  <si>
    <t>Profit Share</t>
  </si>
  <si>
    <t>1982-2011</t>
  </si>
  <si>
    <t>pKN</t>
  </si>
  <si>
    <t>pIGcorpbea</t>
  </si>
  <si>
    <t>http://www.federalreserve.gov/</t>
  </si>
  <si>
    <t>This file contains the data tables for the sources and methods discussed Appendix 6.7 of Chapter 6</t>
  </si>
  <si>
    <t>(IGCcorpbea/IGRcorpbea)*100</t>
  </si>
  <si>
    <t>Appendix Table 6.8B1</t>
  </si>
  <si>
    <t>Implicit Price Deflator, Net Corporate Capital Stock</t>
  </si>
  <si>
    <t>KNRIndex(t)*KNC(2005)/100: Bills-2005$</t>
  </si>
  <si>
    <t>DEPcorp/[(pKN/100)*KNR(-1)]</t>
  </si>
  <si>
    <t>(IGRcorpindexbea(t)/100)*IGCcorpbea(2005): Bills-2005$</t>
  </si>
  <si>
    <t>KNC' = IGC + (1-d)*(pKN/pKN(-1))*KNC'(-1)</t>
  </si>
  <si>
    <t>KNR' = (IGC*100/pKN) + (1-d)*KNR'(-1)</t>
  </si>
  <si>
    <t>KNH = INH + KNH(-1)                                                                              where INH = IGC - DEPH, DEPH = hist cost deprec</t>
  </si>
  <si>
    <r>
      <t>All estimates pertain to Corporate Current-Cost Net Stocks (</t>
    </r>
    <r>
      <rPr>
        <i/>
        <sz val="10"/>
        <color theme="1"/>
        <rFont val="Calibri"/>
        <family val="2"/>
        <scheme val="minor"/>
      </rPr>
      <t>IGC, d, and pKN are taken from Appendix 6.8B1</t>
    </r>
    <r>
      <rPr>
        <sz val="10"/>
        <color theme="1"/>
        <rFont val="Calibri"/>
        <family val="2"/>
        <scheme val="minor"/>
      </rPr>
      <t>)</t>
    </r>
  </si>
  <si>
    <t>KNCbea93*100/KNRbea93</t>
  </si>
  <si>
    <t>DEPcorp*100/[pKN*KNR(-1)]</t>
  </si>
  <si>
    <t>dcorpnew</t>
  </si>
  <si>
    <t>KNCnew = IGC + (1-dcorpnew)* (pKN/pKN(-1))*KNCnew(-1)</t>
  </si>
  <si>
    <t>KGCbea93*100/KGRbea93</t>
  </si>
  <si>
    <r>
      <t>KGCnew = IGC + (1-</t>
    </r>
    <r>
      <rPr>
        <sz val="9"/>
        <color theme="1"/>
        <rFont val="Euclid Symbol"/>
        <family val="1"/>
        <charset val="2"/>
      </rPr>
      <t>r</t>
    </r>
    <r>
      <rPr>
        <sz val="9"/>
        <color theme="1"/>
        <rFont val="Calibri"/>
        <family val="2"/>
        <scheme val="minor"/>
      </rPr>
      <t>corpnew)*(</t>
    </r>
    <r>
      <rPr>
        <sz val="9"/>
        <color theme="1"/>
        <rFont val="Euclid Symbol"/>
        <family val="1"/>
        <charset val="2"/>
      </rPr>
      <t>p</t>
    </r>
    <r>
      <rPr>
        <sz val="9"/>
        <color theme="1"/>
        <rFont val="Calibri"/>
        <family val="2"/>
        <scheme val="minor"/>
      </rPr>
      <t>KN/</t>
    </r>
    <r>
      <rPr>
        <sz val="9"/>
        <color theme="1"/>
        <rFont val="Euclid Symbol"/>
        <family val="1"/>
        <charset val="2"/>
      </rPr>
      <t>p</t>
    </r>
    <r>
      <rPr>
        <sz val="9"/>
        <color theme="1"/>
        <rFont val="Calibri"/>
        <family val="2"/>
        <scheme val="minor"/>
      </rPr>
      <t>KN(-1))*KGCnew(-1)</t>
    </r>
  </si>
  <si>
    <r>
      <t>Average retirement rate (</t>
    </r>
    <r>
      <rPr>
        <b/>
        <sz val="9"/>
        <color theme="1"/>
        <rFont val="Calibri"/>
        <family val="2"/>
      </rPr>
      <t>ρ</t>
    </r>
    <r>
      <rPr>
        <b/>
        <i/>
        <sz val="9"/>
        <color theme="1"/>
        <rFont val="Calibri"/>
        <family val="2"/>
        <scheme val="minor"/>
      </rPr>
      <t xml:space="preserve">corpnew) based on BEA 1993 </t>
    </r>
  </si>
  <si>
    <t>Average depreciation rate (dcorpnew) based on BEA 1993</t>
  </si>
  <si>
    <t>See text at top of sheet</t>
  </si>
  <si>
    <t>Appendix 6.8B4 (KNHcorpirsIndx)</t>
  </si>
  <si>
    <t>Adj. Ratio</t>
  </si>
  <si>
    <t>Adjustment Ratio 1925-1947</t>
  </si>
  <si>
    <t>Adj. ratio applied to initial stock until 1947, KNC GPIM rule thereafter</t>
  </si>
  <si>
    <t>Adj. ratio applied to initial stock until 1947, KGC GPIM rule thereafter</t>
  </si>
  <si>
    <t>ρ corpnew</t>
  </si>
  <si>
    <t>FRB Capacity Utilization (1967 onward)</t>
  </si>
  <si>
    <t xml:space="preserve">T 7.11, line 4 </t>
  </si>
  <si>
    <t>Bank (Fin Corp) Monetary Int Paid</t>
  </si>
  <si>
    <t xml:space="preserve">NonFin Bus Net Imputed Int Paid </t>
  </si>
  <si>
    <t>BankMonIntPaid</t>
  </si>
  <si>
    <t>NFNetImpIntPaid</t>
  </si>
  <si>
    <t>BusImpIntAdj</t>
  </si>
  <si>
    <t>-BankMonIntPaid - NFNetImpIntPaid</t>
  </si>
  <si>
    <t xml:space="preserve"> GVAbusnipa + BusImpAdj</t>
  </si>
  <si>
    <t>GOSbusnipa - WEQ2 + BusImpIntAdj</t>
  </si>
  <si>
    <t>VAbusnipa + BusImpIntAdj</t>
  </si>
  <si>
    <t>NOSbusnipa  - WEQ2 + BusImpIntAdj</t>
  </si>
  <si>
    <t xml:space="preserve">   NIPA bus net int + BusImpIntAdj</t>
  </si>
  <si>
    <t>Pbus</t>
  </si>
  <si>
    <t>GVAbus/GVAnipa</t>
  </si>
  <si>
    <t>VAbus/VAnipa</t>
  </si>
  <si>
    <t>GOSbus/GOSnipa</t>
  </si>
  <si>
    <t>NOSbus/NOSnipa</t>
  </si>
  <si>
    <t>GVAbusnipa and its components are from Appendix 6.8A.1; Corporate GVA and components are from Appendix Table 6.8A.2</t>
  </si>
  <si>
    <t>Relative to NIPA measures</t>
  </si>
  <si>
    <t>Imputed Bus Int Adjustment</t>
  </si>
  <si>
    <r>
      <t xml:space="preserve">NonFin </t>
    </r>
    <r>
      <rPr>
        <i/>
        <sz val="9"/>
        <color rgb="FF000000"/>
        <rFont val="Calibri"/>
        <family val="2"/>
      </rPr>
      <t>Corp</t>
    </r>
    <r>
      <rPr>
        <sz val="9"/>
        <color rgb="FF000000"/>
        <rFont val="Calibri"/>
        <family val="2"/>
      </rPr>
      <t xml:space="preserve"> Net Imputed Int Paid </t>
    </r>
  </si>
  <si>
    <t>CorpNFNetImpIntPaid</t>
  </si>
  <si>
    <t>CorpImpIntAdj</t>
  </si>
  <si>
    <t>T 7.11, lines (74+75) – lines (53+54)</t>
  </si>
  <si>
    <t>T 7.11,  line 74 - line 53</t>
  </si>
  <si>
    <t>-BankMonIntPaid - CorpNFNetImpIntPaid</t>
  </si>
  <si>
    <t>GOScorpnipa (T 1.14, 2 + 8) + CorpImpIntAdj</t>
  </si>
  <si>
    <t>VAcorpnipa (T 1.14, 1 - 2) + CorpImpIntAdj</t>
  </si>
  <si>
    <t>NOScorpnipa (T 1.14, 8) + CorpImpIntAdj</t>
  </si>
  <si>
    <t>Pcorpnipa</t>
  </si>
  <si>
    <t>GVAcorpnipa (T 1.14, 1) + CorpImpIntAdj</t>
  </si>
  <si>
    <t>Corporate profits</t>
  </si>
  <si>
    <t xml:space="preserve"> ECbusnipa</t>
  </si>
  <si>
    <t>Tbusnipa</t>
  </si>
  <si>
    <t>ECbus-ECcorp</t>
  </si>
  <si>
    <t xml:space="preserve">    Corp Net interest </t>
  </si>
  <si>
    <t xml:space="preserve">    Business net transfer payments</t>
  </si>
  <si>
    <t xml:space="preserve"> NIPA Corp Profits w/IVA &amp; CCAdj</t>
  </si>
  <si>
    <t>Corpnetintnipa</t>
  </si>
  <si>
    <t>Corptrnsfrsnipa</t>
  </si>
  <si>
    <t xml:space="preserve">   Corpnetintnipa + CorpNFNetImpIntPaid</t>
  </si>
  <si>
    <t xml:space="preserve">    Bustransfers</t>
  </si>
  <si>
    <t xml:space="preserve">   BusRentalInc</t>
  </si>
  <si>
    <t xml:space="preserve">    BusNetInt</t>
  </si>
  <si>
    <t xml:space="preserve">    Corptransfers</t>
  </si>
  <si>
    <t>BusNetInt-CorpNetInt</t>
  </si>
  <si>
    <t>Bustransfers - Corptransfers</t>
  </si>
  <si>
    <t xml:space="preserve">    Rentalinc</t>
  </si>
  <si>
    <t>Noncorp profit rate using WEQ1</t>
  </si>
  <si>
    <t>Pnoncorp1/KNCprop(-1) (Appendix Table 6.8.2)</t>
  </si>
  <si>
    <t>All Tables from NIPA downloaded in 2011, and all sums in Bills=$, unless indicated otherwise</t>
  </si>
  <si>
    <t>Aggregate GOSnipa</t>
  </si>
  <si>
    <t>Aggregate NOSnipa</t>
  </si>
  <si>
    <t xml:space="preserve">Correct Depreciation Rate </t>
  </si>
  <si>
    <t>Whelan-Liu Depreciation Rate</t>
  </si>
  <si>
    <t>Depcorp/KNCcorpbea(-1)</t>
  </si>
  <si>
    <t>dcorpWhelanLiu</t>
  </si>
  <si>
    <t>dcorpstar</t>
  </si>
  <si>
    <t>Avg 1982-2011</t>
  </si>
  <si>
    <t>Decomposition of Average Rates of Change of US Corporate Profit Rates and Components</t>
  </si>
  <si>
    <t>Appendix Table 6.8.I.3: Corrected Business Accounts</t>
  </si>
  <si>
    <t xml:space="preserve">Appendix Table 6.8.I.1: Measurement of the Business Sector </t>
  </si>
  <si>
    <t>Appendix Table 6.8.I.2: Measures of Noncorporate and Corporate Profits</t>
  </si>
  <si>
    <t>Appendix Table 6.8.II.1: Accuracy of GPIM rules for chain-weighted capital stock estimates</t>
  </si>
  <si>
    <t>Appendix Table 6.8.II.2: Effects of different initial values for capital stock estimates</t>
  </si>
  <si>
    <t>Appendix Table 6.8.II.3: Effects of different depletion rates</t>
  </si>
  <si>
    <t>Appendix Table 6.8.II.4: Effects of the Great Depression and WWII</t>
  </si>
  <si>
    <t xml:space="preserve">Appendix Table 6.8.II.5: New Measures of Net and Gross Stocks </t>
  </si>
  <si>
    <t>Appendix Table 6.8.I.2: Measures of Aggregate Profits</t>
  </si>
  <si>
    <t xml:space="preserve">   Corp current transfer payments (net)</t>
  </si>
  <si>
    <t>ECcorp</t>
  </si>
  <si>
    <t>ECcorpnipa (T 1.14, 4)</t>
  </si>
  <si>
    <t>Tcorpnipa (T 1.14, 7)</t>
  </si>
  <si>
    <t>CFCcorpnipa (T 1.14, 2)</t>
  </si>
  <si>
    <t xml:space="preserve">   Business Net Monetary Interest</t>
  </si>
  <si>
    <t xml:space="preserve">   Corp Net Monetary Interest </t>
  </si>
  <si>
    <t>PGcorp</t>
  </si>
  <si>
    <t xml:space="preserve">    Corpnetmonint </t>
  </si>
  <si>
    <t>Appendix Table 6.8.I.3:  Business Accounts Corrected for WEQ2 and Imputed Interest Adjustments</t>
  </si>
  <si>
    <t>Non-Corporate Sector</t>
  </si>
  <si>
    <t>KTHcorpirs</t>
  </si>
  <si>
    <t>INVIRScorp</t>
  </si>
  <si>
    <r>
      <t>IRS Corporate Balance Sheets (to 1997).xlsx;  IRS Corporate Balance Sheets (extended to 2011).xlsx (</t>
    </r>
    <r>
      <rPr>
        <i/>
        <sz val="9"/>
        <color theme="1"/>
        <rFont val="Calibri"/>
        <family val="2"/>
        <scheme val="minor"/>
      </rPr>
      <t>Thousands $</t>
    </r>
    <r>
      <rPr>
        <sz val="9"/>
        <color theme="1"/>
        <rFont val="Calibri"/>
        <family val="2"/>
        <scheme val="minor"/>
      </rPr>
      <t>)</t>
    </r>
  </si>
  <si>
    <t>"</t>
  </si>
  <si>
    <t>IRS Corporate Balance Sheets (extended to 2011).xlsx (Thousands $)</t>
  </si>
  <si>
    <t>IRS corporate Inventories, 1947-2011</t>
  </si>
  <si>
    <t>Depreciable Assets, 1990-2011</t>
  </si>
  <si>
    <t>Accumulated Depreciation, 1990-2011</t>
  </si>
  <si>
    <t xml:space="preserve">IRS Net Fixed Capital, 1990-2011 </t>
  </si>
  <si>
    <t>(KNHIRS / KHNBEA), actual for 1990-2011 and extrapolated via linear time trend for 1947-2011</t>
  </si>
  <si>
    <t>KGHIRScorp</t>
  </si>
  <si>
    <t>DeprecIRScorp</t>
  </si>
  <si>
    <t>KNHIRScorp</t>
  </si>
  <si>
    <t>See AppFig6.7.11 for graph and trend line</t>
  </si>
  <si>
    <t>KNHIRScorpest</t>
  </si>
  <si>
    <r>
      <t xml:space="preserve"> Depreciable assets - accumulated depreciation </t>
    </r>
    <r>
      <rPr>
        <i/>
        <sz val="9"/>
        <color theme="1"/>
        <rFont val="Calibri"/>
        <family val="2"/>
        <scheme val="minor"/>
      </rPr>
      <t>(Thousand $)</t>
    </r>
  </si>
  <si>
    <t>Inventory/net capital, IRS Corporate</t>
  </si>
  <si>
    <t>(INVIRScorp / KNHIRScorpest)</t>
  </si>
  <si>
    <t>see variables above</t>
  </si>
  <si>
    <t>BEA Net Historical Cost Capital Stock</t>
  </si>
  <si>
    <t>Appndx 6.8.II.1 (Bills $), BEA Historical Cost Net Stock</t>
  </si>
  <si>
    <t xml:space="preserve">(KNHIRS corp/ KNHcorpbea), actual for 1990-2011 </t>
  </si>
  <si>
    <t>(KNHIRScorp / KHNcorpbea)</t>
  </si>
  <si>
    <r>
      <t xml:space="preserve">KNHIRS actual for 1990-2011, and estimated as KNHcorpbea*(KNHIRScorp / KHNcorpbea)' for 1947-1989 </t>
    </r>
    <r>
      <rPr>
        <i/>
        <sz val="11"/>
        <color theme="1"/>
        <rFont val="Calibri"/>
        <family val="2"/>
        <scheme val="minor"/>
      </rPr>
      <t>(Bill $)</t>
    </r>
  </si>
  <si>
    <t>(KNHIRScorp / KNHcorpbea)'</t>
  </si>
  <si>
    <t>KTHcorpirsIndx</t>
  </si>
  <si>
    <t>KTHcorpirs relative to its initial value</t>
  </si>
  <si>
    <t>Book Value of Total Corporate Assets (incl. land) less Reserves [1]</t>
  </si>
  <si>
    <t>Net Current-Cost Capital Stock, using BEA 1993 depreciation rate and initial value,adjusted for interwar period</t>
  </si>
  <si>
    <t>Gross Current-Cost Capital Stock, using BEA 1993 depreciation rate and initial value, adjusted for interwar period</t>
  </si>
  <si>
    <t>Adj. ratio applied to initial stock until 1947, KNH GPIM rule thereafter</t>
  </si>
  <si>
    <t>KNHcorp</t>
  </si>
  <si>
    <t>Net Historical-Cost Capital Stock, using BEA 1993 depreciation rate and initial value,adjusted for interwar period</t>
  </si>
  <si>
    <t>Appendix 6.8.II.5</t>
  </si>
  <si>
    <t>Estimated Corporate Inventories</t>
  </si>
  <si>
    <t>(INVIRScorp / KNHIRScorpest)*KNHcorp</t>
  </si>
  <si>
    <t>INVcorp</t>
  </si>
  <si>
    <t>Final Corporate Net Historical Cost Stock</t>
  </si>
  <si>
    <t>Current-cost approximation using Ch 6 eq. 6.57</t>
  </si>
  <si>
    <t>Constant-cost approximation using Ch 6 eq. 6.58</t>
  </si>
  <si>
    <t>Historical-cost approximation using Ch 6 eq. 6.59</t>
  </si>
  <si>
    <t>NIPA Corporate Profit</t>
  </si>
  <si>
    <t>Corporate Inventories</t>
  </si>
  <si>
    <t>Corporate Current-Cost Fixed Capital (plant and equipment) Gross Stock</t>
  </si>
  <si>
    <t>Corporate Total Capital Stock (plant, equipment, inventories)</t>
  </si>
  <si>
    <t>KGCcorp + INVcorp</t>
  </si>
  <si>
    <t>KTCcorp</t>
  </si>
  <si>
    <t>Multiplier for NIPA Profit</t>
  </si>
  <si>
    <t>Net Monetary Interest Paid and Transfers</t>
  </si>
  <si>
    <t>x1 = 1 + (NMINTcorp/Pcorp)</t>
  </si>
  <si>
    <t>Multiplier for Lagged Gross Stock</t>
  </si>
  <si>
    <t>x1</t>
  </si>
  <si>
    <t>x2</t>
  </si>
  <si>
    <t>NOScorp/VAcorp</t>
  </si>
  <si>
    <t>CHECK</t>
  </si>
  <si>
    <t>INVcorp = (INVIRScorp)*KNHcorp/KNHIRScorp</t>
  </si>
  <si>
    <t>Final Corporate Current Cost Total Stock (plant, equipment, inventories)</t>
  </si>
  <si>
    <t>Final Corporate Gross Current Cost Fixed Capital Stock (plant, equipment)</t>
  </si>
  <si>
    <r>
      <t xml:space="preserve">Corporate Value Added </t>
    </r>
    <r>
      <rPr>
        <sz val="9"/>
        <rFont val="Calibri"/>
        <family val="2"/>
        <scheme val="minor"/>
      </rPr>
      <t>adjusted for imputed interest</t>
    </r>
  </si>
  <si>
    <t>Corporate NOS adjusted for imputed interest (Earnings before Interest and Taxes)</t>
  </si>
  <si>
    <t>Average</t>
  </si>
  <si>
    <t>Appendix Table 6.8.II.5</t>
  </si>
  <si>
    <t>Appendix Table 6.8.II.6</t>
  </si>
  <si>
    <t>ECbusnipa (Appendix Table 6.8.1)  - ECcorpnipa (T 1.14, line 4)</t>
  </si>
  <si>
    <t>ecprop</t>
  </si>
  <si>
    <t>rcorp'</t>
  </si>
  <si>
    <t>VAcorp/KTCcorp(-1)</t>
  </si>
  <si>
    <r>
      <t xml:space="preserve">Corp Max Rate of Profit, </t>
    </r>
    <r>
      <rPr>
        <sz val="9"/>
        <rFont val="Calibri"/>
        <family val="2"/>
        <scheme val="minor"/>
      </rPr>
      <t>adj. for imputed interest and inventories</t>
    </r>
  </si>
  <si>
    <t>Corp Profit Rate, adj. for imputed interest and inventories</t>
  </si>
  <si>
    <t>Corporate Profit Share, adj. for imputed interest</t>
  </si>
  <si>
    <r>
      <t xml:space="preserve">Corp Max Rate of Profit, w/o </t>
    </r>
    <r>
      <rPr>
        <sz val="9"/>
        <rFont val="Calibri"/>
        <family val="2"/>
        <scheme val="minor"/>
      </rPr>
      <t>imputed interest adj. or inventories</t>
    </r>
  </si>
  <si>
    <t>Corporate Profit Share, w/o imputed interest adj.</t>
  </si>
  <si>
    <t>Corp Profit Rate, w/o imputed interest adj. or inventories</t>
  </si>
  <si>
    <t xml:space="preserve">NOS/KTC(-1) </t>
  </si>
  <si>
    <t>NOScorp = Pcorp + NMINT</t>
  </si>
  <si>
    <t xml:space="preserve">  NMINT</t>
  </si>
  <si>
    <t>Corpnetmonint+corptransfers</t>
  </si>
  <si>
    <t>Corporate VA, w/o imputed interest adj.</t>
  </si>
  <si>
    <t>Pcorpnipa/VAcorpnipa</t>
  </si>
  <si>
    <t xml:space="preserve">  Pcorpnipa</t>
  </si>
  <si>
    <t>BEA 2011 Corp Current-Cost Net Stock</t>
  </si>
  <si>
    <t>Profshcorpnipa</t>
  </si>
  <si>
    <t>rcorpnipa</t>
  </si>
  <si>
    <t>Pcorpnipa/KNCcorpbea(-1)</t>
  </si>
  <si>
    <t>NIPA Corporate Max Rate of Profit</t>
  </si>
  <si>
    <t>NIPA Corporate Rate of Profit</t>
  </si>
  <si>
    <t xml:space="preserve">    Proxy Measures (only effect due to new KGCcorp)</t>
  </si>
  <si>
    <t>Rcorpnipa</t>
  </si>
  <si>
    <t>Gross Fixed Capital / Net NIPA Capital</t>
  </si>
  <si>
    <t>x3</t>
  </si>
  <si>
    <t>x2 = 1 + (INVcorp(-1)/KNCcorpbea(-1))</t>
  </si>
  <si>
    <t>x3*(x1 / x2)</t>
  </si>
  <si>
    <t>Multiplier for Conventional Profit Rate</t>
  </si>
  <si>
    <t xml:space="preserve">       Final Measures</t>
  </si>
  <si>
    <t>VAcorpnipa/KNCcorpbea</t>
  </si>
  <si>
    <t>rcorp/rcorpnipa = x3*(x1 / x2)</t>
  </si>
  <si>
    <t>x3 =  KNCcorpbea(-1) / KGCcorp(-1)</t>
  </si>
  <si>
    <t xml:space="preserve">    Conventional Measures (w/o imputed int correction, w/0 inventories, and w/o capital stock corrections)</t>
  </si>
  <si>
    <t>VAcorpnipa/KGCcorp(-1)</t>
  </si>
  <si>
    <t>Pcorpnipa/KGCcorpbea(-1)</t>
  </si>
  <si>
    <t>Rcorp'</t>
  </si>
  <si>
    <r>
      <t>Rcorp</t>
    </r>
    <r>
      <rPr>
        <vertAlign val="subscript"/>
        <sz val="9"/>
        <color theme="1"/>
        <rFont val="Calibri"/>
        <family val="2"/>
        <scheme val="minor"/>
      </rPr>
      <t xml:space="preserve">n </t>
    </r>
    <r>
      <rPr>
        <sz val="9"/>
        <color theme="1"/>
        <rFont val="Calibri"/>
        <family val="2"/>
        <scheme val="minor"/>
      </rPr>
      <t>/ u</t>
    </r>
    <r>
      <rPr>
        <vertAlign val="subscript"/>
        <sz val="9"/>
        <color theme="1"/>
        <rFont val="Calibri"/>
        <family val="2"/>
        <scheme val="minor"/>
      </rPr>
      <t>K</t>
    </r>
  </si>
  <si>
    <t>Normal NIPA Corp Rate of Profit (using uFRB)</t>
  </si>
  <si>
    <t>Normal NIPA Maximum Corp Rate of Profit (using uFRB)</t>
  </si>
  <si>
    <r>
      <rPr>
        <sz val="9"/>
        <color theme="1"/>
        <rFont val="Calibri"/>
        <family val="2"/>
        <scheme val="minor"/>
      </rPr>
      <t>Rcorpnipa</t>
    </r>
    <r>
      <rPr>
        <vertAlign val="subscript"/>
        <sz val="9"/>
        <color theme="1"/>
        <rFont val="Calibri"/>
        <family val="2"/>
        <scheme val="minor"/>
      </rPr>
      <t>n</t>
    </r>
  </si>
  <si>
    <r>
      <t>Rcorp</t>
    </r>
    <r>
      <rPr>
        <vertAlign val="subscript"/>
        <sz val="9"/>
        <color theme="1"/>
        <rFont val="Calibri"/>
        <family val="2"/>
        <scheme val="minor"/>
      </rPr>
      <t>n</t>
    </r>
  </si>
  <si>
    <r>
      <t>Rcorp'</t>
    </r>
    <r>
      <rPr>
        <vertAlign val="subscript"/>
        <sz val="9"/>
        <color theme="1"/>
        <rFont val="Calibri"/>
        <family val="2"/>
        <scheme val="minor"/>
      </rPr>
      <t>n</t>
    </r>
  </si>
  <si>
    <r>
      <t>rcorp'</t>
    </r>
    <r>
      <rPr>
        <vertAlign val="subscript"/>
        <sz val="9"/>
        <color theme="1"/>
        <rFont val="Calibri"/>
        <family val="2"/>
        <scheme val="minor"/>
      </rPr>
      <t>n</t>
    </r>
  </si>
  <si>
    <r>
      <t>u</t>
    </r>
    <r>
      <rPr>
        <vertAlign val="subscript"/>
        <sz val="9"/>
        <color theme="1"/>
        <rFont val="Calibri"/>
        <family val="2"/>
        <scheme val="minor"/>
      </rPr>
      <t>K</t>
    </r>
  </si>
  <si>
    <r>
      <t>u</t>
    </r>
    <r>
      <rPr>
        <vertAlign val="subscript"/>
        <sz val="9"/>
        <color theme="1"/>
        <rFont val="Calibri"/>
        <family val="2"/>
        <scheme val="minor"/>
      </rPr>
      <t>FRB</t>
    </r>
  </si>
  <si>
    <r>
      <t>Rcorpnipa / u</t>
    </r>
    <r>
      <rPr>
        <vertAlign val="subscript"/>
        <sz val="9"/>
        <color theme="1"/>
        <rFont val="Calibri"/>
        <family val="2"/>
        <scheme val="minor"/>
      </rPr>
      <t xml:space="preserve">FRB </t>
    </r>
    <r>
      <rPr>
        <sz val="9"/>
        <color theme="1"/>
        <rFont val="Calibri"/>
        <family val="2"/>
        <scheme val="minor"/>
      </rPr>
      <t xml:space="preserve"> (1967 onward)</t>
    </r>
  </si>
  <si>
    <r>
      <t>Proxy Normal Max Profit Rate using u</t>
    </r>
    <r>
      <rPr>
        <vertAlign val="subscript"/>
        <sz val="9"/>
        <color theme="1"/>
        <rFont val="Calibri"/>
        <family val="2"/>
        <scheme val="minor"/>
      </rPr>
      <t>K</t>
    </r>
  </si>
  <si>
    <r>
      <t>Proxy Normal Average Profit Rate using u</t>
    </r>
    <r>
      <rPr>
        <vertAlign val="subscript"/>
        <sz val="9"/>
        <color theme="1"/>
        <rFont val="Calibri"/>
        <family val="2"/>
        <scheme val="minor"/>
      </rPr>
      <t>K</t>
    </r>
  </si>
  <si>
    <t xml:space="preserve">  </t>
  </si>
  <si>
    <t>Corporate Gross Investment in Fixed Capital</t>
  </si>
  <si>
    <t>Corporate Current Cost Consumption of Fixed Capital (Depreciation)</t>
  </si>
  <si>
    <t>Pcorp + DEPCcorp</t>
  </si>
  <si>
    <t>Gross Corporate NIPA Profit</t>
  </si>
  <si>
    <t>Change in Corporate Inventories</t>
  </si>
  <si>
    <t>Corporate Gross Investment in Fixed Capital and Inventories</t>
  </si>
  <si>
    <r>
      <t>grcorp</t>
    </r>
    <r>
      <rPr>
        <vertAlign val="subscript"/>
        <sz val="9"/>
        <color theme="1"/>
        <rFont val="Times New Roman"/>
        <family val="1"/>
      </rPr>
      <t>n</t>
    </r>
  </si>
  <si>
    <r>
      <t>gRcorp</t>
    </r>
    <r>
      <rPr>
        <vertAlign val="subscript"/>
        <sz val="9"/>
        <color theme="1"/>
        <rFont val="Times New Roman"/>
        <family val="1"/>
      </rPr>
      <t>n</t>
    </r>
  </si>
  <si>
    <t>Corrected Normal-Capacity Measures</t>
  </si>
  <si>
    <t xml:space="preserve">  Growth rates </t>
  </si>
  <si>
    <t>Avg 1948-82</t>
  </si>
  <si>
    <t>Conventional (uFRB only available 1967-2011)</t>
  </si>
  <si>
    <t>Avg 1947-82 or 1967-82</t>
  </si>
  <si>
    <r>
      <rPr>
        <sz val="9"/>
        <color theme="1"/>
        <rFont val="Calibri"/>
        <family val="2"/>
        <scheme val="minor"/>
      </rPr>
      <t>gRcorpnipa</t>
    </r>
    <r>
      <rPr>
        <vertAlign val="subscript"/>
        <sz val="9"/>
        <color theme="1"/>
        <rFont val="Calibri"/>
        <family val="2"/>
        <scheme val="minor"/>
      </rPr>
      <t xml:space="preserve">n  </t>
    </r>
    <r>
      <rPr>
        <sz val="9"/>
        <color theme="1"/>
        <rFont val="Calibri"/>
        <family val="2"/>
        <scheme val="minor"/>
      </rPr>
      <t>(1967-82)</t>
    </r>
  </si>
  <si>
    <t>gProfshcorpnipa (1947-82)</t>
  </si>
  <si>
    <r>
      <rPr>
        <sz val="9"/>
        <color theme="1"/>
        <rFont val="Calibri"/>
        <family val="2"/>
        <scheme val="minor"/>
      </rPr>
      <t>grcorpnipa</t>
    </r>
    <r>
      <rPr>
        <vertAlign val="subscript"/>
        <sz val="9"/>
        <color theme="1"/>
        <rFont val="Calibri"/>
        <family val="2"/>
        <scheme val="minor"/>
      </rPr>
      <t xml:space="preserve">n  </t>
    </r>
    <r>
      <rPr>
        <sz val="9"/>
        <color theme="1"/>
        <rFont val="Calibri"/>
        <family val="2"/>
        <scheme val="minor"/>
      </rPr>
      <t>(1967-82)</t>
    </r>
  </si>
  <si>
    <t>Conventional Normal-Capacity Measures</t>
  </si>
  <si>
    <t>Maximum Profit Rate</t>
  </si>
  <si>
    <t>Appendix Table 6.8.II.1</t>
  </si>
  <si>
    <t>Appendix Table 6.8.II.7: Capacity Utilization and Final Capital Stock and Profit Rate Estimates</t>
  </si>
  <si>
    <t xml:space="preserve">Appendix Table 6.8.II.6: Measures of Corporate Inventories </t>
  </si>
  <si>
    <t>NOScorp/NOSnipa</t>
  </si>
  <si>
    <t>Relative effect of imputed interest adjustment</t>
  </si>
  <si>
    <t>NIPA Corp. Real Incremental Rate of Profit</t>
  </si>
  <si>
    <t>Real Corporate Gross Investment</t>
  </si>
  <si>
    <t>PGRcorp</t>
  </si>
  <si>
    <t>Real Corporate Gross Profit (deflated by gross investment price index)</t>
  </si>
  <si>
    <t>PGcorp/pIGcorpbea</t>
  </si>
  <si>
    <t>Price index Corporate Gross Investment (2005 = 100)</t>
  </si>
  <si>
    <t>Change in Real Gross Corporate Profit</t>
  </si>
  <si>
    <t>Real Corporate Inventories (deflated by gross investment price index)</t>
  </si>
  <si>
    <t>INVRcorp</t>
  </si>
  <si>
    <t>INVcorp/pIGcorpbea</t>
  </si>
  <si>
    <t>∆INVRcorp</t>
  </si>
  <si>
    <r>
      <t xml:space="preserve">IGRcorpbea + </t>
    </r>
    <r>
      <rPr>
        <sz val="9"/>
        <color rgb="FF000000"/>
        <rFont val="Calibri"/>
        <family val="2"/>
      </rPr>
      <t>∆INVRcorp</t>
    </r>
  </si>
  <si>
    <t>GOSRcorp</t>
  </si>
  <si>
    <t>(NOScorp + DEPcorp)/pIGcorpbea</t>
  </si>
  <si>
    <t>∆GOSRcorp</t>
  </si>
  <si>
    <t>∆PGRcorp</t>
  </si>
  <si>
    <r>
      <t>∆GOSRcorp/(IGRcorpbea + ∆INVRcorp)</t>
    </r>
    <r>
      <rPr>
        <vertAlign val="subscript"/>
        <sz val="9"/>
        <color rgb="FF000000"/>
        <rFont val="Calibri"/>
        <family val="2"/>
        <scheme val="minor"/>
      </rPr>
      <t>-1</t>
    </r>
  </si>
  <si>
    <t>iroprcorp</t>
  </si>
  <si>
    <t>iroprcorpnipa</t>
  </si>
  <si>
    <t xml:space="preserve">   Capacity Utilization</t>
  </si>
  <si>
    <t>Adjusted Corp. Real Incremental Rate of Profit</t>
  </si>
  <si>
    <t xml:space="preserve">  Nominal and Current (Real) Incremental Rates of Profit</t>
  </si>
  <si>
    <t xml:space="preserve">Real Gross Operating Surplus </t>
  </si>
  <si>
    <t>Gross Operating Surplus (adjusted)</t>
  </si>
  <si>
    <t>NOScorp + DEPcorp</t>
  </si>
  <si>
    <r>
      <t xml:space="preserve">IGcorpbea + </t>
    </r>
    <r>
      <rPr>
        <sz val="9"/>
        <color rgb="FF000000"/>
        <rFont val="Calibri"/>
        <family val="2"/>
      </rPr>
      <t>∆INVcorp</t>
    </r>
  </si>
  <si>
    <t>Real Corporate Gross Investment in Fixed Capital and Inventories</t>
  </si>
  <si>
    <t>Change in Real Corporate Inventories</t>
  </si>
  <si>
    <t>∆INVcorp</t>
  </si>
  <si>
    <t>Adjusted Corp. Nominal Incremental Rate of Profit</t>
  </si>
  <si>
    <t>NIPA Corp. Nominal Incremental Rate of Profit</t>
  </si>
  <si>
    <r>
      <t>∆GOScorp/(IGcorpbea + ∆INVcorp)</t>
    </r>
    <r>
      <rPr>
        <vertAlign val="subscript"/>
        <sz val="9"/>
        <color rgb="FF000000"/>
        <rFont val="Calibri"/>
        <family val="2"/>
        <scheme val="minor"/>
      </rPr>
      <t>-1</t>
    </r>
  </si>
  <si>
    <r>
      <t>∆PGcorp/IGCcorpbea</t>
    </r>
    <r>
      <rPr>
        <vertAlign val="subscript"/>
        <sz val="9"/>
        <color theme="1"/>
        <rFont val="Calibri"/>
        <family val="2"/>
        <scheme val="minor"/>
      </rPr>
      <t>-1</t>
    </r>
  </si>
  <si>
    <r>
      <t>∆PGRcorp/IGRcorpbea</t>
    </r>
    <r>
      <rPr>
        <vertAlign val="subscript"/>
        <sz val="9"/>
        <color theme="1"/>
        <rFont val="Calibri"/>
        <family val="2"/>
        <scheme val="minor"/>
      </rPr>
      <t>-1</t>
    </r>
  </si>
  <si>
    <t>iropcorp</t>
  </si>
  <si>
    <t>iropcorpnipa</t>
  </si>
  <si>
    <t>∆GOScorp</t>
  </si>
  <si>
    <t>∆PGcorp</t>
  </si>
  <si>
    <t xml:space="preserve">Corrected and NIPA Incremental Rates of Profit </t>
  </si>
  <si>
    <t>Mean</t>
  </si>
  <si>
    <t>Standard Deviation</t>
  </si>
  <si>
    <t xml:space="preserve"> Nominal NIPA Incremental Rate of Profit </t>
  </si>
  <si>
    <t xml:space="preserve"> Nominal Corrected Incremental Rate of Profit </t>
  </si>
  <si>
    <t>Coefficient of Variation</t>
  </si>
  <si>
    <t xml:space="preserve"> Current (Real) Corrected Incremental Rate of Profit </t>
  </si>
  <si>
    <t xml:space="preserve"> Current (Real) NIPA Incremental Rate of Profit </t>
  </si>
  <si>
    <t>FA Table 6.7, line 2: Bill-$</t>
  </si>
  <si>
    <t xml:space="preserve">Appendix Table 6.8.II.1 </t>
  </si>
  <si>
    <r>
      <t>Appendix Table 6.8.II.1 (</t>
    </r>
    <r>
      <rPr>
        <i/>
        <sz val="9"/>
        <color theme="1"/>
        <rFont val="Calibri"/>
        <family val="2"/>
        <scheme val="minor"/>
      </rPr>
      <t>from BEA FA T6.7</t>
    </r>
    <r>
      <rPr>
        <sz val="9"/>
        <color theme="1"/>
        <rFont val="Calibri"/>
        <family val="2"/>
        <scheme val="minor"/>
      </rPr>
      <t>)</t>
    </r>
  </si>
  <si>
    <r>
      <t>Appendix Table 6.8.II.1 (</t>
    </r>
    <r>
      <rPr>
        <i/>
        <sz val="9"/>
        <color theme="1"/>
        <rFont val="Calibri"/>
        <family val="2"/>
        <scheme val="minor"/>
      </rPr>
      <t>from BEA FA T6.4</t>
    </r>
    <r>
      <rPr>
        <sz val="9"/>
        <color theme="1"/>
        <rFont val="Calibri"/>
        <family val="2"/>
        <scheme val="minor"/>
      </rPr>
      <t>)</t>
    </r>
  </si>
  <si>
    <r>
      <t xml:space="preserve">Appendix Table 6.8.II.1 </t>
    </r>
    <r>
      <rPr>
        <i/>
        <sz val="9"/>
        <color theme="1"/>
        <rFont val="Calibri"/>
        <family val="2"/>
        <scheme val="minor"/>
      </rPr>
      <t>(from BEA FA T6.8)</t>
    </r>
  </si>
  <si>
    <t>ProfshcorpHP100</t>
  </si>
  <si>
    <r>
      <t>rcorp</t>
    </r>
    <r>
      <rPr>
        <b/>
        <vertAlign val="subscript"/>
        <sz val="9"/>
        <color rgb="FFFF0000"/>
        <rFont val="Calibri"/>
        <family val="2"/>
        <scheme val="minor"/>
      </rPr>
      <t>n</t>
    </r>
  </si>
  <si>
    <r>
      <rPr>
        <b/>
        <sz val="9"/>
        <color rgb="FFFF0000"/>
        <rFont val="Calibri"/>
        <family val="2"/>
        <scheme val="minor"/>
      </rPr>
      <t>rcorpnipa</t>
    </r>
    <r>
      <rPr>
        <b/>
        <vertAlign val="subscript"/>
        <sz val="9"/>
        <color rgb="FFFF0000"/>
        <rFont val="Calibri"/>
        <family val="2"/>
        <scheme val="minor"/>
      </rPr>
      <t>n</t>
    </r>
  </si>
  <si>
    <t>ProfshcorpnipaHP(100</t>
  </si>
  <si>
    <r>
      <t>Profshcorp</t>
    </r>
    <r>
      <rPr>
        <vertAlign val="subscript"/>
        <sz val="9"/>
        <color theme="1"/>
        <rFont val="Calibri"/>
        <family val="2"/>
        <scheme val="minor"/>
      </rPr>
      <t>n</t>
    </r>
    <r>
      <rPr>
        <sz val="9"/>
        <color theme="1"/>
        <rFont val="Calibri"/>
        <family val="2"/>
        <scheme val="minor"/>
      </rPr>
      <t>*Rcorp</t>
    </r>
    <r>
      <rPr>
        <vertAlign val="subscript"/>
        <sz val="9"/>
        <color theme="1"/>
        <rFont val="Calibri"/>
        <family val="2"/>
        <scheme val="minor"/>
      </rPr>
      <t>n</t>
    </r>
  </si>
  <si>
    <t>Profshcorpnipan*Rcorpnipan  (1967 onward)</t>
  </si>
  <si>
    <t>Profshcorpnipan*Rcorp'n</t>
  </si>
  <si>
    <r>
      <t>Rcorp'/u</t>
    </r>
    <r>
      <rPr>
        <vertAlign val="subscript"/>
        <sz val="9"/>
        <color theme="1"/>
        <rFont val="Calibri"/>
        <family val="2"/>
        <scheme val="minor"/>
      </rPr>
      <t>K</t>
    </r>
  </si>
  <si>
    <r>
      <t>Profshcorpnipa</t>
    </r>
    <r>
      <rPr>
        <b/>
        <vertAlign val="subscript"/>
        <sz val="9"/>
        <color rgb="FFFF0000"/>
        <rFont val="Calibri"/>
        <family val="2"/>
        <scheme val="minor"/>
      </rPr>
      <t>n</t>
    </r>
  </si>
  <si>
    <r>
      <t>Profshcorp</t>
    </r>
    <r>
      <rPr>
        <b/>
        <vertAlign val="subscript"/>
        <sz val="9"/>
        <color rgb="FFFF0000"/>
        <rFont val="Calibri"/>
        <family val="2"/>
        <scheme val="minor"/>
      </rPr>
      <t>n</t>
    </r>
  </si>
  <si>
    <r>
      <t>gProfshcorp</t>
    </r>
    <r>
      <rPr>
        <vertAlign val="subscript"/>
        <sz val="9"/>
        <color theme="1"/>
        <rFont val="Times New Roman"/>
        <family val="1"/>
      </rPr>
      <t>n</t>
    </r>
  </si>
  <si>
    <t>Appendix Table 6..8.I-3</t>
  </si>
  <si>
    <t>Appendix Table 6..8.I-4</t>
  </si>
  <si>
    <t>Appendix Table 6..8.I-5</t>
  </si>
  <si>
    <t>See derivation in Appendix 6.7.VI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</si>
</sst>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_(* #,##0.0_);_(* \(#,##0.0\);_(* &quot;-&quot;??_);_(@_)"/>
    <numFmt numFmtId="167" formatCode="0.0%"/>
    <numFmt numFmtId="168" formatCode="0.000"/>
    <numFmt numFmtId="169" formatCode="0.0000"/>
    <numFmt numFmtId="170" formatCode="#,##0&quot; &quot;;\-#,##0&quot; &quot;;&quot;-- &quot;;@&quot; &quot;"/>
    <numFmt numFmtId="171" formatCode="#,##0\ \ ;\-#,##0\ \ ;\-\-\-\-\ \ ;@\ \ "/>
    <numFmt numFmtId="172" formatCode="0.000%"/>
  </numFmts>
  <fonts count="52" x14ac:knownFonts="1">
    <font>
      <sz val="11"/>
      <color theme="1"/>
      <name val="Calibri"/>
      <family val="2"/>
      <scheme val="minor"/>
    </font>
    <font>
      <sz val="11"/>
      <color theme="1"/>
      <name val="Calibri"/>
      <family val="2"/>
      <scheme val="minor"/>
    </font>
    <font>
      <b/>
      <sz val="11"/>
      <color theme="1"/>
      <name val="Calibri"/>
      <family val="2"/>
      <scheme val="minor"/>
    </font>
    <font>
      <i/>
      <sz val="9"/>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b/>
      <i/>
      <sz val="9"/>
      <color theme="1"/>
      <name val="Calibri"/>
      <family val="2"/>
      <scheme val="minor"/>
    </font>
    <font>
      <sz val="9"/>
      <color theme="1"/>
      <name val="Symbol"/>
      <family val="1"/>
      <charset val="2"/>
    </font>
    <font>
      <b/>
      <i/>
      <sz val="10"/>
      <color theme="1"/>
      <name val="Calibri"/>
      <family val="2"/>
      <scheme val="minor"/>
    </font>
    <font>
      <b/>
      <sz val="8"/>
      <color indexed="81"/>
      <name val="Tahoma"/>
      <family val="2"/>
    </font>
    <font>
      <sz val="8"/>
      <color indexed="81"/>
      <name val="Tahoma"/>
      <family val="2"/>
    </font>
    <font>
      <u/>
      <sz val="8"/>
      <color indexed="81"/>
      <name val="Tahoma"/>
      <family val="2"/>
    </font>
    <font>
      <b/>
      <sz val="9"/>
      <color indexed="81"/>
      <name val="Tahoma"/>
      <family val="2"/>
    </font>
    <font>
      <sz val="9"/>
      <color indexed="81"/>
      <name val="Tahoma"/>
      <family val="2"/>
    </font>
    <font>
      <sz val="10"/>
      <name val="Arial"/>
      <family val="2"/>
    </font>
    <font>
      <sz val="9"/>
      <color theme="1"/>
      <name val="Calibri"/>
      <family val="2"/>
    </font>
    <font>
      <sz val="9"/>
      <color theme="1"/>
      <name val="Times New Roman"/>
      <family val="1"/>
    </font>
    <font>
      <i/>
      <sz val="9"/>
      <color rgb="FF000000"/>
      <name val="Calibri"/>
      <family val="2"/>
      <scheme val="minor"/>
    </font>
    <font>
      <sz val="9"/>
      <color rgb="FF000000"/>
      <name val="Calibri"/>
      <family val="2"/>
      <scheme val="minor"/>
    </font>
    <font>
      <b/>
      <sz val="10"/>
      <color theme="1"/>
      <name val="Times New Roman"/>
      <family val="1"/>
    </font>
    <font>
      <sz val="10"/>
      <color theme="1"/>
      <name val="Times New Roman"/>
      <family val="1"/>
    </font>
    <font>
      <sz val="10"/>
      <color theme="1"/>
      <name val="Calibri"/>
      <family val="2"/>
      <scheme val="minor"/>
    </font>
    <font>
      <sz val="9"/>
      <color theme="1"/>
      <name val="Euclid Symbol"/>
      <family val="1"/>
      <charset val="2"/>
    </font>
    <font>
      <vertAlign val="subscript"/>
      <sz val="9"/>
      <color theme="1"/>
      <name val="Calibri"/>
      <family val="2"/>
      <scheme val="minor"/>
    </font>
    <font>
      <b/>
      <sz val="9"/>
      <color rgb="FF000000"/>
      <name val="Calibri"/>
      <family val="2"/>
      <scheme val="minor"/>
    </font>
    <font>
      <b/>
      <i/>
      <sz val="9"/>
      <color rgb="FF000000"/>
      <name val="Calibri"/>
      <family val="2"/>
      <scheme val="minor"/>
    </font>
    <font>
      <b/>
      <sz val="9"/>
      <color theme="1"/>
      <name val="Times New Roman"/>
      <family val="1"/>
    </font>
    <font>
      <u/>
      <sz val="11"/>
      <color theme="10"/>
      <name val="Calibri"/>
      <family val="2"/>
      <scheme val="minor"/>
    </font>
    <font>
      <u/>
      <sz val="9"/>
      <color theme="10"/>
      <name val="Calibri"/>
      <family val="2"/>
      <scheme val="minor"/>
    </font>
    <font>
      <i/>
      <sz val="11"/>
      <color theme="1"/>
      <name val="Calibri"/>
      <family val="2"/>
      <scheme val="minor"/>
    </font>
    <font>
      <b/>
      <sz val="9"/>
      <color theme="1"/>
      <name val="Calibri"/>
      <family val="2"/>
    </font>
    <font>
      <i/>
      <sz val="10"/>
      <color theme="1"/>
      <name val="Calibri"/>
      <family val="2"/>
      <scheme val="minor"/>
    </font>
    <font>
      <b/>
      <sz val="9"/>
      <color rgb="FFFF0000"/>
      <name val="Calibri"/>
      <family val="2"/>
      <scheme val="minor"/>
    </font>
    <font>
      <b/>
      <sz val="8"/>
      <color rgb="FF000000"/>
      <name val="Tahoma"/>
      <family val="2"/>
    </font>
    <font>
      <sz val="8"/>
      <color rgb="FF000000"/>
      <name val="Tahoma"/>
      <family val="2"/>
    </font>
    <font>
      <b/>
      <sz val="14"/>
      <color rgb="FFFF0000"/>
      <name val="Calibri"/>
      <family val="2"/>
      <scheme val="minor"/>
    </font>
    <font>
      <sz val="9"/>
      <name val="Calibri"/>
      <family val="2"/>
      <scheme val="minor"/>
    </font>
    <font>
      <sz val="11"/>
      <color theme="1"/>
      <name val="Calibri"/>
      <family val="2"/>
    </font>
    <font>
      <sz val="9"/>
      <color rgb="FF000000"/>
      <name val="Calibri"/>
      <family val="2"/>
    </font>
    <font>
      <b/>
      <i/>
      <sz val="9"/>
      <name val="Calibri"/>
      <family val="2"/>
      <scheme val="minor"/>
    </font>
    <font>
      <i/>
      <sz val="9"/>
      <name val="Calibri"/>
      <family val="2"/>
      <scheme val="minor"/>
    </font>
    <font>
      <i/>
      <sz val="9"/>
      <color rgb="FF000000"/>
      <name val="Calibri"/>
      <family val="2"/>
    </font>
    <font>
      <b/>
      <sz val="11"/>
      <name val="Calibri"/>
      <family val="2"/>
      <scheme val="minor"/>
    </font>
    <font>
      <sz val="9"/>
      <name val="Arial"/>
      <family val="2"/>
    </font>
    <font>
      <b/>
      <sz val="11"/>
      <color rgb="FFC00000"/>
      <name val="Calibri"/>
      <family val="2"/>
      <scheme val="minor"/>
    </font>
    <font>
      <sz val="11"/>
      <name val="Calibri"/>
      <family val="2"/>
      <scheme val="minor"/>
    </font>
    <font>
      <vertAlign val="subscript"/>
      <sz val="9"/>
      <color theme="1"/>
      <name val="Times New Roman"/>
      <family val="1"/>
    </font>
    <font>
      <sz val="11"/>
      <color rgb="FF000000"/>
      <name val="Calibri"/>
      <family val="2"/>
      <scheme val="minor"/>
    </font>
    <font>
      <vertAlign val="subscript"/>
      <sz val="9"/>
      <color rgb="FF000000"/>
      <name val="Calibri"/>
      <family val="2"/>
      <scheme val="minor"/>
    </font>
    <font>
      <b/>
      <vertAlign val="subscript"/>
      <sz val="9"/>
      <color rgb="FFFF0000"/>
      <name val="Calibri"/>
      <family val="2"/>
      <scheme val="minor"/>
    </font>
    <font>
      <sz val="9"/>
      <color rgb="FFFF0000"/>
      <name val="Calibri"/>
      <family val="2"/>
      <scheme val="minor"/>
    </font>
  </fonts>
  <fills count="13">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00"/>
        <bgColor rgb="FF000000"/>
      </patternFill>
    </fill>
    <fill>
      <patternFill patternType="solid">
        <fgColor theme="0" tint="-0.14996795556505021"/>
        <bgColor rgb="FF000000"/>
      </patternFill>
    </fill>
    <fill>
      <patternFill patternType="solid">
        <fgColor rgb="FFFFC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92D050"/>
        <bgColor indexed="64"/>
      </patternFill>
    </fill>
    <fill>
      <patternFill patternType="solid">
        <fgColor rgb="FFFFFF00"/>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28" fillId="0" borderId="0" applyNumberFormat="0" applyFill="0" applyBorder="0" applyAlignment="0" applyProtection="0"/>
  </cellStyleXfs>
  <cellXfs count="369">
    <xf numFmtId="0" fontId="0" fillId="0" borderId="0" xfId="0"/>
    <xf numFmtId="0" fontId="2" fillId="0" borderId="0" xfId="0" applyFont="1" applyAlignment="1">
      <alignment vertical="top"/>
    </xf>
    <xf numFmtId="0" fontId="0" fillId="0" borderId="0" xfId="0" applyAlignment="1">
      <alignment wrapText="1"/>
    </xf>
    <xf numFmtId="0" fontId="0" fillId="0" borderId="0" xfId="0" applyAlignment="1">
      <alignment horizontal="right"/>
    </xf>
    <xf numFmtId="0" fontId="3" fillId="0" borderId="0" xfId="0" applyFont="1" applyFill="1" applyAlignment="1"/>
    <xf numFmtId="0" fontId="3" fillId="0" borderId="0" xfId="0" applyFont="1" applyAlignment="1">
      <alignment horizontal="center" wrapText="1"/>
    </xf>
    <xf numFmtId="0" fontId="4" fillId="0" borderId="0" xfId="0" applyFont="1" applyAlignment="1">
      <alignment horizontal="right"/>
    </xf>
    <xf numFmtId="0" fontId="5" fillId="0" borderId="0" xfId="0" applyFont="1" applyAlignment="1">
      <alignment wrapText="1"/>
    </xf>
    <xf numFmtId="0" fontId="5" fillId="0" borderId="0" xfId="0" applyFont="1" applyAlignment="1">
      <alignment vertical="top" wrapText="1"/>
    </xf>
    <xf numFmtId="0" fontId="5"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5" fillId="2" borderId="0" xfId="0" applyFont="1" applyFill="1" applyAlignment="1">
      <alignment vertical="top" wrapText="1"/>
    </xf>
    <xf numFmtId="0" fontId="0" fillId="2" borderId="0" xfId="0" applyFill="1" applyAlignment="1">
      <alignment horizontal="right"/>
    </xf>
    <xf numFmtId="0" fontId="0" fillId="2" borderId="0" xfId="0" applyFill="1"/>
    <xf numFmtId="0" fontId="7" fillId="0" borderId="0" xfId="0" applyFont="1" applyAlignment="1">
      <alignment vertical="top" wrapText="1"/>
    </xf>
    <xf numFmtId="0" fontId="6" fillId="0" borderId="0" xfId="0" applyFont="1" applyFill="1" applyAlignment="1">
      <alignment vertical="top" wrapText="1"/>
    </xf>
    <xf numFmtId="0" fontId="6" fillId="0" borderId="0" xfId="0" applyFont="1" applyFill="1" applyAlignment="1">
      <alignment horizontal="left" vertical="top" wrapText="1"/>
    </xf>
    <xf numFmtId="0" fontId="5" fillId="2" borderId="0" xfId="0" applyFont="1" applyFill="1" applyAlignment="1">
      <alignment wrapText="1"/>
    </xf>
    <xf numFmtId="0" fontId="5" fillId="0" borderId="0" xfId="0" applyFont="1" applyFill="1" applyAlignment="1">
      <alignment vertical="top" wrapText="1"/>
    </xf>
    <xf numFmtId="0" fontId="6" fillId="2" borderId="0" xfId="0" applyFont="1" applyFill="1" applyAlignment="1">
      <alignment vertical="top" wrapText="1"/>
    </xf>
    <xf numFmtId="0" fontId="5" fillId="0" borderId="0" xfId="0" applyFont="1" applyAlignment="1" applyProtection="1">
      <alignment vertical="top" wrapText="1"/>
      <protection locked="0"/>
    </xf>
    <xf numFmtId="164" fontId="5" fillId="0" borderId="0" xfId="0" applyNumberFormat="1" applyFont="1" applyAlignment="1">
      <alignment vertical="top" wrapText="1"/>
    </xf>
    <xf numFmtId="164" fontId="5" fillId="0" borderId="0" xfId="0" applyNumberFormat="1" applyFont="1" applyAlignment="1">
      <alignment wrapText="1"/>
    </xf>
    <xf numFmtId="0" fontId="7" fillId="0" borderId="0" xfId="0" applyFont="1" applyAlignment="1">
      <alignment horizontal="left" vertical="top" wrapText="1"/>
    </xf>
    <xf numFmtId="1" fontId="5" fillId="0" borderId="0" xfId="0" applyNumberFormat="1" applyFont="1" applyAlignment="1">
      <alignment horizontal="left" vertical="top" wrapText="1"/>
    </xf>
    <xf numFmtId="1" fontId="5" fillId="0" borderId="0" xfId="0" applyNumberFormat="1" applyFont="1" applyAlignment="1">
      <alignment wrapText="1"/>
    </xf>
    <xf numFmtId="0" fontId="7" fillId="0" borderId="0" xfId="0" applyFont="1" applyAlignment="1">
      <alignment horizontal="left" wrapText="1"/>
    </xf>
    <xf numFmtId="0" fontId="5" fillId="0" borderId="0" xfId="0" applyFont="1" applyFill="1" applyAlignment="1">
      <alignment wrapText="1"/>
    </xf>
    <xf numFmtId="0" fontId="7" fillId="0" borderId="0" xfId="0" applyFont="1" applyAlignment="1">
      <alignment wrapText="1"/>
    </xf>
    <xf numFmtId="0" fontId="0" fillId="0" borderId="0" xfId="0" applyAlignment="1"/>
    <xf numFmtId="0" fontId="4" fillId="0" borderId="0" xfId="0" applyFont="1" applyFill="1" applyAlignment="1" applyProtection="1">
      <alignment wrapText="1"/>
      <protection locked="0"/>
    </xf>
    <xf numFmtId="164" fontId="5" fillId="0" borderId="0" xfId="0" quotePrefix="1" applyNumberFormat="1" applyFont="1" applyFill="1" applyAlignment="1" applyProtection="1">
      <alignment horizontal="left" wrapText="1"/>
      <protection locked="0"/>
    </xf>
    <xf numFmtId="0" fontId="4" fillId="0" borderId="0" xfId="0" applyFont="1" applyFill="1" applyAlignment="1">
      <alignment horizontal="left" wrapText="1"/>
    </xf>
    <xf numFmtId="164" fontId="5" fillId="0" borderId="0" xfId="0" applyNumberFormat="1" applyFont="1" applyFill="1" applyAlignment="1">
      <alignment horizontal="right" wrapText="1"/>
    </xf>
    <xf numFmtId="164" fontId="5" fillId="0" borderId="0" xfId="0" applyNumberFormat="1" applyFont="1" applyFill="1" applyAlignment="1">
      <alignment wrapText="1"/>
    </xf>
    <xf numFmtId="0" fontId="5" fillId="0" borderId="0" xfId="0" applyFont="1" applyFill="1" applyAlignment="1" applyProtection="1">
      <alignment horizontal="left" vertical="top" wrapText="1"/>
      <protection locked="0"/>
    </xf>
    <xf numFmtId="164" fontId="5" fillId="0" borderId="0" xfId="0" quotePrefix="1" applyNumberFormat="1" applyFont="1" applyFill="1" applyAlignment="1" applyProtection="1">
      <alignment vertical="top" wrapText="1"/>
      <protection locked="0"/>
    </xf>
    <xf numFmtId="164" fontId="5" fillId="0" borderId="0" xfId="0" applyNumberFormat="1" applyFont="1" applyFill="1" applyAlignment="1">
      <alignment vertical="top" wrapText="1"/>
    </xf>
    <xf numFmtId="0" fontId="5" fillId="0" borderId="0" xfId="0" applyFont="1" applyFill="1" applyAlignment="1" applyProtection="1">
      <alignment vertical="top" wrapText="1"/>
      <protection locked="0"/>
    </xf>
    <xf numFmtId="0" fontId="4" fillId="0" borderId="0" xfId="0" applyFont="1" applyFill="1" applyAlignment="1" applyProtection="1">
      <alignment horizontal="left" vertical="top" wrapText="1"/>
      <protection locked="0"/>
    </xf>
    <xf numFmtId="0" fontId="4" fillId="0" borderId="0" xfId="0" applyFont="1" applyFill="1" applyAlignment="1" applyProtection="1">
      <alignment vertical="top" wrapText="1"/>
      <protection locked="0"/>
    </xf>
    <xf numFmtId="0" fontId="5" fillId="0" borderId="0" xfId="0" applyFont="1" applyFill="1" applyAlignment="1" applyProtection="1">
      <alignment horizontal="left" wrapText="1"/>
      <protection locked="0"/>
    </xf>
    <xf numFmtId="164" fontId="5" fillId="0" borderId="0" xfId="0" quotePrefix="1" applyNumberFormat="1" applyFont="1" applyFill="1" applyAlignment="1" applyProtection="1">
      <alignment wrapText="1"/>
      <protection locked="0"/>
    </xf>
    <xf numFmtId="0" fontId="5" fillId="0" borderId="0" xfId="0" applyFont="1" applyFill="1" applyAlignment="1" applyProtection="1">
      <alignment wrapText="1"/>
      <protection locked="0"/>
    </xf>
    <xf numFmtId="0" fontId="7" fillId="0" borderId="0" xfId="0" applyFont="1" applyFill="1" applyAlignment="1" applyProtection="1">
      <alignment horizontal="left" vertical="top" wrapText="1"/>
      <protection locked="0"/>
    </xf>
    <xf numFmtId="0" fontId="7" fillId="0" borderId="0" xfId="0" applyFont="1" applyFill="1" applyAlignment="1" applyProtection="1">
      <alignment vertical="top" wrapText="1"/>
      <protection locked="0"/>
    </xf>
    <xf numFmtId="0" fontId="6" fillId="0" borderId="0" xfId="0" applyFont="1" applyFill="1" applyAlignment="1" applyProtection="1">
      <alignment wrapText="1"/>
      <protection locked="0"/>
    </xf>
    <xf numFmtId="0" fontId="6" fillId="0" borderId="0" xfId="0" applyFont="1" applyFill="1" applyAlignment="1">
      <alignment wrapText="1"/>
    </xf>
    <xf numFmtId="0" fontId="6" fillId="0" borderId="0" xfId="0" applyFont="1" applyFill="1" applyAlignment="1" applyProtection="1">
      <alignment horizontal="left" wrapText="1"/>
      <protection locked="0"/>
    </xf>
    <xf numFmtId="0" fontId="6" fillId="0" borderId="0" xfId="0" applyFont="1" applyFill="1" applyAlignment="1">
      <alignment horizontal="left" wrapText="1"/>
    </xf>
    <xf numFmtId="0" fontId="4" fillId="0" borderId="0" xfId="0" applyFont="1" applyAlignment="1">
      <alignment vertical="top"/>
    </xf>
    <xf numFmtId="0" fontId="5" fillId="0" borderId="0" xfId="0" applyFont="1"/>
    <xf numFmtId="0" fontId="4" fillId="0" borderId="0" xfId="0" applyFont="1" applyAlignment="1">
      <alignment horizontal="left"/>
    </xf>
    <xf numFmtId="0" fontId="5" fillId="0" borderId="0" xfId="0" applyFont="1" applyAlignment="1">
      <alignment horizontal="right"/>
    </xf>
    <xf numFmtId="0" fontId="3" fillId="0" borderId="0" xfId="0" applyFont="1" applyAlignment="1">
      <alignment horizontal="center"/>
    </xf>
    <xf numFmtId="0" fontId="3" fillId="0" borderId="0" xfId="0" applyFont="1" applyAlignment="1">
      <alignment horizontal="left"/>
    </xf>
    <xf numFmtId="0" fontId="4" fillId="0" borderId="0" xfId="0" applyFont="1"/>
    <xf numFmtId="0" fontId="5" fillId="0" borderId="0" xfId="0" applyFont="1" applyAlignment="1">
      <alignment horizontal="left" vertical="top"/>
    </xf>
    <xf numFmtId="0" fontId="5" fillId="0" borderId="0" xfId="0" applyFont="1" applyAlignment="1">
      <alignment horizontal="left"/>
    </xf>
    <xf numFmtId="0" fontId="0" fillId="0" borderId="0" xfId="0" applyAlignment="1">
      <alignment horizontal="left"/>
    </xf>
    <xf numFmtId="164" fontId="5" fillId="0" borderId="0" xfId="0" applyNumberFormat="1" applyFont="1" applyAlignment="1">
      <alignment horizontal="left"/>
    </xf>
    <xf numFmtId="165" fontId="5" fillId="0" borderId="0" xfId="1" applyNumberFormat="1" applyFont="1" applyAlignment="1">
      <alignment horizontal="left"/>
    </xf>
    <xf numFmtId="166" fontId="5" fillId="0" borderId="0" xfId="1" applyNumberFormat="1" applyFont="1" applyAlignment="1">
      <alignment horizontal="left"/>
    </xf>
    <xf numFmtId="0" fontId="4" fillId="2" borderId="0" xfId="0" applyFont="1" applyFill="1" applyAlignment="1">
      <alignment horizontal="left" vertical="top" wrapText="1"/>
    </xf>
    <xf numFmtId="0" fontId="5" fillId="2" borderId="0" xfId="0" applyFont="1" applyFill="1" applyAlignment="1">
      <alignment horizontal="left" vertical="top"/>
    </xf>
    <xf numFmtId="0" fontId="5" fillId="2" borderId="0" xfId="0" applyFont="1" applyFill="1" applyAlignment="1">
      <alignment horizontal="left"/>
    </xf>
    <xf numFmtId="164" fontId="5" fillId="2" borderId="0" xfId="0" applyNumberFormat="1" applyFont="1" applyFill="1" applyAlignment="1">
      <alignment horizontal="left"/>
    </xf>
    <xf numFmtId="0" fontId="0" fillId="2" borderId="0" xfId="0" applyFill="1" applyAlignment="1">
      <alignment horizontal="left"/>
    </xf>
    <xf numFmtId="0" fontId="8" fillId="0" borderId="0" xfId="0" applyFont="1" applyAlignment="1">
      <alignment horizontal="left"/>
    </xf>
    <xf numFmtId="2" fontId="5" fillId="0" borderId="0" xfId="0" applyNumberFormat="1" applyFont="1" applyAlignment="1">
      <alignment horizontal="left"/>
    </xf>
    <xf numFmtId="164" fontId="5" fillId="0" borderId="0" xfId="0" applyNumberFormat="1" applyFont="1" applyFill="1" applyAlignment="1">
      <alignment horizontal="left"/>
    </xf>
    <xf numFmtId="0" fontId="5" fillId="0" borderId="0" xfId="0" applyFont="1" applyFill="1" applyAlignment="1">
      <alignment horizontal="left" vertical="top" wrapText="1"/>
    </xf>
    <xf numFmtId="164" fontId="5" fillId="0" borderId="0" xfId="0" applyNumberFormat="1" applyFont="1" applyAlignment="1">
      <alignment horizontal="left" vertical="top" wrapText="1"/>
    </xf>
    <xf numFmtId="0" fontId="5" fillId="0" borderId="0" xfId="0" applyFont="1" applyFill="1" applyAlignment="1">
      <alignment horizontal="left"/>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xf>
    <xf numFmtId="0" fontId="5" fillId="0" borderId="0" xfId="0" applyFont="1" applyFill="1"/>
    <xf numFmtId="164" fontId="5" fillId="0" borderId="0" xfId="0" applyNumberFormat="1" applyFont="1"/>
    <xf numFmtId="164" fontId="5" fillId="0" borderId="0" xfId="0" applyNumberFormat="1" applyFont="1" applyAlignment="1" applyProtection="1">
      <alignment wrapText="1"/>
      <protection locked="0"/>
    </xf>
    <xf numFmtId="0" fontId="5" fillId="2" borderId="0" xfId="0" applyFont="1" applyFill="1"/>
    <xf numFmtId="164" fontId="5" fillId="0" borderId="0" xfId="0" applyNumberFormat="1" applyFont="1" applyFill="1"/>
    <xf numFmtId="0" fontId="4" fillId="0" borderId="0" xfId="0" applyFont="1" applyFill="1"/>
    <xf numFmtId="0" fontId="5" fillId="0" borderId="0" xfId="0" applyFont="1" applyFill="1" applyAlignment="1">
      <alignment horizontal="left" wrapText="1"/>
    </xf>
    <xf numFmtId="164" fontId="5" fillId="2" borderId="0" xfId="0" applyNumberFormat="1" applyFont="1" applyFill="1"/>
    <xf numFmtId="0" fontId="9" fillId="0" borderId="0" xfId="0" applyFont="1" applyFill="1" applyAlignment="1">
      <alignment horizontal="left"/>
    </xf>
    <xf numFmtId="0" fontId="7" fillId="0" borderId="0" xfId="0" applyFont="1" applyFill="1" applyAlignment="1">
      <alignment horizontal="center"/>
    </xf>
    <xf numFmtId="0" fontId="5" fillId="0" borderId="0" xfId="0" applyFont="1" applyAlignment="1" applyProtection="1">
      <alignment wrapText="1"/>
      <protection locked="0"/>
    </xf>
    <xf numFmtId="167" fontId="5" fillId="0" borderId="0" xfId="2" applyNumberFormat="1" applyFont="1"/>
    <xf numFmtId="0" fontId="3" fillId="0" borderId="0" xfId="0" applyFont="1" applyAlignment="1">
      <alignment horizontal="left" wrapText="1"/>
    </xf>
    <xf numFmtId="164" fontId="5" fillId="0" borderId="0" xfId="0" applyNumberFormat="1" applyFont="1" applyFill="1" applyAlignment="1">
      <alignment horizontal="left" wrapText="1"/>
    </xf>
    <xf numFmtId="0" fontId="17" fillId="0" borderId="0" xfId="0" applyFont="1"/>
    <xf numFmtId="0" fontId="6" fillId="0" borderId="0" xfId="0" applyFont="1"/>
    <xf numFmtId="0" fontId="2" fillId="0" borderId="0" xfId="0" applyFont="1"/>
    <xf numFmtId="0" fontId="18" fillId="0" borderId="0" xfId="0" applyFont="1" applyBorder="1" applyAlignment="1">
      <alignment horizontal="center" vertical="top" wrapText="1"/>
    </xf>
    <xf numFmtId="0" fontId="19" fillId="0" borderId="0" xfId="0" applyFont="1" applyBorder="1" applyAlignment="1">
      <alignment vertical="top" wrapText="1"/>
    </xf>
    <xf numFmtId="0" fontId="19" fillId="2" borderId="0" xfId="0" applyFont="1" applyFill="1" applyBorder="1" applyAlignment="1">
      <alignment vertical="top" wrapText="1"/>
    </xf>
    <xf numFmtId="2" fontId="5" fillId="0" borderId="0" xfId="0" applyNumberFormat="1" applyFont="1"/>
    <xf numFmtId="0" fontId="7" fillId="0" borderId="0" xfId="0" applyFont="1"/>
    <xf numFmtId="10" fontId="5" fillId="0" borderId="0" xfId="0" applyNumberFormat="1" applyFont="1"/>
    <xf numFmtId="0" fontId="4" fillId="0" borderId="0" xfId="0" applyFont="1" applyAlignment="1" applyProtection="1">
      <alignment vertical="top" wrapText="1"/>
      <protection locked="0"/>
    </xf>
    <xf numFmtId="43" fontId="5" fillId="0" borderId="0" xfId="0" applyNumberFormat="1" applyFont="1"/>
    <xf numFmtId="10" fontId="5" fillId="0" borderId="0" xfId="0" applyNumberFormat="1" applyFont="1" applyAlignment="1">
      <alignment wrapText="1"/>
    </xf>
    <xf numFmtId="43" fontId="5" fillId="2" borderId="0" xfId="0" applyNumberFormat="1" applyFont="1" applyFill="1"/>
    <xf numFmtId="168" fontId="5" fillId="0" borderId="0" xfId="0" applyNumberFormat="1" applyFont="1"/>
    <xf numFmtId="0" fontId="3" fillId="0" borderId="0" xfId="0" applyFont="1" applyAlignment="1">
      <alignment vertical="top"/>
    </xf>
    <xf numFmtId="0" fontId="5" fillId="0" borderId="0" xfId="0" applyFont="1" applyAlignment="1">
      <alignment vertical="top"/>
    </xf>
    <xf numFmtId="0" fontId="0" fillId="0" borderId="0" xfId="0" applyAlignment="1">
      <alignment vertical="top"/>
    </xf>
    <xf numFmtId="164" fontId="5" fillId="0" borderId="0" xfId="0" applyNumberFormat="1" applyFont="1" applyAlignment="1">
      <alignment vertical="top"/>
    </xf>
    <xf numFmtId="0" fontId="20" fillId="0" borderId="0" xfId="0" applyFont="1"/>
    <xf numFmtId="0" fontId="21" fillId="0" borderId="0" xfId="0" applyFont="1"/>
    <xf numFmtId="0" fontId="21" fillId="0" borderId="0" xfId="0" applyFont="1" applyFill="1" applyAlignment="1">
      <alignment vertical="top"/>
    </xf>
    <xf numFmtId="4" fontId="5" fillId="0" borderId="0" xfId="0" applyNumberFormat="1" applyFont="1"/>
    <xf numFmtId="0" fontId="5" fillId="0" borderId="0" xfId="0" applyFont="1" applyAlignment="1">
      <alignment vertical="center" wrapText="1"/>
    </xf>
    <xf numFmtId="4" fontId="5" fillId="0" borderId="0" xfId="0" applyNumberFormat="1" applyFont="1" applyAlignment="1">
      <alignment vertical="center" wrapText="1"/>
    </xf>
    <xf numFmtId="10" fontId="5" fillId="0" borderId="0" xfId="2" applyNumberFormat="1" applyFont="1"/>
    <xf numFmtId="10" fontId="5" fillId="0" borderId="0" xfId="2" applyNumberFormat="1" applyFont="1" applyAlignment="1">
      <alignment horizontal="center"/>
    </xf>
    <xf numFmtId="0" fontId="22" fillId="0" borderId="0" xfId="0" applyFont="1" applyAlignment="1">
      <alignment horizontal="left"/>
    </xf>
    <xf numFmtId="0" fontId="0" fillId="0" borderId="0" xfId="0" applyBorder="1"/>
    <xf numFmtId="0" fontId="4" fillId="0" borderId="0" xfId="0" applyFont="1" applyBorder="1"/>
    <xf numFmtId="0" fontId="5" fillId="0" borderId="0" xfId="0" applyFont="1" applyBorder="1" applyAlignment="1">
      <alignment vertical="top"/>
    </xf>
    <xf numFmtId="164" fontId="5" fillId="0" borderId="0" xfId="0" applyNumberFormat="1" applyFont="1" applyBorder="1" applyAlignment="1">
      <alignment vertical="top"/>
    </xf>
    <xf numFmtId="0" fontId="0" fillId="2" borderId="0" xfId="0" applyFill="1" applyBorder="1"/>
    <xf numFmtId="2" fontId="5" fillId="0" borderId="0" xfId="0" applyNumberFormat="1" applyFont="1" applyBorder="1" applyAlignment="1">
      <alignment vertical="top"/>
    </xf>
    <xf numFmtId="0" fontId="5" fillId="0" borderId="0" xfId="0" applyFont="1" applyBorder="1"/>
    <xf numFmtId="0" fontId="3" fillId="0" borderId="0" xfId="0" applyFont="1" applyBorder="1" applyAlignment="1">
      <alignment vertical="top"/>
    </xf>
    <xf numFmtId="0" fontId="5" fillId="0" borderId="0" xfId="0" applyFont="1" applyBorder="1" applyAlignment="1">
      <alignment vertical="top" wrapText="1"/>
    </xf>
    <xf numFmtId="0" fontId="5" fillId="0" borderId="0" xfId="0" applyFont="1" applyFill="1" applyAlignment="1">
      <alignment vertical="top"/>
    </xf>
    <xf numFmtId="10" fontId="5" fillId="0" borderId="0" xfId="2" applyNumberFormat="1" applyFont="1" applyAlignment="1">
      <alignment vertical="top" wrapText="1"/>
    </xf>
    <xf numFmtId="10" fontId="5" fillId="2" borderId="0" xfId="2" applyNumberFormat="1" applyFont="1" applyFill="1"/>
    <xf numFmtId="0" fontId="5" fillId="0" borderId="0" xfId="0" applyFont="1" applyFill="1" applyAlignment="1">
      <alignment horizontal="center" vertical="center" wrapText="1"/>
    </xf>
    <xf numFmtId="0" fontId="25" fillId="0" borderId="1" xfId="0" applyFont="1" applyFill="1" applyBorder="1"/>
    <xf numFmtId="0" fontId="19" fillId="0" borderId="2" xfId="0" applyFont="1" applyFill="1" applyBorder="1"/>
    <xf numFmtId="0" fontId="19" fillId="0" borderId="3" xfId="0" applyFont="1" applyFill="1" applyBorder="1"/>
    <xf numFmtId="0" fontId="25" fillId="0" borderId="4" xfId="0" applyFont="1" applyFill="1" applyBorder="1" applyAlignment="1">
      <alignment horizontal="center" wrapText="1"/>
    </xf>
    <xf numFmtId="0" fontId="25" fillId="0" borderId="4" xfId="0" applyFont="1" applyFill="1" applyBorder="1" applyAlignment="1">
      <alignment horizontal="left" wrapText="1"/>
    </xf>
    <xf numFmtId="0" fontId="26" fillId="0" borderId="4" xfId="0" applyFont="1" applyFill="1" applyBorder="1" applyAlignment="1">
      <alignment vertical="top" wrapText="1"/>
    </xf>
    <xf numFmtId="10" fontId="19" fillId="0" borderId="4" xfId="2" applyNumberFormat="1" applyFont="1" applyFill="1" applyBorder="1" applyAlignment="1">
      <alignment horizontal="left"/>
    </xf>
    <xf numFmtId="0" fontId="17" fillId="0" borderId="0" xfId="0" applyFont="1" applyFill="1"/>
    <xf numFmtId="0" fontId="27" fillId="0" borderId="0" xfId="0" applyFont="1" applyFill="1" applyAlignment="1">
      <alignment vertical="top" wrapText="1"/>
    </xf>
    <xf numFmtId="0" fontId="27" fillId="0" borderId="0" xfId="0" applyFont="1" applyFill="1"/>
    <xf numFmtId="0" fontId="17" fillId="0" borderId="0" xfId="0" applyFont="1" applyAlignment="1">
      <alignment wrapText="1"/>
    </xf>
    <xf numFmtId="10" fontId="17" fillId="0" borderId="0" xfId="2" applyNumberFormat="1" applyFont="1"/>
    <xf numFmtId="0" fontId="17" fillId="2" borderId="0" xfId="0" applyFont="1" applyFill="1" applyAlignment="1">
      <alignment vertical="top"/>
    </xf>
    <xf numFmtId="169" fontId="5" fillId="0" borderId="0" xfId="0" applyNumberFormat="1" applyFont="1"/>
    <xf numFmtId="0" fontId="0" fillId="0" borderId="0" xfId="0" applyFont="1" applyAlignment="1">
      <alignment vertical="top"/>
    </xf>
    <xf numFmtId="0" fontId="0" fillId="0" borderId="0" xfId="0" applyFont="1" applyAlignment="1">
      <alignment horizontal="left" vertical="top"/>
    </xf>
    <xf numFmtId="0" fontId="30" fillId="0" borderId="0" xfId="0" applyFont="1"/>
    <xf numFmtId="0" fontId="5" fillId="3" borderId="0" xfId="0" applyFont="1" applyFill="1" applyAlignment="1">
      <alignment vertical="top" wrapText="1"/>
    </xf>
    <xf numFmtId="0" fontId="19" fillId="0" borderId="0" xfId="0" applyFont="1"/>
    <xf numFmtId="10" fontId="3" fillId="0" borderId="0" xfId="0" applyNumberFormat="1" applyFont="1" applyAlignment="1">
      <alignment horizontal="left"/>
    </xf>
    <xf numFmtId="164" fontId="5" fillId="4" borderId="0" xfId="0" applyNumberFormat="1" applyFont="1" applyFill="1"/>
    <xf numFmtId="164" fontId="5" fillId="4" borderId="0" xfId="0" applyNumberFormat="1" applyFont="1" applyFill="1" applyAlignment="1">
      <alignment wrapText="1"/>
    </xf>
    <xf numFmtId="2" fontId="5" fillId="0" borderId="0" xfId="0" applyNumberFormat="1" applyFont="1" applyAlignment="1" applyProtection="1">
      <alignment wrapText="1"/>
      <protection locked="0"/>
    </xf>
    <xf numFmtId="10" fontId="5" fillId="5" borderId="0" xfId="2" applyNumberFormat="1" applyFont="1" applyFill="1"/>
    <xf numFmtId="10" fontId="7" fillId="0" borderId="0" xfId="0" applyNumberFormat="1" applyFont="1" applyFill="1" applyAlignment="1">
      <alignment horizontal="left"/>
    </xf>
    <xf numFmtId="0" fontId="7" fillId="0" borderId="0" xfId="0" applyFont="1" applyFill="1"/>
    <xf numFmtId="0" fontId="4" fillId="0" borderId="0" xfId="0" applyFont="1" applyFill="1" applyAlignment="1">
      <alignment vertical="top" wrapText="1"/>
    </xf>
    <xf numFmtId="164" fontId="16" fillId="0" borderId="0" xfId="1" applyNumberFormat="1" applyFont="1" applyFill="1" applyBorder="1"/>
    <xf numFmtId="164" fontId="16" fillId="0" borderId="0" xfId="2" applyNumberFormat="1" applyFont="1" applyFill="1" applyBorder="1"/>
    <xf numFmtId="164" fontId="16" fillId="0" borderId="0" xfId="0" applyNumberFormat="1" applyFont="1" applyFill="1" applyBorder="1"/>
    <xf numFmtId="2" fontId="5" fillId="0" borderId="0" xfId="0" applyNumberFormat="1" applyFont="1" applyFill="1"/>
    <xf numFmtId="168" fontId="5" fillId="0" borderId="0" xfId="0" applyNumberFormat="1" applyFont="1" applyFill="1"/>
    <xf numFmtId="0" fontId="5" fillId="0" borderId="0" xfId="0" applyFont="1" applyFill="1" applyAlignment="1">
      <alignment horizontal="center" vertical="top" wrapText="1"/>
    </xf>
    <xf numFmtId="164" fontId="5" fillId="0" borderId="0" xfId="0" applyNumberFormat="1" applyFont="1" applyAlignment="1"/>
    <xf numFmtId="0" fontId="5" fillId="0" borderId="0" xfId="0" applyFont="1" applyFill="1" applyAlignment="1"/>
    <xf numFmtId="10" fontId="5" fillId="0" borderId="0" xfId="2" applyNumberFormat="1" applyFont="1" applyAlignment="1"/>
    <xf numFmtId="2" fontId="5" fillId="4" borderId="0" xfId="0" applyNumberFormat="1" applyFont="1" applyFill="1" applyAlignment="1">
      <alignment vertical="top"/>
    </xf>
    <xf numFmtId="164" fontId="5" fillId="4" borderId="0" xfId="0" applyNumberFormat="1" applyFont="1" applyFill="1" applyAlignment="1">
      <alignment vertical="top"/>
    </xf>
    <xf numFmtId="0" fontId="33" fillId="0" borderId="0" xfId="0" applyFont="1" applyFill="1"/>
    <xf numFmtId="0" fontId="38" fillId="0" borderId="0" xfId="0" applyFont="1" applyFill="1" applyBorder="1"/>
    <xf numFmtId="164" fontId="0" fillId="0" borderId="0" xfId="0" applyNumberFormat="1" applyAlignment="1">
      <alignment horizontal="right"/>
    </xf>
    <xf numFmtId="164" fontId="0" fillId="0" borderId="0" xfId="0" applyNumberFormat="1"/>
    <xf numFmtId="0" fontId="16" fillId="0" borderId="0" xfId="0" applyFont="1" applyFill="1" applyBorder="1"/>
    <xf numFmtId="0" fontId="37" fillId="0" borderId="0" xfId="7" applyFont="1" applyAlignment="1">
      <alignment horizontal="right"/>
    </xf>
    <xf numFmtId="167" fontId="0" fillId="0" borderId="0" xfId="2" applyNumberFormat="1" applyFont="1"/>
    <xf numFmtId="167" fontId="0" fillId="0" borderId="0" xfId="2" applyNumberFormat="1" applyFont="1" applyAlignment="1">
      <alignment horizontal="right"/>
    </xf>
    <xf numFmtId="0" fontId="5" fillId="0" borderId="0" xfId="0" applyFont="1" applyFill="1" applyAlignment="1" applyProtection="1">
      <alignment horizontal="left"/>
      <protection locked="0"/>
    </xf>
    <xf numFmtId="0" fontId="0" fillId="0" borderId="0" xfId="0" applyFill="1"/>
    <xf numFmtId="167" fontId="5" fillId="0" borderId="0" xfId="2" applyNumberFormat="1" applyFont="1" applyFill="1" applyAlignment="1" applyProtection="1">
      <alignment wrapText="1"/>
      <protection locked="0"/>
    </xf>
    <xf numFmtId="0" fontId="5" fillId="0" borderId="0" xfId="0" applyFont="1" applyFill="1" applyAlignment="1">
      <alignment horizontal="left" vertical="top"/>
    </xf>
    <xf numFmtId="0" fontId="0" fillId="0" borderId="0" xfId="0" applyFill="1" applyAlignment="1">
      <alignment horizontal="left"/>
    </xf>
    <xf numFmtId="0" fontId="0" fillId="0" borderId="0" xfId="0" applyFont="1" applyFill="1" applyAlignment="1">
      <alignment horizontal="left"/>
    </xf>
    <xf numFmtId="0" fontId="40" fillId="0" borderId="0" xfId="0" applyFont="1" applyFill="1" applyAlignment="1">
      <alignment horizontal="left" vertical="top"/>
    </xf>
    <xf numFmtId="0" fontId="3" fillId="0" borderId="0" xfId="0" applyFont="1" applyAlignment="1">
      <alignment horizontal="center" vertical="top"/>
    </xf>
    <xf numFmtId="0" fontId="41" fillId="0" borderId="0" xfId="0" applyFont="1" applyFill="1" applyAlignment="1">
      <alignment horizontal="left" vertical="top"/>
    </xf>
    <xf numFmtId="0" fontId="0" fillId="0" borderId="0" xfId="0" applyFont="1"/>
    <xf numFmtId="0" fontId="0" fillId="0" borderId="0" xfId="0" applyFont="1" applyAlignment="1">
      <alignment horizontal="right"/>
    </xf>
    <xf numFmtId="164" fontId="5" fillId="0" borderId="0" xfId="0" applyNumberFormat="1" applyFont="1" applyFill="1" applyAlignment="1">
      <alignment horizontal="right"/>
    </xf>
    <xf numFmtId="0" fontId="16" fillId="0" borderId="0" xfId="0" applyFont="1" applyFill="1" applyBorder="1" applyAlignment="1">
      <alignment wrapText="1"/>
    </xf>
    <xf numFmtId="164" fontId="5" fillId="0" borderId="0" xfId="2" applyNumberFormat="1" applyFont="1"/>
    <xf numFmtId="164" fontId="37" fillId="0" borderId="0" xfId="0" applyNumberFormat="1" applyFont="1"/>
    <xf numFmtId="167" fontId="37" fillId="0" borderId="0" xfId="2" applyNumberFormat="1" applyFont="1"/>
    <xf numFmtId="164" fontId="5" fillId="0" borderId="0" xfId="0" applyNumberFormat="1" applyFont="1" applyFill="1" applyAlignment="1">
      <alignment horizontal="left" vertical="top"/>
    </xf>
    <xf numFmtId="0" fontId="0" fillId="0" borderId="0" xfId="0" applyFont="1" applyFill="1" applyAlignment="1">
      <alignment horizontal="left" vertical="top"/>
    </xf>
    <xf numFmtId="164" fontId="0" fillId="0" borderId="0" xfId="0" applyNumberFormat="1" applyAlignment="1">
      <alignment horizontal="left"/>
    </xf>
    <xf numFmtId="164" fontId="37" fillId="0" borderId="0" xfId="0" applyNumberFormat="1" applyFont="1" applyFill="1"/>
    <xf numFmtId="164" fontId="37" fillId="0" borderId="0" xfId="0" applyNumberFormat="1" applyFont="1" applyFill="1" applyAlignment="1">
      <alignment horizontal="right" wrapText="1"/>
    </xf>
    <xf numFmtId="167" fontId="37" fillId="0" borderId="0" xfId="0" applyNumberFormat="1" applyFont="1" applyAlignment="1">
      <alignment vertical="top"/>
    </xf>
    <xf numFmtId="0" fontId="36" fillId="0" borderId="0" xfId="0" applyFont="1" applyFill="1"/>
    <xf numFmtId="0" fontId="39" fillId="0" borderId="0" xfId="0" applyFont="1" applyFill="1" applyBorder="1"/>
    <xf numFmtId="0" fontId="5" fillId="0" borderId="0" xfId="0" applyFont="1" applyFill="1" applyBorder="1" applyAlignment="1">
      <alignment vertical="center"/>
    </xf>
    <xf numFmtId="0" fontId="5" fillId="0" borderId="0" xfId="0" quotePrefix="1" applyFont="1" applyFill="1" applyAlignment="1">
      <alignment wrapText="1"/>
    </xf>
    <xf numFmtId="0" fontId="9" fillId="0" borderId="0" xfId="0" applyFont="1" applyFill="1" applyAlignment="1">
      <alignment horizontal="left" vertical="top"/>
    </xf>
    <xf numFmtId="0" fontId="0" fillId="0" borderId="0" xfId="0" applyFill="1" applyAlignment="1">
      <alignment horizontal="left" vertical="top"/>
    </xf>
    <xf numFmtId="0" fontId="4" fillId="0" borderId="0" xfId="0" applyFont="1" applyFill="1" applyAlignment="1" applyProtection="1">
      <alignment horizontal="left" wrapText="1"/>
      <protection locked="0"/>
    </xf>
    <xf numFmtId="0" fontId="4" fillId="0" borderId="0" xfId="0" applyFont="1" applyFill="1" applyAlignment="1">
      <alignment horizontal="left" vertical="top"/>
    </xf>
    <xf numFmtId="0" fontId="37" fillId="0" borderId="0" xfId="0" applyFont="1" applyFill="1" applyAlignment="1">
      <alignment horizontal="left" vertical="top"/>
    </xf>
    <xf numFmtId="2" fontId="37" fillId="0" borderId="0" xfId="0" applyNumberFormat="1" applyFont="1" applyFill="1"/>
    <xf numFmtId="0" fontId="5" fillId="0" borderId="0" xfId="0" applyFont="1" applyAlignment="1">
      <alignment horizontal="left" wrapText="1"/>
    </xf>
    <xf numFmtId="10" fontId="5" fillId="0" borderId="0" xfId="2" applyNumberFormat="1" applyFont="1" applyFill="1"/>
    <xf numFmtId="10" fontId="17" fillId="0" borderId="0" xfId="0" applyNumberFormat="1" applyFont="1"/>
    <xf numFmtId="0" fontId="17" fillId="0" borderId="0" xfId="0" applyFont="1" applyFill="1" applyAlignment="1">
      <alignment wrapText="1"/>
    </xf>
    <xf numFmtId="0" fontId="26" fillId="7" borderId="4" xfId="0" applyFont="1" applyFill="1" applyBorder="1" applyAlignment="1">
      <alignment horizontal="left" wrapText="1"/>
    </xf>
    <xf numFmtId="10" fontId="19" fillId="7" borderId="4" xfId="2" applyNumberFormat="1" applyFont="1" applyFill="1" applyBorder="1" applyAlignment="1">
      <alignment horizontal="left"/>
    </xf>
    <xf numFmtId="0" fontId="19" fillId="0" borderId="0" xfId="0" applyFont="1" applyFill="1" applyBorder="1" applyAlignment="1">
      <alignment vertical="center"/>
    </xf>
    <xf numFmtId="0" fontId="24" fillId="0" borderId="0" xfId="0" applyFont="1" applyFill="1" applyAlignment="1">
      <alignment horizontal="center" vertical="center" wrapText="1"/>
    </xf>
    <xf numFmtId="164" fontId="0" fillId="0" borderId="0" xfId="0" applyNumberFormat="1" applyFont="1"/>
    <xf numFmtId="0" fontId="43" fillId="0" borderId="0" xfId="0" applyFont="1" applyFill="1" applyAlignment="1">
      <alignment horizontal="left" vertical="top"/>
    </xf>
    <xf numFmtId="170" fontId="37" fillId="0" borderId="5" xfId="0" applyNumberFormat="1" applyFont="1" applyFill="1" applyBorder="1" applyAlignment="1">
      <alignment horizontal="right"/>
    </xf>
    <xf numFmtId="170" fontId="37" fillId="9" borderId="5" xfId="0" applyNumberFormat="1" applyFont="1" applyFill="1" applyBorder="1" applyAlignment="1">
      <alignment horizontal="right"/>
    </xf>
    <xf numFmtId="170" fontId="5" fillId="0" borderId="0" xfId="0" applyNumberFormat="1" applyFont="1"/>
    <xf numFmtId="0" fontId="5" fillId="0" borderId="0" xfId="0" applyFont="1" applyFill="1" applyAlignment="1">
      <alignment horizontal="center" wrapText="1"/>
    </xf>
    <xf numFmtId="2" fontId="0" fillId="0" borderId="0" xfId="0" applyNumberFormat="1" applyAlignment="1">
      <alignment wrapText="1"/>
    </xf>
    <xf numFmtId="169" fontId="0" fillId="0" borderId="0" xfId="0" applyNumberFormat="1" applyAlignment="1">
      <alignment wrapText="1"/>
    </xf>
    <xf numFmtId="170" fontId="44" fillId="6" borderId="5" xfId="0" applyNumberFormat="1" applyFont="1" applyFill="1" applyBorder="1" applyAlignment="1">
      <alignment horizontal="right" wrapText="1"/>
    </xf>
    <xf numFmtId="170" fontId="44" fillId="0" borderId="5" xfId="0" applyNumberFormat="1" applyFont="1" applyFill="1" applyBorder="1" applyAlignment="1">
      <alignment horizontal="right" wrapText="1"/>
    </xf>
    <xf numFmtId="170" fontId="44" fillId="0" borderId="6" xfId="0" applyNumberFormat="1" applyFont="1" applyFill="1" applyBorder="1" applyAlignment="1">
      <alignment horizontal="right" wrapText="1"/>
    </xf>
    <xf numFmtId="170" fontId="44" fillId="0" borderId="7" xfId="0" applyNumberFormat="1" applyFont="1" applyFill="1" applyBorder="1" applyAlignment="1">
      <alignment horizontal="right" wrapText="1"/>
    </xf>
    <xf numFmtId="3" fontId="44" fillId="0" borderId="7" xfId="0" applyNumberFormat="1" applyFont="1" applyFill="1" applyBorder="1" applyAlignment="1">
      <alignment wrapText="1"/>
    </xf>
    <xf numFmtId="171" fontId="44" fillId="0" borderId="7" xfId="0" applyNumberFormat="1" applyFont="1" applyFill="1" applyBorder="1" applyAlignment="1">
      <alignment horizontal="right" wrapText="1"/>
    </xf>
    <xf numFmtId="3" fontId="44" fillId="0" borderId="5" xfId="0" applyNumberFormat="1" applyFont="1" applyFill="1" applyBorder="1" applyAlignment="1">
      <alignment wrapText="1"/>
    </xf>
    <xf numFmtId="170" fontId="44" fillId="0" borderId="5" xfId="0" applyNumberFormat="1" applyFont="1" applyFill="1" applyBorder="1" applyAlignment="1">
      <alignment horizontal="right"/>
    </xf>
    <xf numFmtId="170" fontId="44" fillId="0" borderId="6" xfId="0" applyNumberFormat="1" applyFont="1" applyFill="1" applyBorder="1" applyAlignment="1">
      <alignment horizontal="right"/>
    </xf>
    <xf numFmtId="170" fontId="44" fillId="0" borderId="7" xfId="0" applyNumberFormat="1" applyFont="1" applyFill="1" applyBorder="1" applyAlignment="1">
      <alignment horizontal="right"/>
    </xf>
    <xf numFmtId="3" fontId="44" fillId="0" borderId="7" xfId="0" applyNumberFormat="1" applyFont="1" applyFill="1" applyBorder="1" applyAlignment="1"/>
    <xf numFmtId="171" fontId="44" fillId="0" borderId="7" xfId="0" applyNumberFormat="1" applyFont="1" applyFill="1" applyBorder="1" applyAlignment="1">
      <alignment horizontal="right"/>
    </xf>
    <xf numFmtId="3" fontId="44" fillId="0" borderId="5" xfId="0" applyNumberFormat="1" applyFont="1" applyFill="1" applyBorder="1"/>
    <xf numFmtId="170" fontId="44" fillId="9" borderId="5" xfId="0" applyNumberFormat="1" applyFont="1" applyFill="1" applyBorder="1" applyAlignment="1">
      <alignment horizontal="right"/>
    </xf>
    <xf numFmtId="170" fontId="44" fillId="9" borderId="6" xfId="0" applyNumberFormat="1" applyFont="1" applyFill="1" applyBorder="1" applyAlignment="1">
      <alignment horizontal="right"/>
    </xf>
    <xf numFmtId="170" fontId="44" fillId="9" borderId="7" xfId="0" applyNumberFormat="1" applyFont="1" applyFill="1" applyBorder="1" applyAlignment="1">
      <alignment horizontal="right"/>
    </xf>
    <xf numFmtId="3" fontId="44" fillId="9" borderId="7" xfId="0" applyNumberFormat="1" applyFont="1" applyFill="1" applyBorder="1" applyAlignment="1"/>
    <xf numFmtId="171" fontId="44" fillId="9" borderId="7" xfId="0" applyNumberFormat="1" applyFont="1" applyFill="1" applyBorder="1" applyAlignment="1">
      <alignment horizontal="right"/>
    </xf>
    <xf numFmtId="3" fontId="44" fillId="9" borderId="5" xfId="0" applyNumberFormat="1" applyFont="1" applyFill="1" applyBorder="1"/>
    <xf numFmtId="0" fontId="45" fillId="0" borderId="0" xfId="0" applyFont="1" applyFill="1" applyAlignment="1">
      <alignment wrapText="1"/>
    </xf>
    <xf numFmtId="0" fontId="37" fillId="0" borderId="0" xfId="0" applyFont="1" applyFill="1" applyAlignment="1">
      <alignment wrapText="1"/>
    </xf>
    <xf numFmtId="2" fontId="37" fillId="0" borderId="0" xfId="0" applyNumberFormat="1" applyFont="1" applyFill="1" applyAlignment="1">
      <alignment wrapText="1"/>
    </xf>
    <xf numFmtId="169" fontId="37" fillId="0" borderId="0" xfId="0" applyNumberFormat="1" applyFont="1" applyFill="1" applyAlignment="1">
      <alignment wrapText="1"/>
    </xf>
    <xf numFmtId="2" fontId="5" fillId="0" borderId="0" xfId="0" applyNumberFormat="1" applyFont="1" applyAlignment="1"/>
    <xf numFmtId="168" fontId="5" fillId="0" borderId="0" xfId="0" applyNumberFormat="1" applyFont="1" applyAlignment="1"/>
    <xf numFmtId="0" fontId="37" fillId="8" borderId="0" xfId="0" applyFont="1" applyFill="1"/>
    <xf numFmtId="0" fontId="46" fillId="0" borderId="0" xfId="0" applyFont="1" applyFill="1" applyAlignment="1">
      <alignment vertical="center" wrapText="1"/>
    </xf>
    <xf numFmtId="2" fontId="0" fillId="0" borderId="0" xfId="0" applyNumberFormat="1" applyFill="1" applyAlignment="1">
      <alignment wrapText="1"/>
    </xf>
    <xf numFmtId="0" fontId="19" fillId="0" borderId="0" xfId="0" applyFont="1" applyFill="1" applyBorder="1"/>
    <xf numFmtId="0" fontId="5" fillId="0" borderId="0" xfId="0" applyFont="1" applyFill="1" applyAlignment="1">
      <alignment horizontal="left" vertical="center" wrapText="1"/>
    </xf>
    <xf numFmtId="2" fontId="5" fillId="0" borderId="0" xfId="2" applyNumberFormat="1" applyFont="1"/>
    <xf numFmtId="164" fontId="19" fillId="0" borderId="0" xfId="0" applyNumberFormat="1" applyFont="1" applyFill="1" applyBorder="1"/>
    <xf numFmtId="0" fontId="16" fillId="0" borderId="0" xfId="0" applyFont="1" applyFill="1" applyAlignment="1">
      <alignment horizontal="left" vertical="center" wrapText="1"/>
    </xf>
    <xf numFmtId="10" fontId="5" fillId="0" borderId="0" xfId="0" applyNumberFormat="1" applyFont="1" applyFill="1" applyAlignment="1">
      <alignment vertical="top" wrapText="1"/>
    </xf>
    <xf numFmtId="0" fontId="2" fillId="0" borderId="0" xfId="0" applyFont="1" applyAlignment="1">
      <alignment wrapText="1"/>
    </xf>
    <xf numFmtId="11" fontId="0" fillId="0" borderId="0" xfId="0" applyNumberFormat="1"/>
    <xf numFmtId="0" fontId="5" fillId="10" borderId="0" xfId="0" applyFont="1" applyFill="1" applyAlignment="1">
      <alignment vertical="top" wrapText="1"/>
    </xf>
    <xf numFmtId="1" fontId="4" fillId="0" borderId="0" xfId="0" applyNumberFormat="1" applyFont="1"/>
    <xf numFmtId="164" fontId="5" fillId="0" borderId="0" xfId="0" applyNumberFormat="1" applyFont="1" applyAlignment="1">
      <alignment horizontal="right"/>
    </xf>
    <xf numFmtId="0" fontId="4" fillId="0" borderId="0" xfId="0" applyFont="1" applyAlignment="1">
      <alignment horizontal="left" vertical="top"/>
    </xf>
    <xf numFmtId="172" fontId="21" fillId="0" borderId="0" xfId="0" applyNumberFormat="1" applyFont="1"/>
    <xf numFmtId="0" fontId="24" fillId="0" borderId="0" xfId="0" applyFont="1" applyFill="1" applyAlignment="1">
      <alignment horizontal="left" vertical="center" wrapText="1"/>
    </xf>
    <xf numFmtId="0" fontId="29" fillId="0" borderId="0" xfId="7" applyFont="1" applyFill="1" applyAlignment="1"/>
    <xf numFmtId="0" fontId="5" fillId="0" borderId="0" xfId="0" applyFont="1" applyFill="1" applyAlignment="1">
      <alignment vertical="center" wrapText="1"/>
    </xf>
    <xf numFmtId="10" fontId="5" fillId="2" borderId="0" xfId="2" applyNumberFormat="1" applyFont="1" applyFill="1" applyAlignment="1">
      <alignment horizontal="center" wrapText="1"/>
    </xf>
    <xf numFmtId="164" fontId="5" fillId="2" borderId="0" xfId="0" applyNumberFormat="1" applyFont="1" applyFill="1" applyAlignment="1"/>
    <xf numFmtId="10" fontId="5" fillId="2" borderId="0" xfId="2" applyNumberFormat="1" applyFont="1" applyFill="1" applyAlignment="1"/>
    <xf numFmtId="0" fontId="5" fillId="2" borderId="0" xfId="0" applyFont="1" applyFill="1" applyAlignment="1">
      <alignment horizontal="center" vertical="center" wrapText="1"/>
    </xf>
    <xf numFmtId="0" fontId="24" fillId="2" borderId="0" xfId="0" applyFont="1" applyFill="1" applyAlignment="1">
      <alignment horizontal="center" vertical="center" wrapText="1"/>
    </xf>
    <xf numFmtId="0" fontId="21" fillId="0" borderId="0" xfId="0" applyFont="1" applyAlignment="1">
      <alignment wrapText="1"/>
    </xf>
    <xf numFmtId="2" fontId="5" fillId="0" borderId="0" xfId="2" applyNumberFormat="1" applyFont="1" applyAlignment="1">
      <alignment wrapText="1"/>
    </xf>
    <xf numFmtId="0" fontId="26" fillId="0" borderId="0" xfId="0" applyFont="1" applyFill="1" applyBorder="1" applyAlignment="1">
      <alignment horizontal="left" wrapText="1"/>
    </xf>
    <xf numFmtId="10" fontId="17" fillId="0" borderId="0" xfId="0" applyNumberFormat="1" applyFont="1" applyFill="1" applyBorder="1" applyAlignment="1">
      <alignment horizontal="left"/>
    </xf>
    <xf numFmtId="10" fontId="19" fillId="0" borderId="0" xfId="2" applyNumberFormat="1" applyFont="1" applyFill="1" applyBorder="1" applyAlignment="1">
      <alignment horizontal="left"/>
    </xf>
    <xf numFmtId="0" fontId="17" fillId="2" borderId="0" xfId="0" applyFont="1" applyFill="1" applyAlignment="1"/>
    <xf numFmtId="0" fontId="27" fillId="2" borderId="0" xfId="0" applyFont="1" applyFill="1"/>
    <xf numFmtId="10" fontId="5" fillId="2" borderId="0" xfId="0" applyNumberFormat="1" applyFont="1" applyFill="1"/>
    <xf numFmtId="0" fontId="17" fillId="2" borderId="0" xfId="0" applyFont="1" applyFill="1"/>
    <xf numFmtId="0" fontId="27" fillId="0" borderId="0" xfId="0" applyFont="1" applyFill="1" applyAlignment="1">
      <alignment horizontal="right"/>
    </xf>
    <xf numFmtId="167" fontId="5" fillId="0" borderId="0" xfId="0" applyNumberFormat="1" applyFont="1" applyFill="1"/>
    <xf numFmtId="2" fontId="5" fillId="0" borderId="0" xfId="2" applyNumberFormat="1" applyFont="1" applyFill="1"/>
    <xf numFmtId="2" fontId="33" fillId="0" borderId="0" xfId="2" applyNumberFormat="1" applyFont="1"/>
    <xf numFmtId="2" fontId="0" fillId="0" borderId="0" xfId="0" applyNumberFormat="1" applyFill="1"/>
    <xf numFmtId="164" fontId="0" fillId="0" borderId="0" xfId="0" applyNumberFormat="1" applyFill="1"/>
    <xf numFmtId="164" fontId="33" fillId="0" borderId="0" xfId="0" applyNumberFormat="1" applyFont="1" applyAlignment="1">
      <alignment wrapText="1"/>
    </xf>
    <xf numFmtId="0" fontId="0" fillId="0" borderId="0" xfId="0" applyFont="1" applyAlignment="1">
      <alignment vertical="center"/>
    </xf>
    <xf numFmtId="0" fontId="48" fillId="0" borderId="0" xfId="0" applyFont="1" applyAlignment="1">
      <alignment vertical="center"/>
    </xf>
    <xf numFmtId="0" fontId="5" fillId="0" borderId="0" xfId="0" quotePrefix="1" applyFont="1" applyFill="1" applyAlignment="1">
      <alignment horizontal="left" vertical="top"/>
    </xf>
    <xf numFmtId="0" fontId="3" fillId="0" borderId="0" xfId="0" applyFont="1" applyFill="1" applyAlignment="1">
      <alignment horizontal="left" vertical="top"/>
    </xf>
    <xf numFmtId="2" fontId="3" fillId="0" borderId="0" xfId="0" applyNumberFormat="1" applyFont="1" applyFill="1" applyAlignment="1">
      <alignment horizontal="left" vertical="top"/>
    </xf>
    <xf numFmtId="0" fontId="25" fillId="0" borderId="0" xfId="0" applyFont="1" applyFill="1" applyBorder="1" applyAlignment="1">
      <alignment horizontal="left" wrapText="1"/>
    </xf>
    <xf numFmtId="10" fontId="19" fillId="7" borderId="0" xfId="2" applyNumberFormat="1" applyFont="1" applyFill="1" applyBorder="1" applyAlignment="1">
      <alignment horizontal="left"/>
    </xf>
    <xf numFmtId="10" fontId="5" fillId="0" borderId="0" xfId="2" applyNumberFormat="1" applyFont="1" applyFill="1" applyAlignment="1">
      <alignment horizontal="center" wrapText="1"/>
    </xf>
    <xf numFmtId="164" fontId="5" fillId="0" borderId="0" xfId="0" applyNumberFormat="1" applyFont="1" applyFill="1" applyAlignment="1"/>
    <xf numFmtId="10" fontId="5" fillId="0" borderId="0" xfId="2" applyNumberFormat="1" applyFont="1" applyFill="1" applyAlignment="1"/>
    <xf numFmtId="0" fontId="0" fillId="0" borderId="0" xfId="0" applyFill="1" applyAlignment="1"/>
    <xf numFmtId="0" fontId="19" fillId="0" borderId="0" xfId="0" applyFont="1" applyFill="1" applyBorder="1" applyAlignment="1">
      <alignment wrapText="1"/>
    </xf>
    <xf numFmtId="0" fontId="19" fillId="0" borderId="0" xfId="0" applyFont="1" applyFill="1"/>
    <xf numFmtId="168" fontId="5" fillId="0" borderId="0" xfId="0" applyNumberFormat="1" applyFont="1" applyFill="1" applyAlignment="1">
      <alignment vertical="top" wrapText="1"/>
    </xf>
    <xf numFmtId="2" fontId="5" fillId="8" borderId="0" xfId="2" applyNumberFormat="1" applyFont="1" applyFill="1"/>
    <xf numFmtId="2" fontId="5" fillId="0" borderId="10" xfId="2" applyNumberFormat="1" applyFont="1" applyBorder="1"/>
    <xf numFmtId="0" fontId="4" fillId="0" borderId="1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0" borderId="4" xfId="0" applyFont="1" applyBorder="1"/>
    <xf numFmtId="0" fontId="4" fillId="0" borderId="4" xfId="0" applyFont="1" applyBorder="1"/>
    <xf numFmtId="2" fontId="5" fillId="0" borderId="4" xfId="2" applyNumberFormat="1" applyFont="1" applyBorder="1"/>
    <xf numFmtId="10" fontId="5" fillId="0" borderId="12" xfId="0" applyNumberFormat="1" applyFont="1" applyFill="1" applyBorder="1" applyAlignment="1">
      <alignment horizontal="center" vertical="center" wrapText="1"/>
    </xf>
    <xf numFmtId="169" fontId="5" fillId="0" borderId="4" xfId="0" applyNumberFormat="1" applyFont="1" applyFill="1" applyBorder="1" applyAlignment="1">
      <alignment horizontal="center" vertical="center" wrapText="1"/>
    </xf>
    <xf numFmtId="169" fontId="5" fillId="0" borderId="4" xfId="0" applyNumberFormat="1" applyFont="1" applyBorder="1"/>
    <xf numFmtId="169" fontId="5" fillId="0" borderId="1" xfId="0" applyNumberFormat="1" applyFont="1" applyBorder="1" applyAlignment="1">
      <alignment horizontal="center"/>
    </xf>
    <xf numFmtId="2" fontId="5" fillId="0" borderId="3" xfId="2" applyNumberFormat="1" applyFont="1" applyBorder="1"/>
    <xf numFmtId="10" fontId="5" fillId="0" borderId="13" xfId="0" applyNumberFormat="1" applyFont="1" applyFill="1" applyBorder="1" applyAlignment="1">
      <alignment horizontal="center" vertical="center" wrapText="1"/>
    </xf>
    <xf numFmtId="169" fontId="5" fillId="0" borderId="14" xfId="0" applyNumberFormat="1" applyFont="1" applyFill="1" applyBorder="1" applyAlignment="1">
      <alignment horizontal="center" vertical="center" wrapText="1"/>
    </xf>
    <xf numFmtId="169" fontId="5" fillId="0" borderId="14" xfId="0" applyNumberFormat="1" applyFont="1" applyBorder="1"/>
    <xf numFmtId="169" fontId="5" fillId="0" borderId="9" xfId="0" applyNumberFormat="1" applyFont="1" applyBorder="1" applyAlignment="1">
      <alignment horizontal="center"/>
    </xf>
    <xf numFmtId="10" fontId="5" fillId="0" borderId="15" xfId="0" applyNumberFormat="1" applyFont="1" applyFill="1" applyBorder="1" applyAlignment="1">
      <alignment horizontal="center" vertical="center" wrapText="1"/>
    </xf>
    <xf numFmtId="169" fontId="5" fillId="0" borderId="16" xfId="0" applyNumberFormat="1" applyFont="1" applyFill="1" applyBorder="1" applyAlignment="1">
      <alignment horizontal="center" vertical="center" wrapText="1"/>
    </xf>
    <xf numFmtId="0" fontId="5" fillId="0" borderId="16" xfId="0" applyFont="1" applyBorder="1"/>
    <xf numFmtId="169" fontId="5" fillId="0" borderId="17" xfId="0" applyNumberFormat="1" applyFont="1" applyBorder="1" applyAlignment="1">
      <alignment horizontal="center"/>
    </xf>
    <xf numFmtId="2" fontId="5" fillId="0" borderId="18" xfId="2" applyNumberFormat="1" applyFont="1" applyBorder="1"/>
    <xf numFmtId="10" fontId="4" fillId="0" borderId="11" xfId="0" applyNumberFormat="1" applyFont="1" applyFill="1" applyBorder="1" applyAlignment="1">
      <alignment horizontal="center" vertical="top" wrapText="1"/>
    </xf>
    <xf numFmtId="10" fontId="5" fillId="0" borderId="11" xfId="0" applyNumberFormat="1" applyFont="1" applyFill="1" applyBorder="1" applyAlignment="1">
      <alignment vertical="top" wrapText="1"/>
    </xf>
    <xf numFmtId="10" fontId="5" fillId="0" borderId="19" xfId="0" applyNumberFormat="1" applyFont="1" applyFill="1" applyBorder="1" applyAlignment="1">
      <alignment vertical="top" wrapText="1"/>
    </xf>
    <xf numFmtId="10" fontId="5" fillId="0" borderId="20" xfId="0" applyNumberFormat="1" applyFont="1" applyFill="1" applyBorder="1" applyAlignment="1">
      <alignment wrapText="1"/>
    </xf>
    <xf numFmtId="10" fontId="5" fillId="0" borderId="11" xfId="0" applyNumberFormat="1" applyFont="1" applyFill="1" applyBorder="1" applyAlignment="1">
      <alignment wrapText="1"/>
    </xf>
    <xf numFmtId="164" fontId="5" fillId="8" borderId="0" xfId="0" applyNumberFormat="1" applyFont="1" applyFill="1"/>
    <xf numFmtId="2" fontId="5" fillId="8" borderId="0" xfId="0" applyNumberFormat="1" applyFont="1" applyFill="1"/>
    <xf numFmtId="0" fontId="37" fillId="0" borderId="0" xfId="0" applyFont="1" applyFill="1"/>
    <xf numFmtId="0" fontId="0" fillId="0" borderId="0" xfId="0" applyFill="1" applyAlignment="1">
      <alignment vertical="center" wrapText="1"/>
    </xf>
    <xf numFmtId="0" fontId="0" fillId="0" borderId="0" xfId="0" applyFill="1" applyAlignment="1">
      <alignment wrapText="1"/>
    </xf>
    <xf numFmtId="169" fontId="0" fillId="0" borderId="0" xfId="0" applyNumberFormat="1" applyFill="1" applyAlignment="1">
      <alignment wrapText="1"/>
    </xf>
    <xf numFmtId="0" fontId="44" fillId="0" borderId="8" xfId="0" applyFont="1" applyFill="1" applyBorder="1" applyAlignment="1">
      <alignment horizontal="right"/>
    </xf>
    <xf numFmtId="10" fontId="17" fillId="0" borderId="0" xfId="0" applyNumberFormat="1" applyFont="1" applyAlignment="1">
      <alignment wrapText="1"/>
    </xf>
    <xf numFmtId="10" fontId="21" fillId="0" borderId="0" xfId="2" applyNumberFormat="1" applyFont="1" applyAlignment="1">
      <alignment wrapText="1"/>
    </xf>
    <xf numFmtId="0" fontId="7" fillId="0" borderId="0" xfId="0" applyFont="1" applyFill="1" applyAlignment="1">
      <alignment vertical="top" wrapText="1"/>
    </xf>
    <xf numFmtId="0" fontId="7" fillId="0" borderId="0" xfId="0" applyFont="1" applyFill="1" applyAlignment="1">
      <alignment horizontal="left" vertical="top" wrapText="1"/>
    </xf>
    <xf numFmtId="0" fontId="0" fillId="10" borderId="0" xfId="0" applyFill="1"/>
    <xf numFmtId="0" fontId="5" fillId="10" borderId="0" xfId="0" applyFont="1" applyFill="1"/>
    <xf numFmtId="10" fontId="0" fillId="0" borderId="0" xfId="0" applyNumberFormat="1"/>
    <xf numFmtId="0" fontId="5" fillId="11" borderId="0" xfId="0" applyFont="1" applyFill="1"/>
    <xf numFmtId="0" fontId="5" fillId="11" borderId="0" xfId="0" applyFont="1" applyFill="1" applyAlignment="1">
      <alignment vertical="center" wrapText="1"/>
    </xf>
    <xf numFmtId="0" fontId="50" fillId="11" borderId="0" xfId="0" applyFont="1" applyFill="1" applyAlignment="1">
      <alignment horizontal="left" vertical="center" wrapText="1"/>
    </xf>
    <xf numFmtId="0" fontId="33" fillId="11" borderId="0" xfId="0" applyFont="1" applyFill="1" applyAlignment="1">
      <alignment horizontal="left" vertical="center" wrapText="1"/>
    </xf>
    <xf numFmtId="0" fontId="0" fillId="10" borderId="0" xfId="0" applyFill="1" applyAlignment="1">
      <alignment wrapText="1"/>
    </xf>
    <xf numFmtId="0" fontId="5" fillId="10" borderId="0" xfId="0" applyFont="1" applyFill="1" applyAlignment="1">
      <alignment horizontal="left" vertical="top" wrapText="1"/>
    </xf>
    <xf numFmtId="0" fontId="5" fillId="10" borderId="0" xfId="0" applyFont="1" applyFill="1" applyAlignment="1">
      <alignment wrapText="1"/>
    </xf>
    <xf numFmtId="10" fontId="5" fillId="10" borderId="0" xfId="2" applyNumberFormat="1" applyFont="1" applyFill="1" applyAlignment="1">
      <alignment wrapText="1"/>
    </xf>
    <xf numFmtId="0" fontId="5" fillId="11" borderId="0" xfId="0" applyFont="1" applyFill="1" applyAlignment="1">
      <alignment horizontal="left" vertical="center" wrapText="1"/>
    </xf>
    <xf numFmtId="0" fontId="33" fillId="11" borderId="0" xfId="0" applyFont="1" applyFill="1" applyAlignment="1">
      <alignment vertical="center" wrapText="1"/>
    </xf>
    <xf numFmtId="0" fontId="33" fillId="11" borderId="0" xfId="0" applyFont="1" applyFill="1"/>
    <xf numFmtId="0" fontId="17" fillId="11" borderId="0" xfId="0" applyFont="1" applyFill="1" applyAlignment="1"/>
    <xf numFmtId="10" fontId="17" fillId="11" borderId="0" xfId="2" applyNumberFormat="1" applyFont="1" applyFill="1"/>
    <xf numFmtId="10" fontId="5" fillId="11" borderId="0" xfId="0" applyNumberFormat="1" applyFont="1" applyFill="1"/>
    <xf numFmtId="0" fontId="17" fillId="11" borderId="0" xfId="0" applyFont="1" applyFill="1"/>
    <xf numFmtId="10" fontId="5" fillId="11" borderId="0" xfId="2" applyNumberFormat="1" applyFont="1" applyFill="1"/>
    <xf numFmtId="0" fontId="0" fillId="11" borderId="0" xfId="0" applyFill="1"/>
    <xf numFmtId="0" fontId="26" fillId="7" borderId="4" xfId="0" applyFont="1" applyFill="1" applyBorder="1" applyAlignment="1">
      <alignment horizontal="left" vertical="top" wrapText="1"/>
    </xf>
    <xf numFmtId="0" fontId="5" fillId="12" borderId="0" xfId="0" applyFont="1" applyFill="1" applyBorder="1" applyAlignment="1">
      <alignment vertical="top" wrapText="1"/>
    </xf>
    <xf numFmtId="0" fontId="5" fillId="8" borderId="0" xfId="0" applyFont="1" applyFill="1" applyBorder="1" applyAlignment="1">
      <alignment vertical="top" wrapText="1"/>
    </xf>
    <xf numFmtId="0" fontId="5" fillId="12" borderId="0" xfId="0" applyFont="1" applyFill="1" applyAlignment="1">
      <alignment vertical="top" wrapText="1"/>
    </xf>
    <xf numFmtId="0" fontId="51" fillId="12" borderId="0" xfId="0" applyFont="1" applyFill="1" applyAlignment="1"/>
  </cellXfs>
  <cellStyles count="8">
    <cellStyle name="Comma" xfId="1" builtinId="3"/>
    <cellStyle name="Hyperlink" xfId="7" builtinId="8"/>
    <cellStyle name="Normal" xfId="0" builtinId="0"/>
    <cellStyle name="Normal 2" xfId="3"/>
    <cellStyle name="Normal 3" xfId="4"/>
    <cellStyle name="Normal 4" xfId="5"/>
    <cellStyle name="Percent" xfId="2" builtinId="5"/>
    <cellStyle name="Percent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8.xml"/><Relationship Id="rId13" Type="http://schemas.openxmlformats.org/officeDocument/2006/relationships/chartsheet" Target="chartsheets/sheet13.xml"/><Relationship Id="rId18" Type="http://schemas.openxmlformats.org/officeDocument/2006/relationships/chartsheet" Target="chartsheets/sheet18.xml"/><Relationship Id="rId26" Type="http://schemas.openxmlformats.org/officeDocument/2006/relationships/worksheet" Target="worksheets/sheet6.xml"/><Relationship Id="rId3" Type="http://schemas.openxmlformats.org/officeDocument/2006/relationships/chartsheet" Target="chartsheets/sheet3.xml"/><Relationship Id="rId21" Type="http://schemas.openxmlformats.org/officeDocument/2006/relationships/worksheet" Target="worksheets/sheet1.xml"/><Relationship Id="rId34" Type="http://schemas.openxmlformats.org/officeDocument/2006/relationships/calcChain" Target="calcChain.xml"/><Relationship Id="rId7" Type="http://schemas.openxmlformats.org/officeDocument/2006/relationships/chartsheet" Target="chartsheets/sheet7.xml"/><Relationship Id="rId12" Type="http://schemas.openxmlformats.org/officeDocument/2006/relationships/chartsheet" Target="chartsheets/sheet12.xml"/><Relationship Id="rId17" Type="http://schemas.openxmlformats.org/officeDocument/2006/relationships/chartsheet" Target="chartsheets/sheet17.xml"/><Relationship Id="rId25" Type="http://schemas.openxmlformats.org/officeDocument/2006/relationships/worksheet" Target="worksheets/sheet5.xml"/><Relationship Id="rId33"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chartsheet" Target="chartsheets/sheet16.xml"/><Relationship Id="rId20" Type="http://schemas.openxmlformats.org/officeDocument/2006/relationships/chartsheet" Target="chartsheets/sheet20.xml"/><Relationship Id="rId29" Type="http://schemas.openxmlformats.org/officeDocument/2006/relationships/worksheet" Target="worksheets/sheet9.xml"/><Relationship Id="rId1" Type="http://schemas.openxmlformats.org/officeDocument/2006/relationships/chartsheet" Target="chartsheets/sheet1.xml"/><Relationship Id="rId6" Type="http://schemas.openxmlformats.org/officeDocument/2006/relationships/chartsheet" Target="chartsheets/sheet6.xml"/><Relationship Id="rId11" Type="http://schemas.openxmlformats.org/officeDocument/2006/relationships/chartsheet" Target="chartsheets/sheet11.xml"/><Relationship Id="rId24" Type="http://schemas.openxmlformats.org/officeDocument/2006/relationships/worksheet" Target="worksheets/sheet4.xml"/><Relationship Id="rId32" Type="http://schemas.openxmlformats.org/officeDocument/2006/relationships/styles" Target="styles.xml"/><Relationship Id="rId5" Type="http://schemas.openxmlformats.org/officeDocument/2006/relationships/chartsheet" Target="chartsheets/sheet5.xml"/><Relationship Id="rId15" Type="http://schemas.openxmlformats.org/officeDocument/2006/relationships/chartsheet" Target="chartsheets/sheet15.xml"/><Relationship Id="rId23" Type="http://schemas.openxmlformats.org/officeDocument/2006/relationships/worksheet" Target="worksheets/sheet3.xml"/><Relationship Id="rId28" Type="http://schemas.openxmlformats.org/officeDocument/2006/relationships/worksheet" Target="worksheets/sheet8.xml"/><Relationship Id="rId10" Type="http://schemas.openxmlformats.org/officeDocument/2006/relationships/chartsheet" Target="chartsheets/sheet10.xml"/><Relationship Id="rId19" Type="http://schemas.openxmlformats.org/officeDocument/2006/relationships/chartsheet" Target="chartsheets/sheet19.xml"/><Relationship Id="rId31" Type="http://schemas.openxmlformats.org/officeDocument/2006/relationships/theme" Target="theme/theme1.xml"/><Relationship Id="rId4" Type="http://schemas.openxmlformats.org/officeDocument/2006/relationships/chartsheet" Target="chartsheets/sheet4.xml"/><Relationship Id="rId9" Type="http://schemas.openxmlformats.org/officeDocument/2006/relationships/chartsheet" Target="chartsheets/sheet9.xml"/><Relationship Id="rId14" Type="http://schemas.openxmlformats.org/officeDocument/2006/relationships/chartsheet" Target="chartsheets/sheet14.xml"/><Relationship Id="rId22" Type="http://schemas.openxmlformats.org/officeDocument/2006/relationships/worksheet" Target="worksheets/sheet2.xml"/><Relationship Id="rId27" Type="http://schemas.openxmlformats.org/officeDocument/2006/relationships/worksheet" Target="worksheets/sheet7.xml"/><Relationship Id="rId30" Type="http://schemas.openxmlformats.org/officeDocument/2006/relationships/worksheet" Target="worksheets/sheet10.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4"/>
          <c:order val="0"/>
          <c:tx>
            <c:strRef>
              <c:f>'Appndx 6.8.II.7'!$D$32</c:f>
              <c:strCache>
                <c:ptCount val="1"/>
                <c:pt idx="0">
                  <c:v>rcorp</c:v>
                </c:pt>
              </c:strCache>
            </c:strRef>
          </c:tx>
          <c:spPr>
            <a:ln w="38100">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6.8.II.7'!$G$32:$BS$32</c:f>
              <c:numCache>
                <c:formatCode>0.00%</c:formatCode>
                <c:ptCount val="65"/>
                <c:pt idx="0">
                  <c:v>0.14374603640540254</c:v>
                </c:pt>
                <c:pt idx="1">
                  <c:v>0.16396352075207296</c:v>
                </c:pt>
                <c:pt idx="2">
                  <c:v>0.13697282511983766</c:v>
                </c:pt>
                <c:pt idx="3">
                  <c:v>0.16228416548642546</c:v>
                </c:pt>
                <c:pt idx="4">
                  <c:v>0.15983193761787534</c:v>
                </c:pt>
                <c:pt idx="5">
                  <c:v>0.13620216468779806</c:v>
                </c:pt>
                <c:pt idx="6">
                  <c:v>0.12804516198321894</c:v>
                </c:pt>
                <c:pt idx="7">
                  <c:v>0.11761730156428303</c:v>
                </c:pt>
                <c:pt idx="8">
                  <c:v>0.1435878447213399</c:v>
                </c:pt>
                <c:pt idx="9">
                  <c:v>0.12550926044329552</c:v>
                </c:pt>
                <c:pt idx="10">
                  <c:v>0.112054004990328</c:v>
                </c:pt>
                <c:pt idx="11">
                  <c:v>9.5054317592488641E-2</c:v>
                </c:pt>
                <c:pt idx="12">
                  <c:v>0.11381225569497803</c:v>
                </c:pt>
                <c:pt idx="13">
                  <c:v>0.10570307830889546</c:v>
                </c:pt>
                <c:pt idx="14">
                  <c:v>0.10516657955813914</c:v>
                </c:pt>
                <c:pt idx="15">
                  <c:v>0.11607789249317023</c:v>
                </c:pt>
                <c:pt idx="16">
                  <c:v>0.12143069203177961</c:v>
                </c:pt>
                <c:pt idx="17">
                  <c:v>0.12813738591915966</c:v>
                </c:pt>
                <c:pt idx="18">
                  <c:v>0.13818209006945084</c:v>
                </c:pt>
                <c:pt idx="19">
                  <c:v>0.13780250259730348</c:v>
                </c:pt>
                <c:pt idx="20">
                  <c:v>0.12474159436916939</c:v>
                </c:pt>
                <c:pt idx="21">
                  <c:v>0.12385229726692695</c:v>
                </c:pt>
                <c:pt idx="22">
                  <c:v>0.11249342865334706</c:v>
                </c:pt>
                <c:pt idx="23">
                  <c:v>9.3316823727352866E-2</c:v>
                </c:pt>
                <c:pt idx="24">
                  <c:v>9.5633540573712553E-2</c:v>
                </c:pt>
                <c:pt idx="25">
                  <c:v>9.8414551200063552E-2</c:v>
                </c:pt>
                <c:pt idx="26">
                  <c:v>9.8506632073837239E-2</c:v>
                </c:pt>
                <c:pt idx="27">
                  <c:v>8.450813596683146E-2</c:v>
                </c:pt>
                <c:pt idx="28">
                  <c:v>8.0262903524936716E-2</c:v>
                </c:pt>
                <c:pt idx="29">
                  <c:v>8.2822473401140337E-2</c:v>
                </c:pt>
                <c:pt idx="30">
                  <c:v>8.6158852860037979E-2</c:v>
                </c:pt>
                <c:pt idx="31">
                  <c:v>8.7859246888513431E-2</c:v>
                </c:pt>
                <c:pt idx="32">
                  <c:v>8.01045969941689E-2</c:v>
                </c:pt>
                <c:pt idx="33">
                  <c:v>6.7360883638409169E-2</c:v>
                </c:pt>
                <c:pt idx="34">
                  <c:v>6.9632314572834308E-2</c:v>
                </c:pt>
                <c:pt idx="35">
                  <c:v>5.9876020520342882E-2</c:v>
                </c:pt>
                <c:pt idx="36">
                  <c:v>6.5276485109428808E-2</c:v>
                </c:pt>
                <c:pt idx="37">
                  <c:v>7.7092955645063702E-2</c:v>
                </c:pt>
                <c:pt idx="38">
                  <c:v>7.5699648677669762E-2</c:v>
                </c:pt>
                <c:pt idx="39">
                  <c:v>6.8992551069955221E-2</c:v>
                </c:pt>
                <c:pt idx="40">
                  <c:v>7.2522722925103644E-2</c:v>
                </c:pt>
                <c:pt idx="41">
                  <c:v>7.7326709710848124E-2</c:v>
                </c:pt>
                <c:pt idx="42">
                  <c:v>7.5936949248287811E-2</c:v>
                </c:pt>
                <c:pt idx="43">
                  <c:v>7.2000735105366379E-2</c:v>
                </c:pt>
                <c:pt idx="44">
                  <c:v>6.9375725449514633E-2</c:v>
                </c:pt>
                <c:pt idx="45">
                  <c:v>6.9100711485927363E-2</c:v>
                </c:pt>
                <c:pt idx="46">
                  <c:v>6.9618153175052405E-2</c:v>
                </c:pt>
                <c:pt idx="47">
                  <c:v>7.5209740086175092E-2</c:v>
                </c:pt>
                <c:pt idx="48">
                  <c:v>7.8777192542609828E-2</c:v>
                </c:pt>
                <c:pt idx="49">
                  <c:v>8.2997810858158494E-2</c:v>
                </c:pt>
                <c:pt idx="50">
                  <c:v>8.6039875264558766E-2</c:v>
                </c:pt>
                <c:pt idx="51">
                  <c:v>7.9379445982251703E-2</c:v>
                </c:pt>
                <c:pt idx="52">
                  <c:v>7.8757840598749601E-2</c:v>
                </c:pt>
                <c:pt idx="53">
                  <c:v>7.3755049062107308E-2</c:v>
                </c:pt>
                <c:pt idx="54">
                  <c:v>6.5929291387084796E-2</c:v>
                </c:pt>
                <c:pt idx="55">
                  <c:v>6.5520678888437919E-2</c:v>
                </c:pt>
                <c:pt idx="56">
                  <c:v>6.7129641638587478E-2</c:v>
                </c:pt>
                <c:pt idx="57">
                  <c:v>7.75171954142376E-2</c:v>
                </c:pt>
                <c:pt idx="58">
                  <c:v>8.2195330303336089E-2</c:v>
                </c:pt>
                <c:pt idx="59">
                  <c:v>8.2221749948446471E-2</c:v>
                </c:pt>
                <c:pt idx="60">
                  <c:v>7.1024219335660638E-2</c:v>
                </c:pt>
                <c:pt idx="61">
                  <c:v>5.5949314688168855E-2</c:v>
                </c:pt>
                <c:pt idx="62">
                  <c:v>5.7940245117883211E-2</c:v>
                </c:pt>
                <c:pt idx="63">
                  <c:v>7.2876547747278655E-2</c:v>
                </c:pt>
                <c:pt idx="64">
                  <c:v>7.5373104079366454E-2</c:v>
                </c:pt>
              </c:numCache>
            </c:numRef>
          </c:val>
          <c:smooth val="0"/>
          <c:extLst>
            <c:ext xmlns:c16="http://schemas.microsoft.com/office/drawing/2014/chart" uri="{C3380CC4-5D6E-409C-BE32-E72D297353CC}">
              <c16:uniqueId val="{00000000-AEA2-4D18-A108-EDA817941F70}"/>
            </c:ext>
          </c:extLst>
        </c:ser>
        <c:dLbls>
          <c:showLegendKey val="0"/>
          <c:showVal val="0"/>
          <c:showCatName val="0"/>
          <c:showSerName val="0"/>
          <c:showPercent val="0"/>
          <c:showBubbleSize val="0"/>
        </c:dLbls>
        <c:smooth val="0"/>
        <c:axId val="66515328"/>
        <c:axId val="66516864"/>
      </c:lineChart>
      <c:catAx>
        <c:axId val="66515328"/>
        <c:scaling>
          <c:orientation val="minMax"/>
        </c:scaling>
        <c:delete val="0"/>
        <c:axPos val="b"/>
        <c:majorGridlines>
          <c:spPr>
            <a:ln w="3175">
              <a:solidFill>
                <a:schemeClr val="bg1">
                  <a:lumMod val="85000"/>
                </a:schemeClr>
              </a:solidFill>
            </a:ln>
          </c:spPr>
        </c:majorGridlines>
        <c:numFmt formatCode="General" sourceLinked="1"/>
        <c:majorTickMark val="out"/>
        <c:minorTickMark val="none"/>
        <c:tickLblPos val="nextTo"/>
        <c:txPr>
          <a:bodyPr/>
          <a:lstStyle/>
          <a:p>
            <a:pPr>
              <a:defRPr sz="1600" b="1"/>
            </a:pPr>
            <a:endParaRPr lang="en-US"/>
          </a:p>
        </c:txPr>
        <c:crossAx val="66516864"/>
        <c:crossesAt val="2.0000000000000004E-2"/>
        <c:auto val="1"/>
        <c:lblAlgn val="ctr"/>
        <c:lblOffset val="100"/>
        <c:tickLblSkip val="8"/>
        <c:tickMarkSkip val="2"/>
        <c:noMultiLvlLbl val="0"/>
      </c:catAx>
      <c:valAx>
        <c:axId val="66516864"/>
        <c:scaling>
          <c:orientation val="minMax"/>
          <c:min val="4.0000000000000008E-2"/>
        </c:scaling>
        <c:delete val="0"/>
        <c:axPos val="l"/>
        <c:majorGridlines/>
        <c:minorGridlines>
          <c:spPr>
            <a:ln w="3175">
              <a:solidFill>
                <a:schemeClr val="bg1">
                  <a:lumMod val="85000"/>
                </a:schemeClr>
              </a:solidFill>
            </a:ln>
          </c:spPr>
        </c:minorGridlines>
        <c:numFmt formatCode="0%" sourceLinked="0"/>
        <c:majorTickMark val="out"/>
        <c:minorTickMark val="none"/>
        <c:tickLblPos val="nextTo"/>
        <c:txPr>
          <a:bodyPr/>
          <a:lstStyle/>
          <a:p>
            <a:pPr>
              <a:defRPr sz="1600" b="1"/>
            </a:pPr>
            <a:endParaRPr lang="en-US"/>
          </a:p>
        </c:txPr>
        <c:crossAx val="66515328"/>
        <c:crosses val="autoZero"/>
        <c:crossBetween val="between"/>
      </c:valAx>
      <c:spPr>
        <a:ln>
          <a:solidFill>
            <a:schemeClr val="tx1"/>
          </a:solidFill>
        </a:ln>
      </c:spPr>
    </c:plotArea>
    <c:plotVisOnly val="1"/>
    <c:dispBlanksAs val="gap"/>
    <c:showDLblsOverMax val="0"/>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'Appndx6.8.I.1-3'!$C$154</c:f>
              <c:strCache>
                <c:ptCount val="1"/>
                <c:pt idx="0">
                  <c:v>rbus</c:v>
                </c:pt>
              </c:strCache>
            </c:strRef>
          </c:tx>
          <c:spPr>
            <a:ln w="44450">
              <a:solidFill>
                <a:schemeClr val="tx1"/>
              </a:solidFill>
              <a:prstDash val="solid"/>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'Appndx6.8.I.1-3'!$D$154:$BP$154</c:f>
              <c:numCache>
                <c:formatCode>0.0%</c:formatCode>
                <c:ptCount val="65"/>
                <c:pt idx="0">
                  <c:v>0.15326077364318283</c:v>
                </c:pt>
                <c:pt idx="1">
                  <c:v>0.16682196270405938</c:v>
                </c:pt>
                <c:pt idx="2">
                  <c:v>0.13992644659654974</c:v>
                </c:pt>
                <c:pt idx="3">
                  <c:v>0.16765717438708103</c:v>
                </c:pt>
                <c:pt idx="4">
                  <c:v>0.16818787317315273</c:v>
                </c:pt>
                <c:pt idx="5">
                  <c:v>0.14647356224627878</c:v>
                </c:pt>
                <c:pt idx="6">
                  <c:v>0.13792492383728228</c:v>
                </c:pt>
                <c:pt idx="7">
                  <c:v>0.13014671477527348</c:v>
                </c:pt>
                <c:pt idx="8">
                  <c:v>0.15867832664343182</c:v>
                </c:pt>
                <c:pt idx="9">
                  <c:v>0.13993653604900011</c:v>
                </c:pt>
                <c:pt idx="10">
                  <c:v>0.12583529248271272</c:v>
                </c:pt>
                <c:pt idx="11">
                  <c:v>0.10828328829493139</c:v>
                </c:pt>
                <c:pt idx="12">
                  <c:v>0.13229569446408443</c:v>
                </c:pt>
                <c:pt idx="13">
                  <c:v>0.12354481160659485</c:v>
                </c:pt>
                <c:pt idx="14">
                  <c:v>0.12343224124638312</c:v>
                </c:pt>
                <c:pt idx="15">
                  <c:v>0.13679400427077842</c:v>
                </c:pt>
                <c:pt idx="16">
                  <c:v>0.1441026105799619</c:v>
                </c:pt>
                <c:pt idx="17">
                  <c:v>0.15359940889398827</c:v>
                </c:pt>
                <c:pt idx="18">
                  <c:v>0.16562060705459006</c:v>
                </c:pt>
                <c:pt idx="19">
                  <c:v>0.16579439004646634</c:v>
                </c:pt>
                <c:pt idx="20">
                  <c:v>0.14737389186180741</c:v>
                </c:pt>
                <c:pt idx="21">
                  <c:v>0.14522282480795876</c:v>
                </c:pt>
                <c:pt idx="22">
                  <c:v>0.12563664080861681</c:v>
                </c:pt>
                <c:pt idx="23">
                  <c:v>9.7788805707108573E-2</c:v>
                </c:pt>
                <c:pt idx="24">
                  <c:v>0.10347739383254609</c:v>
                </c:pt>
                <c:pt idx="25">
                  <c:v>0.10785305245275689</c:v>
                </c:pt>
                <c:pt idx="26">
                  <c:v>0.10674935796748831</c:v>
                </c:pt>
                <c:pt idx="27">
                  <c:v>8.3365897046455903E-2</c:v>
                </c:pt>
                <c:pt idx="28">
                  <c:v>8.3004818299227151E-2</c:v>
                </c:pt>
                <c:pt idx="29">
                  <c:v>9.1186632599616291E-2</c:v>
                </c:pt>
                <c:pt idx="30">
                  <c:v>9.8273014287813154E-2</c:v>
                </c:pt>
                <c:pt idx="31">
                  <c:v>9.9431624537660399E-2</c:v>
                </c:pt>
                <c:pt idx="32">
                  <c:v>8.5116306257572868E-2</c:v>
                </c:pt>
                <c:pt idx="33">
                  <c:v>6.3488215313211693E-2</c:v>
                </c:pt>
                <c:pt idx="34">
                  <c:v>6.3871234673037819E-2</c:v>
                </c:pt>
                <c:pt idx="35">
                  <c:v>5.0270465530565807E-2</c:v>
                </c:pt>
                <c:pt idx="36">
                  <c:v>6.1244822173319412E-2</c:v>
                </c:pt>
                <c:pt idx="37">
                  <c:v>7.5058932080898519E-2</c:v>
                </c:pt>
                <c:pt idx="38">
                  <c:v>7.3938802009395843E-2</c:v>
                </c:pt>
                <c:pt idx="39">
                  <c:v>6.548724181160212E-2</c:v>
                </c:pt>
                <c:pt idx="40">
                  <c:v>7.2706894204598943E-2</c:v>
                </c:pt>
                <c:pt idx="41">
                  <c:v>8.0390518016447754E-2</c:v>
                </c:pt>
                <c:pt idx="42">
                  <c:v>7.3631812592983764E-2</c:v>
                </c:pt>
                <c:pt idx="43">
                  <c:v>6.9785277700319892E-2</c:v>
                </c:pt>
                <c:pt idx="44">
                  <c:v>7.0401937119076066E-2</c:v>
                </c:pt>
                <c:pt idx="45">
                  <c:v>7.7230472907570707E-2</c:v>
                </c:pt>
                <c:pt idx="46">
                  <c:v>8.2983007076104967E-2</c:v>
                </c:pt>
                <c:pt idx="47">
                  <c:v>9.3704055677393358E-2</c:v>
                </c:pt>
                <c:pt idx="48">
                  <c:v>0.10088422470264569</c:v>
                </c:pt>
                <c:pt idx="49">
                  <c:v>0.10846857867589456</c:v>
                </c:pt>
                <c:pt idx="50">
                  <c:v>0.11480490039290903</c:v>
                </c:pt>
                <c:pt idx="51">
                  <c:v>0.10012358173491831</c:v>
                </c:pt>
                <c:pt idx="52">
                  <c:v>9.855717572234457E-2</c:v>
                </c:pt>
                <c:pt idx="53">
                  <c:v>8.5950375632268428E-2</c:v>
                </c:pt>
                <c:pt idx="54">
                  <c:v>7.5123674611742963E-2</c:v>
                </c:pt>
                <c:pt idx="55">
                  <c:v>8.3372500210265807E-2</c:v>
                </c:pt>
                <c:pt idx="56">
                  <c:v>9.1502499780894489E-2</c:v>
                </c:pt>
                <c:pt idx="57">
                  <c:v>0.11473666441043635</c:v>
                </c:pt>
                <c:pt idx="58">
                  <c:v>0.12341042966650639</c:v>
                </c:pt>
                <c:pt idx="59">
                  <c:v>0.12623119434257124</c:v>
                </c:pt>
                <c:pt idx="60">
                  <c:v>0.10024037977267923</c:v>
                </c:pt>
                <c:pt idx="61">
                  <c:v>7.0020469939357219E-2</c:v>
                </c:pt>
                <c:pt idx="62">
                  <c:v>7.6569065502897979E-2</c:v>
                </c:pt>
                <c:pt idx="63">
                  <c:v>0.10409807370550715</c:v>
                </c:pt>
                <c:pt idx="64">
                  <c:v>0.10885279879022157</c:v>
                </c:pt>
              </c:numCache>
            </c:numRef>
          </c:val>
          <c:smooth val="0"/>
          <c:extLst>
            <c:ext xmlns:c16="http://schemas.microsoft.com/office/drawing/2014/chart" uri="{C3380CC4-5D6E-409C-BE32-E72D297353CC}">
              <c16:uniqueId val="{00000000-FEE4-40D9-AB82-F24C244A3E93}"/>
            </c:ext>
          </c:extLst>
        </c:ser>
        <c:ser>
          <c:idx val="1"/>
          <c:order val="1"/>
          <c:tx>
            <c:strRef>
              <c:f>'Appndx6.8.I.1-3'!$C$155</c:f>
              <c:strCache>
                <c:ptCount val="1"/>
                <c:pt idx="0">
                  <c:v>rcorp</c:v>
                </c:pt>
              </c:strCache>
            </c:strRef>
          </c:tx>
          <c:spPr>
            <a:ln w="25400">
              <a:solidFill>
                <a:schemeClr val="tx1"/>
              </a:solidFill>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'Appndx6.8.I.1-3'!$D$155:$BP$155</c:f>
              <c:numCache>
                <c:formatCode>0.0%</c:formatCode>
                <c:ptCount val="65"/>
                <c:pt idx="0">
                  <c:v>0.14106583072100312</c:v>
                </c:pt>
                <c:pt idx="1">
                  <c:v>0.15570752235665442</c:v>
                </c:pt>
                <c:pt idx="2">
                  <c:v>0.13269230769230769</c:v>
                </c:pt>
                <c:pt idx="3">
                  <c:v>0.16211121583411875</c:v>
                </c:pt>
                <c:pt idx="4">
                  <c:v>0.16414777497900926</c:v>
                </c:pt>
                <c:pt idx="5">
                  <c:v>0.143244289585753</c:v>
                </c:pt>
                <c:pt idx="6">
                  <c:v>0.13653001464128842</c:v>
                </c:pt>
                <c:pt idx="7">
                  <c:v>0.12696198116498081</c:v>
                </c:pt>
                <c:pt idx="8">
                  <c:v>0.15796610169491526</c:v>
                </c:pt>
                <c:pt idx="9">
                  <c:v>0.13920542038805053</c:v>
                </c:pt>
                <c:pt idx="10">
                  <c:v>0.12361111111111112</c:v>
                </c:pt>
                <c:pt idx="11">
                  <c:v>0.10334110334110333</c:v>
                </c:pt>
                <c:pt idx="12">
                  <c:v>0.12986022871664549</c:v>
                </c:pt>
                <c:pt idx="13">
                  <c:v>0.12177301509985386</c:v>
                </c:pt>
                <c:pt idx="14">
                  <c:v>0.12153772683858644</c:v>
                </c:pt>
                <c:pt idx="15">
                  <c:v>0.13656490328594734</c:v>
                </c:pt>
                <c:pt idx="16">
                  <c:v>0.1451794987581847</c:v>
                </c:pt>
                <c:pt idx="17">
                  <c:v>0.15557986870897153</c:v>
                </c:pt>
                <c:pt idx="18">
                  <c:v>0.16956882255389719</c:v>
                </c:pt>
                <c:pt idx="19">
                  <c:v>0.17064184603451618</c:v>
                </c:pt>
                <c:pt idx="20">
                  <c:v>0.15209260908281391</c:v>
                </c:pt>
                <c:pt idx="21">
                  <c:v>0.15050936575747617</c:v>
                </c:pt>
                <c:pt idx="22">
                  <c:v>0.13115487914055507</c:v>
                </c:pt>
                <c:pt idx="23">
                  <c:v>0.1020988490182803</c:v>
                </c:pt>
                <c:pt idx="24">
                  <c:v>0.10850043055726412</c:v>
                </c:pt>
                <c:pt idx="25">
                  <c:v>0.11422486268355565</c:v>
                </c:pt>
                <c:pt idx="26">
                  <c:v>0.11309462387782478</c:v>
                </c:pt>
                <c:pt idx="27">
                  <c:v>8.9297139201169926E-2</c:v>
                </c:pt>
                <c:pt idx="28">
                  <c:v>8.8377633832179295E-2</c:v>
                </c:pt>
                <c:pt idx="29">
                  <c:v>9.7232459961133819E-2</c:v>
                </c:pt>
                <c:pt idx="30">
                  <c:v>0.10526636596367182</c:v>
                </c:pt>
                <c:pt idx="31">
                  <c:v>0.10710179050539342</c:v>
                </c:pt>
                <c:pt idx="32">
                  <c:v>9.1793020457280383E-2</c:v>
                </c:pt>
                <c:pt idx="33">
                  <c:v>6.929659778751826E-2</c:v>
                </c:pt>
                <c:pt idx="34">
                  <c:v>7.0211068397766002E-2</c:v>
                </c:pt>
                <c:pt idx="35">
                  <c:v>5.5445227418321585E-2</c:v>
                </c:pt>
                <c:pt idx="36">
                  <c:v>6.7804789768956986E-2</c:v>
                </c:pt>
                <c:pt idx="37">
                  <c:v>8.2659162856137891E-2</c:v>
                </c:pt>
                <c:pt idx="38">
                  <c:v>8.1454223501092868E-2</c:v>
                </c:pt>
                <c:pt idx="39">
                  <c:v>7.1993919698081554E-2</c:v>
                </c:pt>
                <c:pt idx="40">
                  <c:v>8.0222757375075254E-2</c:v>
                </c:pt>
                <c:pt idx="41">
                  <c:v>8.8113288513803456E-2</c:v>
                </c:pt>
                <c:pt idx="42">
                  <c:v>8.035694266944686E-2</c:v>
                </c:pt>
                <c:pt idx="43">
                  <c:v>7.5837406631541079E-2</c:v>
                </c:pt>
                <c:pt idx="44">
                  <c:v>7.6288164115714402E-2</c:v>
                </c:pt>
                <c:pt idx="45">
                  <c:v>8.288602437017592E-2</c:v>
                </c:pt>
                <c:pt idx="46">
                  <c:v>8.8489535941765243E-2</c:v>
                </c:pt>
                <c:pt idx="47">
                  <c:v>9.9632466098165937E-2</c:v>
                </c:pt>
                <c:pt idx="48">
                  <c:v>0.10701468189233279</c:v>
                </c:pt>
                <c:pt idx="49">
                  <c:v>0.11364190210062872</c:v>
                </c:pt>
                <c:pt idx="50">
                  <c:v>0.12010568929818596</c:v>
                </c:pt>
                <c:pt idx="51">
                  <c:v>0.10387728516854261</c:v>
                </c:pt>
                <c:pt idx="52">
                  <c:v>0.10178413120567376</c:v>
                </c:pt>
                <c:pt idx="53">
                  <c:v>8.8037326990184669E-2</c:v>
                </c:pt>
                <c:pt idx="54">
                  <c:v>7.4930800278018267E-2</c:v>
                </c:pt>
                <c:pt idx="55">
                  <c:v>8.271956642579209E-2</c:v>
                </c:pt>
                <c:pt idx="56">
                  <c:v>9.0666488013488325E-2</c:v>
                </c:pt>
                <c:pt idx="57">
                  <c:v>0.11341766089001133</c:v>
                </c:pt>
                <c:pt idx="58">
                  <c:v>0.12277107825823703</c:v>
                </c:pt>
                <c:pt idx="59">
                  <c:v>0.12550727598599595</c:v>
                </c:pt>
                <c:pt idx="60">
                  <c:v>9.9298795366398684E-2</c:v>
                </c:pt>
                <c:pt idx="61">
                  <c:v>6.834012567179204E-2</c:v>
                </c:pt>
                <c:pt idx="62">
                  <c:v>7.5315877606941695E-2</c:v>
                </c:pt>
                <c:pt idx="63">
                  <c:v>0.1024193611878725</c:v>
                </c:pt>
                <c:pt idx="64">
                  <c:v>0.1068212949994613</c:v>
                </c:pt>
              </c:numCache>
            </c:numRef>
          </c:val>
          <c:smooth val="0"/>
          <c:extLst>
            <c:ext xmlns:c16="http://schemas.microsoft.com/office/drawing/2014/chart" uri="{C3380CC4-5D6E-409C-BE32-E72D297353CC}">
              <c16:uniqueId val="{00000001-FEE4-40D9-AB82-F24C244A3E93}"/>
            </c:ext>
          </c:extLst>
        </c:ser>
        <c:ser>
          <c:idx val="2"/>
          <c:order val="2"/>
          <c:tx>
            <c:strRef>
              <c:f>'Appndx6.8.I.1-3'!$C$156</c:f>
              <c:strCache>
                <c:ptCount val="1"/>
                <c:pt idx="0">
                  <c:v>rnoncorp</c:v>
                </c:pt>
              </c:strCache>
            </c:strRef>
          </c:tx>
          <c:spPr>
            <a:ln>
              <a:solidFill>
                <a:schemeClr val="tx1"/>
              </a:solidFill>
              <a:prstDash val="dash"/>
            </a:ln>
          </c:spPr>
          <c:marker>
            <c:symbol val="none"/>
          </c:marker>
          <c:val>
            <c:numRef>
              <c:f>'Appndx6.8.I.1-3'!$D$156:$BP$156</c:f>
              <c:numCache>
                <c:formatCode>0.0%</c:formatCode>
                <c:ptCount val="65"/>
                <c:pt idx="0">
                  <c:v>0.18186508829153081</c:v>
                </c:pt>
                <c:pt idx="1">
                  <c:v>0.19274656528125808</c:v>
                </c:pt>
                <c:pt idx="2">
                  <c:v>0.15683319819298053</c:v>
                </c:pt>
                <c:pt idx="3">
                  <c:v>0.1806038455085178</c:v>
                </c:pt>
                <c:pt idx="4">
                  <c:v>0.17754017045055781</c:v>
                </c:pt>
                <c:pt idx="5">
                  <c:v>0.15397465152877704</c:v>
                </c:pt>
                <c:pt idx="6">
                  <c:v>0.14125030945984354</c:v>
                </c:pt>
                <c:pt idx="7">
                  <c:v>0.13798416650120404</c:v>
                </c:pt>
                <c:pt idx="8">
                  <c:v>0.16045738134125054</c:v>
                </c:pt>
                <c:pt idx="9">
                  <c:v>0.14180577427821528</c:v>
                </c:pt>
                <c:pt idx="10">
                  <c:v>0.13178849169294746</c:v>
                </c:pt>
                <c:pt idx="11">
                  <c:v>0.12201118477459337</c:v>
                </c:pt>
                <c:pt idx="12">
                  <c:v>0.139107036124477</c:v>
                </c:pt>
                <c:pt idx="13">
                  <c:v>0.12860743962098486</c:v>
                </c:pt>
                <c:pt idx="14">
                  <c:v>0.12887409744655631</c:v>
                </c:pt>
                <c:pt idx="15">
                  <c:v>0.13745511545161915</c:v>
                </c:pt>
                <c:pt idx="16">
                  <c:v>0.1409852656509758</c:v>
                </c:pt>
                <c:pt idx="17">
                  <c:v>0.14783463096120253</c:v>
                </c:pt>
                <c:pt idx="18">
                  <c:v>0.15416769570843394</c:v>
                </c:pt>
                <c:pt idx="19">
                  <c:v>0.15157463434090718</c:v>
                </c:pt>
                <c:pt idx="20">
                  <c:v>0.13339204637581728</c:v>
                </c:pt>
                <c:pt idx="21">
                  <c:v>0.12923977055124594</c:v>
                </c:pt>
                <c:pt idx="22">
                  <c:v>0.10896250496522171</c:v>
                </c:pt>
                <c:pt idx="23">
                  <c:v>8.4749203145452229E-2</c:v>
                </c:pt>
                <c:pt idx="24">
                  <c:v>8.8201574328156604E-2</c:v>
                </c:pt>
                <c:pt idx="25">
                  <c:v>8.8974633632114025E-2</c:v>
                </c:pt>
                <c:pt idx="26">
                  <c:v>8.8502482021769913E-2</c:v>
                </c:pt>
                <c:pt idx="27">
                  <c:v>6.651038525042316E-2</c:v>
                </c:pt>
                <c:pt idx="28">
                  <c:v>6.7183225354022075E-2</c:v>
                </c:pt>
                <c:pt idx="29">
                  <c:v>7.2893469234667774E-2</c:v>
                </c:pt>
                <c:pt idx="30">
                  <c:v>7.6811561314723442E-2</c:v>
                </c:pt>
                <c:pt idx="31">
                  <c:v>7.6201070463247797E-2</c:v>
                </c:pt>
                <c:pt idx="32">
                  <c:v>6.4831319785077515E-2</c:v>
                </c:pt>
                <c:pt idx="33">
                  <c:v>4.5935572173056029E-2</c:v>
                </c:pt>
                <c:pt idx="34">
                  <c:v>4.4505490225751329E-2</c:v>
                </c:pt>
                <c:pt idx="35">
                  <c:v>3.4386475152457921E-2</c:v>
                </c:pt>
                <c:pt idx="36">
                  <c:v>4.1284362769339202E-2</c:v>
                </c:pt>
                <c:pt idx="37">
                  <c:v>5.2055962498919611E-2</c:v>
                </c:pt>
                <c:pt idx="38">
                  <c:v>5.1162525053634805E-2</c:v>
                </c:pt>
                <c:pt idx="39">
                  <c:v>4.5862800942381571E-2</c:v>
                </c:pt>
                <c:pt idx="40">
                  <c:v>5.0490345974740759E-2</c:v>
                </c:pt>
                <c:pt idx="41">
                  <c:v>5.7587524120764073E-2</c:v>
                </c:pt>
                <c:pt idx="42">
                  <c:v>5.3661937323987038E-2</c:v>
                </c:pt>
                <c:pt idx="43">
                  <c:v>5.1546688160683245E-2</c:v>
                </c:pt>
                <c:pt idx="44">
                  <c:v>5.2220197839113275E-2</c:v>
                </c:pt>
                <c:pt idx="45">
                  <c:v>5.9509444121115272E-2</c:v>
                </c:pt>
                <c:pt idx="46">
                  <c:v>6.5515754477108529E-2</c:v>
                </c:pt>
                <c:pt idx="47">
                  <c:v>7.4578777202390048E-2</c:v>
                </c:pt>
                <c:pt idx="48">
                  <c:v>8.0822006414282097E-2</c:v>
                </c:pt>
                <c:pt idx="49">
                  <c:v>9.1191514123636838E-2</c:v>
                </c:pt>
                <c:pt idx="50">
                  <c:v>9.6897270995210366E-2</c:v>
                </c:pt>
                <c:pt idx="51">
                  <c:v>8.7382287404202605E-2</c:v>
                </c:pt>
                <c:pt idx="52">
                  <c:v>8.7611847294769882E-2</c:v>
                </c:pt>
                <c:pt idx="53">
                  <c:v>7.8800467010576497E-2</c:v>
                </c:pt>
                <c:pt idx="54">
                  <c:v>7.5797158016087191E-2</c:v>
                </c:pt>
                <c:pt idx="55">
                  <c:v>8.5667442336481756E-2</c:v>
                </c:pt>
                <c:pt idx="56">
                  <c:v>9.4427544820435375E-2</c:v>
                </c:pt>
                <c:pt idx="57">
                  <c:v>0.11927482693479305</c:v>
                </c:pt>
                <c:pt idx="58">
                  <c:v>0.12559363186507472</c:v>
                </c:pt>
                <c:pt idx="59">
                  <c:v>0.12868241440392275</c:v>
                </c:pt>
                <c:pt idx="60">
                  <c:v>0.10343912666977828</c:v>
                </c:pt>
                <c:pt idx="61">
                  <c:v>7.578789766422743E-2</c:v>
                </c:pt>
                <c:pt idx="62">
                  <c:v>8.0980388970216699E-2</c:v>
                </c:pt>
                <c:pt idx="63">
                  <c:v>0.10995316961819634</c:v>
                </c:pt>
                <c:pt idx="64">
                  <c:v>0.11608132539466109</c:v>
                </c:pt>
              </c:numCache>
            </c:numRef>
          </c:val>
          <c:smooth val="0"/>
          <c:extLst>
            <c:ext xmlns:c16="http://schemas.microsoft.com/office/drawing/2014/chart" uri="{C3380CC4-5D6E-409C-BE32-E72D297353CC}">
              <c16:uniqueId val="{00000002-FEE4-40D9-AB82-F24C244A3E93}"/>
            </c:ext>
          </c:extLst>
        </c:ser>
        <c:dLbls>
          <c:showLegendKey val="0"/>
          <c:showVal val="0"/>
          <c:showCatName val="0"/>
          <c:showSerName val="0"/>
          <c:showPercent val="0"/>
          <c:showBubbleSize val="0"/>
        </c:dLbls>
        <c:smooth val="0"/>
        <c:axId val="66434176"/>
        <c:axId val="66435712"/>
      </c:lineChart>
      <c:catAx>
        <c:axId val="66434176"/>
        <c:scaling>
          <c:orientation val="minMax"/>
        </c:scaling>
        <c:delete val="0"/>
        <c:axPos val="b"/>
        <c:majorGridlines/>
        <c:numFmt formatCode="General" sourceLinked="1"/>
        <c:majorTickMark val="out"/>
        <c:minorTickMark val="none"/>
        <c:tickLblPos val="nextTo"/>
        <c:txPr>
          <a:bodyPr/>
          <a:lstStyle/>
          <a:p>
            <a:pPr>
              <a:defRPr sz="1400"/>
            </a:pPr>
            <a:endParaRPr lang="en-US"/>
          </a:p>
        </c:txPr>
        <c:crossAx val="66435712"/>
        <c:crossesAt val="-5.000000000000001E-2"/>
        <c:auto val="1"/>
        <c:lblAlgn val="ctr"/>
        <c:lblOffset val="100"/>
        <c:tickLblSkip val="4"/>
        <c:tickMarkSkip val="2"/>
        <c:noMultiLvlLbl val="0"/>
      </c:catAx>
      <c:valAx>
        <c:axId val="66435712"/>
        <c:scaling>
          <c:orientation val="minMax"/>
        </c:scaling>
        <c:delete val="0"/>
        <c:axPos val="l"/>
        <c:majorGridlines/>
        <c:minorGridlines/>
        <c:numFmt formatCode="0%" sourceLinked="0"/>
        <c:majorTickMark val="out"/>
        <c:minorTickMark val="none"/>
        <c:tickLblPos val="nextTo"/>
        <c:txPr>
          <a:bodyPr/>
          <a:lstStyle/>
          <a:p>
            <a:pPr>
              <a:defRPr sz="1400"/>
            </a:pPr>
            <a:endParaRPr lang="en-US"/>
          </a:p>
        </c:txPr>
        <c:crossAx val="66434176"/>
        <c:crossesAt val="1"/>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6.8.II.7'!$D$30</c:f>
              <c:strCache>
                <c:ptCount val="1"/>
                <c:pt idx="0">
                  <c:v>Rcorp</c:v>
                </c:pt>
              </c:strCache>
            </c:strRef>
          </c:tx>
          <c:spPr>
            <a:ln w="349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6.8.II.7'!$G$30:$BS$30</c:f>
              <c:numCache>
                <c:formatCode>0.00%</c:formatCode>
                <c:ptCount val="65"/>
                <c:pt idx="0">
                  <c:v>0.68466987621207798</c:v>
                </c:pt>
                <c:pt idx="1">
                  <c:v>0.69467410661314399</c:v>
                </c:pt>
                <c:pt idx="2">
                  <c:v>0.60050337900220219</c:v>
                </c:pt>
                <c:pt idx="3">
                  <c:v>0.65698912156601263</c:v>
                </c:pt>
                <c:pt idx="4">
                  <c:v>0.65023392974425054</c:v>
                </c:pt>
                <c:pt idx="5">
                  <c:v>0.60687122147839079</c:v>
                </c:pt>
                <c:pt idx="6">
                  <c:v>0.60315190656815554</c:v>
                </c:pt>
                <c:pt idx="7">
                  <c:v>0.55569067538063255</c:v>
                </c:pt>
                <c:pt idx="8">
                  <c:v>0.6037407038283239</c:v>
                </c:pt>
                <c:pt idx="9">
                  <c:v>0.57389920282222595</c:v>
                </c:pt>
                <c:pt idx="10">
                  <c:v>0.53186821774617066</c:v>
                </c:pt>
                <c:pt idx="11">
                  <c:v>0.47834446460875218</c:v>
                </c:pt>
                <c:pt idx="12">
                  <c:v>0.51974920928295865</c:v>
                </c:pt>
                <c:pt idx="13">
                  <c:v>0.50966624121666726</c:v>
                </c:pt>
                <c:pt idx="14">
                  <c:v>0.50601372914731124</c:v>
                </c:pt>
                <c:pt idx="15">
                  <c:v>0.53135212531216325</c:v>
                </c:pt>
                <c:pt idx="16">
                  <c:v>0.54005563841627058</c:v>
                </c:pt>
                <c:pt idx="17">
                  <c:v>0.55703085303956246</c:v>
                </c:pt>
                <c:pt idx="18">
                  <c:v>0.57395336351940329</c:v>
                </c:pt>
                <c:pt idx="19">
                  <c:v>0.58012151583609928</c:v>
                </c:pt>
                <c:pt idx="20">
                  <c:v>0.55463922698331181</c:v>
                </c:pt>
                <c:pt idx="21">
                  <c:v>0.56076008390846166</c:v>
                </c:pt>
                <c:pt idx="22">
                  <c:v>0.5499003097955506</c:v>
                </c:pt>
                <c:pt idx="23">
                  <c:v>0.50914968735450417</c:v>
                </c:pt>
                <c:pt idx="24">
                  <c:v>0.49803639534982541</c:v>
                </c:pt>
                <c:pt idx="25">
                  <c:v>0.50178717639212356</c:v>
                </c:pt>
                <c:pt idx="26">
                  <c:v>0.51105403540786232</c:v>
                </c:pt>
                <c:pt idx="27">
                  <c:v>0.47980918489594965</c:v>
                </c:pt>
                <c:pt idx="28">
                  <c:v>0.41817890855195794</c:v>
                </c:pt>
                <c:pt idx="29">
                  <c:v>0.4244923204104592</c:v>
                </c:pt>
                <c:pt idx="30">
                  <c:v>0.43157504230526494</c:v>
                </c:pt>
                <c:pt idx="31">
                  <c:v>0.43867139586335202</c:v>
                </c:pt>
                <c:pt idx="32">
                  <c:v>0.42628067750488741</c:v>
                </c:pt>
                <c:pt idx="33">
                  <c:v>0.39631487424960021</c:v>
                </c:pt>
                <c:pt idx="34">
                  <c:v>0.38978484563718474</c:v>
                </c:pt>
                <c:pt idx="35">
                  <c:v>0.35411984848100114</c:v>
                </c:pt>
                <c:pt idx="36">
                  <c:v>0.35829031510077947</c:v>
                </c:pt>
                <c:pt idx="37">
                  <c:v>0.38813946892152446</c:v>
                </c:pt>
                <c:pt idx="38">
                  <c:v>0.38704909074628013</c:v>
                </c:pt>
                <c:pt idx="39">
                  <c:v>0.37853359888612809</c:v>
                </c:pt>
                <c:pt idx="40">
                  <c:v>0.38651022284765507</c:v>
                </c:pt>
                <c:pt idx="41">
                  <c:v>0.39204712312652235</c:v>
                </c:pt>
                <c:pt idx="42">
                  <c:v>0.38739213506660475</c:v>
                </c:pt>
                <c:pt idx="43">
                  <c:v>0.3806054726188986</c:v>
                </c:pt>
                <c:pt idx="44">
                  <c:v>0.36901183876152915</c:v>
                </c:pt>
                <c:pt idx="45">
                  <c:v>0.37581885477886884</c:v>
                </c:pt>
                <c:pt idx="46">
                  <c:v>0.37690651424185428</c:v>
                </c:pt>
                <c:pt idx="47">
                  <c:v>0.38506480161944967</c:v>
                </c:pt>
                <c:pt idx="48">
                  <c:v>0.37997680498951752</c:v>
                </c:pt>
                <c:pt idx="49">
                  <c:v>0.38545350876657952</c:v>
                </c:pt>
                <c:pt idx="50">
                  <c:v>0.39264159871689791</c:v>
                </c:pt>
                <c:pt idx="51">
                  <c:v>0.39276562174392898</c:v>
                </c:pt>
                <c:pt idx="52">
                  <c:v>0.39532142643814377</c:v>
                </c:pt>
                <c:pt idx="53">
                  <c:v>0.39718481449161236</c:v>
                </c:pt>
                <c:pt idx="54">
                  <c:v>0.36945784214122335</c:v>
                </c:pt>
                <c:pt idx="55">
                  <c:v>0.35583018319759485</c:v>
                </c:pt>
                <c:pt idx="56">
                  <c:v>0.35327708964860338</c:v>
                </c:pt>
                <c:pt idx="57">
                  <c:v>0.36318922096742573</c:v>
                </c:pt>
                <c:pt idx="58">
                  <c:v>0.35930883983920453</c:v>
                </c:pt>
                <c:pt idx="59">
                  <c:v>0.34950581478599657</c:v>
                </c:pt>
                <c:pt idx="60">
                  <c:v>0.32719943149020247</c:v>
                </c:pt>
                <c:pt idx="61">
                  <c:v>0.30288184303017796</c:v>
                </c:pt>
                <c:pt idx="62">
                  <c:v>0.27656979369546331</c:v>
                </c:pt>
                <c:pt idx="63">
                  <c:v>0.30203149936329021</c:v>
                </c:pt>
                <c:pt idx="64">
                  <c:v>0.30815798238376291</c:v>
                </c:pt>
              </c:numCache>
            </c:numRef>
          </c:val>
          <c:smooth val="0"/>
          <c:extLst>
            <c:ext xmlns:c16="http://schemas.microsoft.com/office/drawing/2014/chart" uri="{C3380CC4-5D6E-409C-BE32-E72D297353CC}">
              <c16:uniqueId val="{00000000-5F5D-46EF-B935-F06BC7FE6E21}"/>
            </c:ext>
          </c:extLst>
        </c:ser>
        <c:ser>
          <c:idx val="1"/>
          <c:order val="1"/>
          <c:tx>
            <c:strRef>
              <c:f>'Appndx 6.8.II.7'!$D$37</c:f>
              <c:strCache>
                <c:ptCount val="1"/>
                <c:pt idx="0">
                  <c:v>Rcorpnipa</c:v>
                </c:pt>
              </c:strCache>
            </c:strRef>
          </c:tx>
          <c:spPr>
            <a:ln w="31750">
              <a:solidFill>
                <a:schemeClr val="tx1"/>
              </a:solidFill>
              <a:prstDash val="dash"/>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6.8.II.7'!$G$37:$BS$37</c:f>
              <c:numCache>
                <c:formatCode>0.00%</c:formatCode>
                <c:ptCount val="65"/>
                <c:pt idx="0">
                  <c:v>0.73462986198243407</c:v>
                </c:pt>
                <c:pt idx="1">
                  <c:v>0.70541820094687002</c:v>
                </c:pt>
                <c:pt idx="2">
                  <c:v>0.62614127823161947</c:v>
                </c:pt>
                <c:pt idx="3">
                  <c:v>0.69934024505183801</c:v>
                </c:pt>
                <c:pt idx="4">
                  <c:v>0.71524569508609837</c:v>
                </c:pt>
                <c:pt idx="5">
                  <c:v>0.68897485493230171</c:v>
                </c:pt>
                <c:pt idx="6">
                  <c:v>0.69762340036563064</c:v>
                </c:pt>
                <c:pt idx="7">
                  <c:v>0.6529616724738676</c:v>
                </c:pt>
                <c:pt idx="8">
                  <c:v>0.71926854046732136</c:v>
                </c:pt>
                <c:pt idx="9">
                  <c:v>0.69661538461538464</c:v>
                </c:pt>
                <c:pt idx="10">
                  <c:v>0.65317438314388676</c:v>
                </c:pt>
                <c:pt idx="11">
                  <c:v>0.59214267252520036</c:v>
                </c:pt>
                <c:pt idx="12">
                  <c:v>0.65466531440162268</c:v>
                </c:pt>
                <c:pt idx="13">
                  <c:v>0.6557337220602526</c:v>
                </c:pt>
                <c:pt idx="14">
                  <c:v>0.66087163610383426</c:v>
                </c:pt>
                <c:pt idx="15">
                  <c:v>0.70532186846386236</c:v>
                </c:pt>
                <c:pt idx="16">
                  <c:v>0.7266996848266547</c:v>
                </c:pt>
                <c:pt idx="17">
                  <c:v>0.76260091643028582</c:v>
                </c:pt>
                <c:pt idx="18">
                  <c:v>0.79355238685678864</c:v>
                </c:pt>
                <c:pt idx="19">
                  <c:v>0.81310398144569007</c:v>
                </c:pt>
                <c:pt idx="20">
                  <c:v>0.78541001064962734</c:v>
                </c:pt>
                <c:pt idx="21">
                  <c:v>0.79977079240340543</c:v>
                </c:pt>
                <c:pt idx="22">
                  <c:v>0.79036574487065125</c:v>
                </c:pt>
                <c:pt idx="23">
                  <c:v>0.73917150182161639</c:v>
                </c:pt>
                <c:pt idx="24">
                  <c:v>0.72489885987495406</c:v>
                </c:pt>
                <c:pt idx="25">
                  <c:v>0.73391420911528149</c:v>
                </c:pt>
                <c:pt idx="26">
                  <c:v>0.75673729685249946</c:v>
                </c:pt>
                <c:pt idx="27">
                  <c:v>0.72088572990705302</c:v>
                </c:pt>
                <c:pt idx="28">
                  <c:v>0.63131313131313127</c:v>
                </c:pt>
                <c:pt idx="29">
                  <c:v>0.64089875618563596</c:v>
                </c:pt>
                <c:pt idx="30">
                  <c:v>0.66133349555907039</c:v>
                </c:pt>
                <c:pt idx="31">
                  <c:v>0.67867096562653684</c:v>
                </c:pt>
                <c:pt idx="32">
                  <c:v>0.66005284650492435</c:v>
                </c:pt>
                <c:pt idx="33">
                  <c:v>0.6180772596574573</c:v>
                </c:pt>
                <c:pt idx="34">
                  <c:v>0.60875706214689274</c:v>
                </c:pt>
                <c:pt idx="35">
                  <c:v>0.55543467827088588</c:v>
                </c:pt>
                <c:pt idx="36">
                  <c:v>0.56538901946603981</c:v>
                </c:pt>
                <c:pt idx="37">
                  <c:v>0.62026761924281903</c:v>
                </c:pt>
                <c:pt idx="38">
                  <c:v>0.62314835286314396</c:v>
                </c:pt>
                <c:pt idx="39">
                  <c:v>0.61550545911554466</c:v>
                </c:pt>
                <c:pt idx="40">
                  <c:v>0.63315537509085895</c:v>
                </c:pt>
                <c:pt idx="41">
                  <c:v>0.65196779111873437</c:v>
                </c:pt>
                <c:pt idx="42">
                  <c:v>0.64502901700687898</c:v>
                </c:pt>
                <c:pt idx="43">
                  <c:v>0.63533691468212006</c:v>
                </c:pt>
                <c:pt idx="44">
                  <c:v>0.61590995573891971</c:v>
                </c:pt>
                <c:pt idx="45">
                  <c:v>0.63469863469863463</c:v>
                </c:pt>
                <c:pt idx="46">
                  <c:v>0.64506406854196674</c:v>
                </c:pt>
                <c:pt idx="47">
                  <c:v>0.66358913086768412</c:v>
                </c:pt>
                <c:pt idx="48">
                  <c:v>0.66634042480125</c:v>
                </c:pt>
                <c:pt idx="49">
                  <c:v>0.66929901530661984</c:v>
                </c:pt>
                <c:pt idx="50">
                  <c:v>0.68594568695033931</c:v>
                </c:pt>
                <c:pt idx="51">
                  <c:v>0.69116462923651267</c:v>
                </c:pt>
                <c:pt idx="52">
                  <c:v>0.6925709377078253</c:v>
                </c:pt>
                <c:pt idx="53">
                  <c:v>0.6976680276381908</c:v>
                </c:pt>
                <c:pt idx="54">
                  <c:v>0.64882452234753041</c:v>
                </c:pt>
                <c:pt idx="55">
                  <c:v>0.62436595467448464</c:v>
                </c:pt>
                <c:pt idx="56">
                  <c:v>0.62700809412081671</c:v>
                </c:pt>
                <c:pt idx="57">
                  <c:v>0.6493718565612141</c:v>
                </c:pt>
                <c:pt idx="58">
                  <c:v>0.64937686058832433</c:v>
                </c:pt>
                <c:pt idx="59">
                  <c:v>0.64052821708161933</c:v>
                </c:pt>
                <c:pt idx="60">
                  <c:v>0.59865238572248058</c:v>
                </c:pt>
                <c:pt idx="61">
                  <c:v>0.56588838916040207</c:v>
                </c:pt>
                <c:pt idx="62">
                  <c:v>0.50460496270360788</c:v>
                </c:pt>
                <c:pt idx="63">
                  <c:v>0.55584685514537424</c:v>
                </c:pt>
                <c:pt idx="64">
                  <c:v>0.57189140104351033</c:v>
                </c:pt>
              </c:numCache>
            </c:numRef>
          </c:val>
          <c:smooth val="0"/>
          <c:extLst>
            <c:ext xmlns:c16="http://schemas.microsoft.com/office/drawing/2014/chart" uri="{C3380CC4-5D6E-409C-BE32-E72D297353CC}">
              <c16:uniqueId val="{00000001-5F5D-46EF-B935-F06BC7FE6E21}"/>
            </c:ext>
          </c:extLst>
        </c:ser>
        <c:ser>
          <c:idx val="2"/>
          <c:order val="2"/>
          <c:tx>
            <c:strRef>
              <c:f>'Appndx 6.8.II.7'!$D$31</c:f>
              <c:strCache>
                <c:ptCount val="1"/>
                <c:pt idx="0">
                  <c:v>Profshcorp</c:v>
                </c:pt>
              </c:strCache>
            </c:strRef>
          </c:tx>
          <c:spPr>
            <a:ln w="34925">
              <a:solidFill>
                <a:schemeClr val="tx1"/>
              </a:solidFill>
              <a:prstDash val="solid"/>
            </a:ln>
          </c:spPr>
          <c:marker>
            <c:symbol val="none"/>
          </c:marker>
          <c:val>
            <c:numRef>
              <c:f>'Appndx 6.8.II.7'!$G$31:$BS$31</c:f>
              <c:numCache>
                <c:formatCode>0.00%</c:formatCode>
                <c:ptCount val="65"/>
                <c:pt idx="0">
                  <c:v>0.20994940978077573</c:v>
                </c:pt>
                <c:pt idx="1">
                  <c:v>0.2360294117647059</c:v>
                </c:pt>
                <c:pt idx="2">
                  <c:v>0.22809667673716011</c:v>
                </c:pt>
                <c:pt idx="3">
                  <c:v>0.24701195219123509</c:v>
                </c:pt>
                <c:pt idx="4">
                  <c:v>0.24580682475419316</c:v>
                </c:pt>
                <c:pt idx="5">
                  <c:v>0.2244333886124931</c:v>
                </c:pt>
                <c:pt idx="6">
                  <c:v>0.21229338842975204</c:v>
                </c:pt>
                <c:pt idx="7">
                  <c:v>0.21165966386554619</c:v>
                </c:pt>
                <c:pt idx="8">
                  <c:v>0.23783031988873435</c:v>
                </c:pt>
                <c:pt idx="9">
                  <c:v>0.21869565217391307</c:v>
                </c:pt>
                <c:pt idx="10">
                  <c:v>0.21068001668752612</c:v>
                </c:pt>
                <c:pt idx="11">
                  <c:v>0.19871520342612417</c:v>
                </c:pt>
                <c:pt idx="12">
                  <c:v>0.21897533206831118</c:v>
                </c:pt>
                <c:pt idx="13">
                  <c:v>0.20739666424945616</c:v>
                </c:pt>
                <c:pt idx="14">
                  <c:v>0.20783345095271699</c:v>
                </c:pt>
                <c:pt idx="15">
                  <c:v>0.21845756695708296</c:v>
                </c:pt>
                <c:pt idx="16">
                  <c:v>0.22484848484848485</c:v>
                </c:pt>
                <c:pt idx="17">
                  <c:v>0.23003642476884281</c:v>
                </c:pt>
                <c:pt idx="18">
                  <c:v>0.24075490946187197</c:v>
                </c:pt>
                <c:pt idx="19">
                  <c:v>0.23754075454122028</c:v>
                </c:pt>
                <c:pt idx="20">
                  <c:v>0.22490582760912917</c:v>
                </c:pt>
                <c:pt idx="21">
                  <c:v>0.2208650380456548</c:v>
                </c:pt>
                <c:pt idx="22">
                  <c:v>0.20457058606708439</c:v>
                </c:pt>
                <c:pt idx="23">
                  <c:v>0.18327974276527334</c:v>
                </c:pt>
                <c:pt idx="24">
                  <c:v>0.19202118854494291</c:v>
                </c:pt>
                <c:pt idx="25">
                  <c:v>0.19612807148175723</c:v>
                </c:pt>
                <c:pt idx="26">
                  <c:v>0.19275189167662282</c:v>
                </c:pt>
                <c:pt idx="27">
                  <c:v>0.17612863327149042</c:v>
                </c:pt>
                <c:pt idx="28">
                  <c:v>0.19193436561127805</c:v>
                </c:pt>
                <c:pt idx="29">
                  <c:v>0.19510947411499899</c:v>
                </c:pt>
                <c:pt idx="30">
                  <c:v>0.19963817277250115</c:v>
                </c:pt>
                <c:pt idx="31">
                  <c:v>0.20028487773996997</c:v>
                </c:pt>
                <c:pt idx="32">
                  <c:v>0.18791514891793443</c:v>
                </c:pt>
                <c:pt idx="33">
                  <c:v>0.16996809359212975</c:v>
                </c:pt>
                <c:pt idx="34">
                  <c:v>0.1786429496996112</c:v>
                </c:pt>
                <c:pt idx="35">
                  <c:v>0.16908405664687073</c:v>
                </c:pt>
                <c:pt idx="36">
                  <c:v>0.18218880711600571</c:v>
                </c:pt>
                <c:pt idx="37">
                  <c:v>0.19862178886180384</c:v>
                </c:pt>
                <c:pt idx="38">
                  <c:v>0.19558151791988754</c:v>
                </c:pt>
                <c:pt idx="39">
                  <c:v>0.18226268757376496</c:v>
                </c:pt>
                <c:pt idx="40">
                  <c:v>0.18763468244328646</c:v>
                </c:pt>
                <c:pt idx="41">
                  <c:v>0.19723830414613977</c:v>
                </c:pt>
                <c:pt idx="42">
                  <c:v>0.19602088523359384</c:v>
                </c:pt>
                <c:pt idx="43">
                  <c:v>0.18917419817938594</c:v>
                </c:pt>
                <c:pt idx="44">
                  <c:v>0.18800406426620944</c:v>
                </c:pt>
                <c:pt idx="45">
                  <c:v>0.18386706948640483</c:v>
                </c:pt>
                <c:pt idx="46">
                  <c:v>0.1847093391715158</c:v>
                </c:pt>
                <c:pt idx="47">
                  <c:v>0.19531709927749535</c:v>
                </c:pt>
                <c:pt idx="48">
                  <c:v>0.20732105620179386</c:v>
                </c:pt>
                <c:pt idx="49">
                  <c:v>0.21532508842310155</c:v>
                </c:pt>
                <c:pt idx="50">
                  <c:v>0.21913081941833465</c:v>
                </c:pt>
                <c:pt idx="51">
                  <c:v>0.20210385427776734</c:v>
                </c:pt>
                <c:pt idx="52">
                  <c:v>0.19922482145316472</c:v>
                </c:pt>
                <c:pt idx="53">
                  <c:v>0.18569453405843855</c:v>
                </c:pt>
                <c:pt idx="54">
                  <c:v>0.17844875346260389</c:v>
                </c:pt>
                <c:pt idx="55">
                  <c:v>0.18413468553917992</c:v>
                </c:pt>
                <c:pt idx="56">
                  <c:v>0.19001979920452752</c:v>
                </c:pt>
                <c:pt idx="57">
                  <c:v>0.2134347357770017</c:v>
                </c:pt>
                <c:pt idx="58">
                  <c:v>0.22875955498372819</c:v>
                </c:pt>
                <c:pt idx="59">
                  <c:v>0.23525145067698255</c:v>
                </c:pt>
                <c:pt idx="60">
                  <c:v>0.21706706216507396</c:v>
                </c:pt>
                <c:pt idx="61">
                  <c:v>0.18472323771020596</c:v>
                </c:pt>
                <c:pt idx="62">
                  <c:v>0.20949592630380459</c:v>
                </c:pt>
                <c:pt idx="63">
                  <c:v>0.24128790507251405</c:v>
                </c:pt>
                <c:pt idx="64">
                  <c:v>0.24459241164650722</c:v>
                </c:pt>
              </c:numCache>
            </c:numRef>
          </c:val>
          <c:smooth val="0"/>
          <c:extLst>
            <c:ext xmlns:c16="http://schemas.microsoft.com/office/drawing/2014/chart" uri="{C3380CC4-5D6E-409C-BE32-E72D297353CC}">
              <c16:uniqueId val="{00000002-5F5D-46EF-B935-F06BC7FE6E21}"/>
            </c:ext>
          </c:extLst>
        </c:ser>
        <c:ser>
          <c:idx val="3"/>
          <c:order val="3"/>
          <c:tx>
            <c:strRef>
              <c:f>'Appndx 6.8.II.7'!$D$38</c:f>
              <c:strCache>
                <c:ptCount val="1"/>
                <c:pt idx="0">
                  <c:v>Profshcorpnipa</c:v>
                </c:pt>
              </c:strCache>
            </c:strRef>
          </c:tx>
          <c:spPr>
            <a:ln w="28575">
              <a:solidFill>
                <a:schemeClr val="tx1"/>
              </a:solidFill>
              <a:prstDash val="dash"/>
            </a:ln>
          </c:spPr>
          <c:marker>
            <c:symbol val="none"/>
          </c:marker>
          <c:val>
            <c:numRef>
              <c:f>'Appndx 6.8.II.7'!$G$38:$BS$38</c:f>
              <c:numCache>
                <c:formatCode>0.00%</c:formatCode>
                <c:ptCount val="65"/>
                <c:pt idx="0">
                  <c:v>0.19214346712211786</c:v>
                </c:pt>
                <c:pt idx="1">
                  <c:v>0.22073079791200598</c:v>
                </c:pt>
                <c:pt idx="2">
                  <c:v>0.21181887950882577</c:v>
                </c:pt>
                <c:pt idx="3">
                  <c:v>0.23180592991913745</c:v>
                </c:pt>
                <c:pt idx="4">
                  <c:v>0.22959483264826774</c:v>
                </c:pt>
                <c:pt idx="5">
                  <c:v>0.20774845592363841</c:v>
                </c:pt>
                <c:pt idx="6">
                  <c:v>0.19549266247379454</c:v>
                </c:pt>
                <c:pt idx="7">
                  <c:v>0.1942369263607257</c:v>
                </c:pt>
                <c:pt idx="8">
                  <c:v>0.21939736346516009</c:v>
                </c:pt>
                <c:pt idx="9">
                  <c:v>0.19964664310954064</c:v>
                </c:pt>
                <c:pt idx="10">
                  <c:v>0.18887945670628187</c:v>
                </c:pt>
                <c:pt idx="11">
                  <c:v>0.17415975556525531</c:v>
                </c:pt>
                <c:pt idx="12">
                  <c:v>0.19790859798605734</c:v>
                </c:pt>
                <c:pt idx="13">
                  <c:v>0.18525379770285291</c:v>
                </c:pt>
                <c:pt idx="14">
                  <c:v>0.18342342342342341</c:v>
                </c:pt>
                <c:pt idx="15">
                  <c:v>0.19308072487644151</c:v>
                </c:pt>
                <c:pt idx="16">
                  <c:v>0.19919454770755884</c:v>
                </c:pt>
                <c:pt idx="17">
                  <c:v>0.20343347639484977</c:v>
                </c:pt>
                <c:pt idx="18">
                  <c:v>0.21302083333333333</c:v>
                </c:pt>
                <c:pt idx="19">
                  <c:v>0.20917518421678152</c:v>
                </c:pt>
                <c:pt idx="20">
                  <c:v>0.19299435028248588</c:v>
                </c:pt>
                <c:pt idx="21">
                  <c:v>0.18751279426816786</c:v>
                </c:pt>
                <c:pt idx="22">
                  <c:v>0.16534988713318285</c:v>
                </c:pt>
                <c:pt idx="23">
                  <c:v>0.13764147499087259</c:v>
                </c:pt>
                <c:pt idx="24">
                  <c:v>0.14916286149162861</c:v>
                </c:pt>
                <c:pt idx="25">
                  <c:v>0.15509893455098936</c:v>
                </c:pt>
                <c:pt idx="26">
                  <c:v>0.14897376648090252</c:v>
                </c:pt>
                <c:pt idx="27">
                  <c:v>0.12349892554670712</c:v>
                </c:pt>
                <c:pt idx="28">
                  <c:v>0.1396470588235294</c:v>
                </c:pt>
                <c:pt idx="29">
                  <c:v>0.15139816360600999</c:v>
                </c:pt>
                <c:pt idx="30">
                  <c:v>0.15886303008002944</c:v>
                </c:pt>
                <c:pt idx="31">
                  <c:v>0.15750060391335857</c:v>
                </c:pt>
                <c:pt idx="32">
                  <c:v>0.13880195065143022</c:v>
                </c:pt>
                <c:pt idx="33">
                  <c:v>0.11192017259978425</c:v>
                </c:pt>
                <c:pt idx="34">
                  <c:v>0.11517639359866737</c:v>
                </c:pt>
                <c:pt idx="35">
                  <c:v>9.971772567544214E-2</c:v>
                </c:pt>
                <c:pt idx="36">
                  <c:v>0.11981026488301447</c:v>
                </c:pt>
                <c:pt idx="37">
                  <c:v>0.13311933534743201</c:v>
                </c:pt>
                <c:pt idx="38">
                  <c:v>0.13056590384956535</c:v>
                </c:pt>
                <c:pt idx="39">
                  <c:v>0.11685383699166242</c:v>
                </c:pt>
                <c:pt idx="40">
                  <c:v>0.12659831360595386</c:v>
                </c:pt>
                <c:pt idx="41">
                  <c:v>0.13505316622209232</c:v>
                </c:pt>
                <c:pt idx="42">
                  <c:v>0.12450064265119672</c:v>
                </c:pt>
                <c:pt idx="43">
                  <c:v>0.11930758988015978</c:v>
                </c:pt>
                <c:pt idx="44">
                  <c:v>0.12382531785516859</c:v>
                </c:pt>
                <c:pt idx="45">
                  <c:v>0.1305783593605333</c:v>
                </c:pt>
                <c:pt idx="46">
                  <c:v>0.13716905174693661</c:v>
                </c:pt>
                <c:pt idx="47">
                  <c:v>0.15012549105194237</c:v>
                </c:pt>
                <c:pt idx="48">
                  <c:v>0.16058958435333834</c:v>
                </c:pt>
                <c:pt idx="49">
                  <c:v>0.16982277251760136</c:v>
                </c:pt>
                <c:pt idx="50">
                  <c:v>0.17514646237043713</c:v>
                </c:pt>
                <c:pt idx="51">
                  <c:v>0.150328320271129</c:v>
                </c:pt>
                <c:pt idx="52">
                  <c:v>0.14699821953707964</c:v>
                </c:pt>
                <c:pt idx="53">
                  <c:v>0.126348170239904</c:v>
                </c:pt>
                <c:pt idx="54">
                  <c:v>0.1158472211748737</c:v>
                </c:pt>
                <c:pt idx="55">
                  <c:v>0.13309607214727584</c:v>
                </c:pt>
                <c:pt idx="56">
                  <c:v>0.14538422975005372</c:v>
                </c:pt>
                <c:pt idx="57">
                  <c:v>0.17466890192791285</c:v>
                </c:pt>
                <c:pt idx="58">
                  <c:v>0.18905982905982904</c:v>
                </c:pt>
                <c:pt idx="59">
                  <c:v>0.19594339896192767</c:v>
                </c:pt>
                <c:pt idx="60">
                  <c:v>0.16587054146048452</c:v>
                </c:pt>
                <c:pt idx="61">
                  <c:v>0.12076608564665375</c:v>
                </c:pt>
                <c:pt idx="62">
                  <c:v>0.14925710837921413</c:v>
                </c:pt>
                <c:pt idx="63">
                  <c:v>0.18425823631058613</c:v>
                </c:pt>
                <c:pt idx="64">
                  <c:v>0.18678597860458857</c:v>
                </c:pt>
              </c:numCache>
            </c:numRef>
          </c:val>
          <c:smooth val="0"/>
          <c:extLst>
            <c:ext xmlns:c16="http://schemas.microsoft.com/office/drawing/2014/chart" uri="{C3380CC4-5D6E-409C-BE32-E72D297353CC}">
              <c16:uniqueId val="{00000003-5F5D-46EF-B935-F06BC7FE6E21}"/>
            </c:ext>
          </c:extLst>
        </c:ser>
        <c:ser>
          <c:idx val="4"/>
          <c:order val="4"/>
          <c:tx>
            <c:strRef>
              <c:f>'Appndx 6.8.II.7'!$D$32</c:f>
              <c:strCache>
                <c:ptCount val="1"/>
                <c:pt idx="0">
                  <c:v>rcorp</c:v>
                </c:pt>
              </c:strCache>
            </c:strRef>
          </c:tx>
          <c:spPr>
            <a:ln w="34925">
              <a:solidFill>
                <a:schemeClr val="tx1"/>
              </a:solidFill>
            </a:ln>
          </c:spPr>
          <c:marker>
            <c:symbol val="none"/>
          </c:marker>
          <c:val>
            <c:numRef>
              <c:f>'Appndx 6.8.II.7'!$G$32:$BS$32</c:f>
              <c:numCache>
                <c:formatCode>0.00%</c:formatCode>
                <c:ptCount val="65"/>
                <c:pt idx="0">
                  <c:v>0.14374603640540254</c:v>
                </c:pt>
                <c:pt idx="1">
                  <c:v>0.16396352075207296</c:v>
                </c:pt>
                <c:pt idx="2">
                  <c:v>0.13697282511983766</c:v>
                </c:pt>
                <c:pt idx="3">
                  <c:v>0.16228416548642546</c:v>
                </c:pt>
                <c:pt idx="4">
                  <c:v>0.15983193761787534</c:v>
                </c:pt>
                <c:pt idx="5">
                  <c:v>0.13620216468779806</c:v>
                </c:pt>
                <c:pt idx="6">
                  <c:v>0.12804516198321894</c:v>
                </c:pt>
                <c:pt idx="7">
                  <c:v>0.11761730156428303</c:v>
                </c:pt>
                <c:pt idx="8">
                  <c:v>0.1435878447213399</c:v>
                </c:pt>
                <c:pt idx="9">
                  <c:v>0.12550926044329552</c:v>
                </c:pt>
                <c:pt idx="10">
                  <c:v>0.112054004990328</c:v>
                </c:pt>
                <c:pt idx="11">
                  <c:v>9.5054317592488641E-2</c:v>
                </c:pt>
                <c:pt idx="12">
                  <c:v>0.11381225569497803</c:v>
                </c:pt>
                <c:pt idx="13">
                  <c:v>0.10570307830889546</c:v>
                </c:pt>
                <c:pt idx="14">
                  <c:v>0.10516657955813914</c:v>
                </c:pt>
                <c:pt idx="15">
                  <c:v>0.11607789249317023</c:v>
                </c:pt>
                <c:pt idx="16">
                  <c:v>0.12143069203177961</c:v>
                </c:pt>
                <c:pt idx="17">
                  <c:v>0.12813738591915966</c:v>
                </c:pt>
                <c:pt idx="18">
                  <c:v>0.13818209006945084</c:v>
                </c:pt>
                <c:pt idx="19">
                  <c:v>0.13780250259730348</c:v>
                </c:pt>
                <c:pt idx="20">
                  <c:v>0.12474159436916939</c:v>
                </c:pt>
                <c:pt idx="21">
                  <c:v>0.12385229726692695</c:v>
                </c:pt>
                <c:pt idx="22">
                  <c:v>0.11249342865334706</c:v>
                </c:pt>
                <c:pt idx="23">
                  <c:v>9.3316823727352866E-2</c:v>
                </c:pt>
                <c:pt idx="24">
                  <c:v>9.5633540573712553E-2</c:v>
                </c:pt>
                <c:pt idx="25">
                  <c:v>9.8414551200063552E-2</c:v>
                </c:pt>
                <c:pt idx="26">
                  <c:v>9.8506632073837239E-2</c:v>
                </c:pt>
                <c:pt idx="27">
                  <c:v>8.450813596683146E-2</c:v>
                </c:pt>
                <c:pt idx="28">
                  <c:v>8.0262903524936716E-2</c:v>
                </c:pt>
                <c:pt idx="29">
                  <c:v>8.2822473401140337E-2</c:v>
                </c:pt>
                <c:pt idx="30">
                  <c:v>8.6158852860037979E-2</c:v>
                </c:pt>
                <c:pt idx="31">
                  <c:v>8.7859246888513431E-2</c:v>
                </c:pt>
                <c:pt idx="32">
                  <c:v>8.01045969941689E-2</c:v>
                </c:pt>
                <c:pt idx="33">
                  <c:v>6.7360883638409169E-2</c:v>
                </c:pt>
                <c:pt idx="34">
                  <c:v>6.9632314572834308E-2</c:v>
                </c:pt>
                <c:pt idx="35">
                  <c:v>5.9876020520342882E-2</c:v>
                </c:pt>
                <c:pt idx="36">
                  <c:v>6.5276485109428808E-2</c:v>
                </c:pt>
                <c:pt idx="37">
                  <c:v>7.7092955645063702E-2</c:v>
                </c:pt>
                <c:pt idx="38">
                  <c:v>7.5699648677669762E-2</c:v>
                </c:pt>
                <c:pt idx="39">
                  <c:v>6.8992551069955221E-2</c:v>
                </c:pt>
                <c:pt idx="40">
                  <c:v>7.2522722925103644E-2</c:v>
                </c:pt>
                <c:pt idx="41">
                  <c:v>7.7326709710848124E-2</c:v>
                </c:pt>
                <c:pt idx="42">
                  <c:v>7.5936949248287811E-2</c:v>
                </c:pt>
                <c:pt idx="43">
                  <c:v>7.2000735105366379E-2</c:v>
                </c:pt>
                <c:pt idx="44">
                  <c:v>6.9375725449514633E-2</c:v>
                </c:pt>
                <c:pt idx="45">
                  <c:v>6.9100711485927363E-2</c:v>
                </c:pt>
                <c:pt idx="46">
                  <c:v>6.9618153175052405E-2</c:v>
                </c:pt>
                <c:pt idx="47">
                  <c:v>7.5209740086175092E-2</c:v>
                </c:pt>
                <c:pt idx="48">
                  <c:v>7.8777192542609828E-2</c:v>
                </c:pt>
                <c:pt idx="49">
                  <c:v>8.2997810858158494E-2</c:v>
                </c:pt>
                <c:pt idx="50">
                  <c:v>8.6039875264558766E-2</c:v>
                </c:pt>
                <c:pt idx="51">
                  <c:v>7.9379445982251703E-2</c:v>
                </c:pt>
                <c:pt idx="52">
                  <c:v>7.8757840598749601E-2</c:v>
                </c:pt>
                <c:pt idx="53">
                  <c:v>7.3755049062107308E-2</c:v>
                </c:pt>
                <c:pt idx="54">
                  <c:v>6.5929291387084796E-2</c:v>
                </c:pt>
                <c:pt idx="55">
                  <c:v>6.5520678888437919E-2</c:v>
                </c:pt>
                <c:pt idx="56">
                  <c:v>6.7129641638587478E-2</c:v>
                </c:pt>
                <c:pt idx="57">
                  <c:v>7.75171954142376E-2</c:v>
                </c:pt>
                <c:pt idx="58">
                  <c:v>8.2195330303336089E-2</c:v>
                </c:pt>
                <c:pt idx="59">
                  <c:v>8.2221749948446471E-2</c:v>
                </c:pt>
                <c:pt idx="60">
                  <c:v>7.1024219335660638E-2</c:v>
                </c:pt>
                <c:pt idx="61">
                  <c:v>5.5949314688168855E-2</c:v>
                </c:pt>
                <c:pt idx="62">
                  <c:v>5.7940245117883211E-2</c:v>
                </c:pt>
                <c:pt idx="63">
                  <c:v>7.2876547747278655E-2</c:v>
                </c:pt>
                <c:pt idx="64">
                  <c:v>7.5373104079366454E-2</c:v>
                </c:pt>
              </c:numCache>
            </c:numRef>
          </c:val>
          <c:smooth val="0"/>
          <c:extLst>
            <c:ext xmlns:c16="http://schemas.microsoft.com/office/drawing/2014/chart" uri="{C3380CC4-5D6E-409C-BE32-E72D297353CC}">
              <c16:uniqueId val="{00000004-5F5D-46EF-B935-F06BC7FE6E21}"/>
            </c:ext>
          </c:extLst>
        </c:ser>
        <c:ser>
          <c:idx val="5"/>
          <c:order val="5"/>
          <c:tx>
            <c:strRef>
              <c:f>'Appndx 6.8.II.7'!$D$39</c:f>
              <c:strCache>
                <c:ptCount val="1"/>
                <c:pt idx="0">
                  <c:v>rcorpnipa</c:v>
                </c:pt>
              </c:strCache>
            </c:strRef>
          </c:tx>
          <c:spPr>
            <a:ln w="34925">
              <a:solidFill>
                <a:schemeClr val="tx1"/>
              </a:solidFill>
              <a:prstDash val="dash"/>
            </a:ln>
          </c:spPr>
          <c:marker>
            <c:symbol val="none"/>
          </c:marker>
          <c:val>
            <c:numRef>
              <c:f>'Appndx 6.8.II.7'!$G$39:$BS$39</c:f>
              <c:numCache>
                <c:formatCode>0.00%</c:formatCode>
                <c:ptCount val="65"/>
                <c:pt idx="0">
                  <c:v>0.1411543287327478</c:v>
                </c:pt>
                <c:pt idx="1">
                  <c:v>0.15570752235665442</c:v>
                </c:pt>
                <c:pt idx="2">
                  <c:v>0.13262854396924556</c:v>
                </c:pt>
                <c:pt idx="3">
                  <c:v>0.16211121583411875</c:v>
                </c:pt>
                <c:pt idx="4">
                  <c:v>0.16421671566568669</c:v>
                </c:pt>
                <c:pt idx="5">
                  <c:v>0.14313346228239845</c:v>
                </c:pt>
                <c:pt idx="6">
                  <c:v>0.13638025594149908</c:v>
                </c:pt>
                <c:pt idx="7">
                  <c:v>0.12682926829268293</c:v>
                </c:pt>
                <c:pt idx="8">
                  <c:v>0.15780562140196411</c:v>
                </c:pt>
                <c:pt idx="9">
                  <c:v>0.1390769230769231</c:v>
                </c:pt>
                <c:pt idx="10">
                  <c:v>0.12337122262267813</c:v>
                </c:pt>
                <c:pt idx="11">
                  <c:v>0.10312742310674593</c:v>
                </c:pt>
                <c:pt idx="12">
                  <c:v>0.12956389452332659</c:v>
                </c:pt>
                <c:pt idx="13">
                  <c:v>0.12147716229348882</c:v>
                </c:pt>
                <c:pt idx="14">
                  <c:v>0.1212193379376042</c:v>
                </c:pt>
                <c:pt idx="15">
                  <c:v>0.13618405763420868</c:v>
                </c:pt>
                <c:pt idx="16">
                  <c:v>0.14475461503827106</c:v>
                </c:pt>
                <c:pt idx="17">
                  <c:v>0.15513855553131134</c:v>
                </c:pt>
                <c:pt idx="18">
                  <c:v>0.16904319074188881</c:v>
                </c:pt>
                <c:pt idx="19">
                  <c:v>0.17008117510630075</c:v>
                </c:pt>
                <c:pt idx="20">
                  <c:v>0.15157969471068514</c:v>
                </c:pt>
                <c:pt idx="21">
                  <c:v>0.14996725605762934</c:v>
                </c:pt>
                <c:pt idx="22">
                  <c:v>0.13068688670829617</c:v>
                </c:pt>
                <c:pt idx="23">
                  <c:v>0.10174065578194576</c:v>
                </c:pt>
                <c:pt idx="24">
                  <c:v>0.10812798823096727</c:v>
                </c:pt>
                <c:pt idx="25">
                  <c:v>0.11382931188561216</c:v>
                </c:pt>
                <c:pt idx="26">
                  <c:v>0.11273400534869367</c:v>
                </c:pt>
                <c:pt idx="27">
                  <c:v>8.9028613085474759E-2</c:v>
                </c:pt>
                <c:pt idx="28">
                  <c:v>8.8161021984551391E-2</c:v>
                </c:pt>
                <c:pt idx="29">
                  <c:v>9.7030894743881227E-2</c:v>
                </c:pt>
                <c:pt idx="30">
                  <c:v>0.10506144299793162</c:v>
                </c:pt>
                <c:pt idx="31">
                  <c:v>0.10689108694464178</c:v>
                </c:pt>
                <c:pt idx="32">
                  <c:v>9.1616622627912564E-2</c:v>
                </c:pt>
                <c:pt idx="33">
                  <c:v>6.9175313580864276E-2</c:v>
                </c:pt>
                <c:pt idx="34">
                  <c:v>7.0114442995798928E-2</c:v>
                </c:pt>
                <c:pt idx="35">
                  <c:v>5.5386682878443665E-2</c:v>
                </c:pt>
                <c:pt idx="36">
                  <c:v>6.7739408184174052E-2</c:v>
                </c:pt>
                <c:pt idx="37">
                  <c:v>8.2569613211138107E-2</c:v>
                </c:pt>
                <c:pt idx="38">
                  <c:v>8.1361927923944283E-2</c:v>
                </c:pt>
                <c:pt idx="39">
                  <c:v>7.1924174586966191E-2</c:v>
                </c:pt>
                <c:pt idx="40">
                  <c:v>8.015640273704791E-2</c:v>
                </c:pt>
                <c:pt idx="41">
                  <c:v>8.8050314465408799E-2</c:v>
                </c:pt>
                <c:pt idx="42">
                  <c:v>8.0306527146026124E-2</c:v>
                </c:pt>
                <c:pt idx="43">
                  <c:v>7.5800516052620448E-2</c:v>
                </c:pt>
                <c:pt idx="44">
                  <c:v>7.6265246039534551E-2</c:v>
                </c:pt>
                <c:pt idx="45">
                  <c:v>8.2877906407318166E-2</c:v>
                </c:pt>
                <c:pt idx="46">
                  <c:v>8.8482826597922504E-2</c:v>
                </c:pt>
                <c:pt idx="47">
                  <c:v>9.9621644128242731E-2</c:v>
                </c:pt>
                <c:pt idx="48">
                  <c:v>0.10700733185665964</c:v>
                </c:pt>
                <c:pt idx="49">
                  <c:v>0.1136622144226707</c:v>
                </c:pt>
                <c:pt idx="50">
                  <c:v>0.12014096044761124</c:v>
                </c:pt>
                <c:pt idx="51">
                  <c:v>0.10390161774394262</c:v>
                </c:pt>
                <c:pt idx="52">
                  <c:v>0.101806694746176</c:v>
                </c:pt>
                <c:pt idx="53">
                  <c:v>8.8149078726968172E-2</c:v>
                </c:pt>
                <c:pt idx="54">
                  <c:v>7.5164517944076137E-2</c:v>
                </c:pt>
                <c:pt idx="55">
                  <c:v>8.3100656149657962E-2</c:v>
                </c:pt>
                <c:pt idx="56">
                  <c:v>9.1157088810804129E-2</c:v>
                </c:pt>
                <c:pt idx="57">
                  <c:v>0.11342506912843739</c:v>
                </c:pt>
                <c:pt idx="58">
                  <c:v>0.12277107825823703</c:v>
                </c:pt>
                <c:pt idx="59">
                  <c:v>0.12550727598599595</c:v>
                </c:pt>
                <c:pt idx="60">
                  <c:v>9.9298795366398684E-2</c:v>
                </c:pt>
                <c:pt idx="61">
                  <c:v>6.834012567179204E-2</c:v>
                </c:pt>
                <c:pt idx="62">
                  <c:v>7.5315877606941695E-2</c:v>
                </c:pt>
                <c:pt idx="63">
                  <c:v>0.1024193611878725</c:v>
                </c:pt>
                <c:pt idx="64">
                  <c:v>0.1068212949994613</c:v>
                </c:pt>
              </c:numCache>
            </c:numRef>
          </c:val>
          <c:smooth val="0"/>
          <c:extLst>
            <c:ext xmlns:c16="http://schemas.microsoft.com/office/drawing/2014/chart" uri="{C3380CC4-5D6E-409C-BE32-E72D297353CC}">
              <c16:uniqueId val="{00000005-5F5D-46EF-B935-F06BC7FE6E21}"/>
            </c:ext>
          </c:extLst>
        </c:ser>
        <c:dLbls>
          <c:showLegendKey val="0"/>
          <c:showVal val="0"/>
          <c:showCatName val="0"/>
          <c:showSerName val="0"/>
          <c:showPercent val="0"/>
          <c:showBubbleSize val="0"/>
        </c:dLbls>
        <c:smooth val="0"/>
        <c:axId val="75708672"/>
        <c:axId val="75722752"/>
      </c:lineChart>
      <c:catAx>
        <c:axId val="75708672"/>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75722752"/>
        <c:crossesAt val="2.0000000000000004E-2"/>
        <c:auto val="1"/>
        <c:lblAlgn val="ctr"/>
        <c:lblOffset val="100"/>
        <c:tickLblSkip val="6"/>
        <c:tickMarkSkip val="2"/>
        <c:noMultiLvlLbl val="0"/>
      </c:catAx>
      <c:valAx>
        <c:axId val="75722752"/>
        <c:scaling>
          <c:logBase val="10"/>
          <c:orientation val="minMax"/>
          <c:max val="1"/>
          <c:min val="2.0000000000000004E-2"/>
        </c:scaling>
        <c:delete val="0"/>
        <c:axPos val="l"/>
        <c:majorGridlines/>
        <c:minorGridlines/>
        <c:numFmt formatCode="0%" sourceLinked="0"/>
        <c:majorTickMark val="out"/>
        <c:minorTickMark val="none"/>
        <c:tickLblPos val="nextTo"/>
        <c:txPr>
          <a:bodyPr/>
          <a:lstStyle/>
          <a:p>
            <a:pPr>
              <a:defRPr sz="1400" b="1"/>
            </a:pPr>
            <a:endParaRPr lang="en-US"/>
          </a:p>
        </c:txPr>
        <c:crossAx val="75708672"/>
        <c:crosses val="autoZero"/>
        <c:crossBetween val="between"/>
        <c:majorUnit val="10"/>
        <c:minorUnit val="10"/>
      </c:valAx>
      <c:spPr>
        <a:ln>
          <a:solidFill>
            <a:schemeClr val="tx1"/>
          </a:solidFill>
        </a:ln>
      </c:spPr>
    </c:plotArea>
    <c:legend>
      <c:legendPos val="b"/>
      <c:overlay val="0"/>
    </c:legend>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6.8.II.7'!$C$41</c:f>
              <c:strCache>
                <c:ptCount val="1"/>
                <c:pt idx="0">
                  <c:v>x1 = 1 + (NMINTcorp/Pcorp)</c:v>
                </c:pt>
              </c:strCache>
            </c:strRef>
          </c:tx>
          <c:spPr>
            <a:ln w="222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6.8.II.7'!$G$41:$BS$41</c:f>
              <c:numCache>
                <c:formatCode>0.000</c:formatCode>
                <c:ptCount val="65"/>
                <c:pt idx="0">
                  <c:v>1.1066666666666667</c:v>
                </c:pt>
                <c:pt idx="1">
                  <c:v>1.0844594594594594</c:v>
                </c:pt>
                <c:pt idx="2">
                  <c:v>1.0978260869565217</c:v>
                </c:pt>
                <c:pt idx="3">
                  <c:v>1.0813953488372092</c:v>
                </c:pt>
                <c:pt idx="4">
                  <c:v>1.0895140664961636</c:v>
                </c:pt>
                <c:pt idx="5">
                  <c:v>1.1000000000000001</c:v>
                </c:pt>
                <c:pt idx="6">
                  <c:v>1.101876675603217</c:v>
                </c:pt>
                <c:pt idx="7">
                  <c:v>1.1098901098901099</c:v>
                </c:pt>
                <c:pt idx="8">
                  <c:v>1.1008583690987126</c:v>
                </c:pt>
                <c:pt idx="9">
                  <c:v>1.1128318584070798</c:v>
                </c:pt>
                <c:pt idx="10">
                  <c:v>1.1348314606741574</c:v>
                </c:pt>
                <c:pt idx="11">
                  <c:v>1.162907268170426</c:v>
                </c:pt>
                <c:pt idx="12">
                  <c:v>1.1291585127201564</c:v>
                </c:pt>
                <c:pt idx="13">
                  <c:v>1.1459999999999999</c:v>
                </c:pt>
                <c:pt idx="14">
                  <c:v>1.1591355599214146</c:v>
                </c:pt>
                <c:pt idx="15">
                  <c:v>1.1552901023890785</c:v>
                </c:pt>
                <c:pt idx="16">
                  <c:v>1.1555209953343701</c:v>
                </c:pt>
                <c:pt idx="17">
                  <c:v>1.1561181434599157</c:v>
                </c:pt>
                <c:pt idx="18">
                  <c:v>1.1540342298288508</c:v>
                </c:pt>
                <c:pt idx="19">
                  <c:v>1.1590909090909092</c:v>
                </c:pt>
                <c:pt idx="20">
                  <c:v>1.1885245901639343</c:v>
                </c:pt>
                <c:pt idx="21">
                  <c:v>1.2030567685589519</c:v>
                </c:pt>
                <c:pt idx="22">
                  <c:v>1.2639362912400456</c:v>
                </c:pt>
                <c:pt idx="23">
                  <c:v>1.3607427055702919</c:v>
                </c:pt>
                <c:pt idx="24">
                  <c:v>1.3151927437641724</c:v>
                </c:pt>
                <c:pt idx="25">
                  <c:v>1.2924435721295386</c:v>
                </c:pt>
                <c:pt idx="26">
                  <c:v>1.3248175182481752</c:v>
                </c:pt>
                <c:pt idx="27">
                  <c:v>1.4575230296827022</c:v>
                </c:pt>
                <c:pt idx="28">
                  <c:v>1.3993260320134797</c:v>
                </c:pt>
                <c:pt idx="29">
                  <c:v>1.3149552033080636</c:v>
                </c:pt>
                <c:pt idx="30">
                  <c:v>1.2779386218876665</c:v>
                </c:pt>
                <c:pt idx="31">
                  <c:v>1.2939672801635993</c:v>
                </c:pt>
                <c:pt idx="32">
                  <c:v>1.3796539066596749</c:v>
                </c:pt>
                <c:pt idx="33">
                  <c:v>1.5403614457831325</c:v>
                </c:pt>
                <c:pt idx="34">
                  <c:v>1.5666322314049583</c:v>
                </c:pt>
                <c:pt idx="35">
                  <c:v>1.7105719237435009</c:v>
                </c:pt>
                <c:pt idx="36">
                  <c:v>1.5306939501779353</c:v>
                </c:pt>
                <c:pt idx="37">
                  <c:v>1.5021276595744677</c:v>
                </c:pt>
                <c:pt idx="38">
                  <c:v>1.512228260869565</c:v>
                </c:pt>
                <c:pt idx="39">
                  <c:v>1.5744448489261007</c:v>
                </c:pt>
                <c:pt idx="40">
                  <c:v>1.4974984365228268</c:v>
                </c:pt>
                <c:pt idx="41">
                  <c:v>1.4840367965367967</c:v>
                </c:pt>
                <c:pt idx="42">
                  <c:v>1.6026785714285716</c:v>
                </c:pt>
                <c:pt idx="43">
                  <c:v>1.6180245535714284</c:v>
                </c:pt>
                <c:pt idx="44">
                  <c:v>1.5548844537815125</c:v>
                </c:pt>
                <c:pt idx="45">
                  <c:v>1.4384306310564878</c:v>
                </c:pt>
                <c:pt idx="46">
                  <c:v>1.37382176520994</c:v>
                </c:pt>
                <c:pt idx="47">
                  <c:v>1.3263674359440307</c:v>
                </c:pt>
                <c:pt idx="48">
                  <c:v>1.3241335044929397</c:v>
                </c:pt>
                <c:pt idx="49">
                  <c:v>1.2967834167262329</c:v>
                </c:pt>
                <c:pt idx="50">
                  <c:v>1.2746687250739741</c:v>
                </c:pt>
                <c:pt idx="51">
                  <c:v>1.3617021276595742</c:v>
                </c:pt>
                <c:pt idx="52">
                  <c:v>1.3781981491562334</c:v>
                </c:pt>
                <c:pt idx="53">
                  <c:v>1.4952494061757717</c:v>
                </c:pt>
                <c:pt idx="54">
                  <c:v>1.5724979658258744</c:v>
                </c:pt>
                <c:pt idx="55">
                  <c:v>1.4134117317653649</c:v>
                </c:pt>
                <c:pt idx="56">
                  <c:v>1.3354679802955665</c:v>
                </c:pt>
                <c:pt idx="57">
                  <c:v>1.2552068336692581</c:v>
                </c:pt>
                <c:pt idx="58">
                  <c:v>1.2422324510932108</c:v>
                </c:pt>
                <c:pt idx="59">
                  <c:v>1.2238993710691823</c:v>
                </c:pt>
                <c:pt idx="60">
                  <c:v>1.3377306432143476</c:v>
                </c:pt>
                <c:pt idx="61">
                  <c:v>1.5306486101211687</c:v>
                </c:pt>
                <c:pt idx="62">
                  <c:v>1.4317331985851438</c:v>
                </c:pt>
                <c:pt idx="63">
                  <c:v>1.3364593742793451</c:v>
                </c:pt>
                <c:pt idx="64">
                  <c:v>1.3416900799654203</c:v>
                </c:pt>
              </c:numCache>
            </c:numRef>
          </c:val>
          <c:smooth val="0"/>
          <c:extLst>
            <c:ext xmlns:c16="http://schemas.microsoft.com/office/drawing/2014/chart" uri="{C3380CC4-5D6E-409C-BE32-E72D297353CC}">
              <c16:uniqueId val="{00000000-EAB4-422C-8F28-5B3BF2E1D454}"/>
            </c:ext>
          </c:extLst>
        </c:ser>
        <c:ser>
          <c:idx val="1"/>
          <c:order val="1"/>
          <c:tx>
            <c:strRef>
              <c:f>'Appndx 6.8.II.7'!$C$42</c:f>
              <c:strCache>
                <c:ptCount val="1"/>
                <c:pt idx="0">
                  <c:v>x2 = 1 + (INVcorp(-1)/KNCcorpbea(-1))</c:v>
                </c:pt>
              </c:strCache>
            </c:strRef>
          </c:tx>
          <c:spPr>
            <a:ln w="34925">
              <a:solidFill>
                <a:schemeClr val="tx1"/>
              </a:solidFill>
              <a:prstDash val="sysDot"/>
            </a:ln>
          </c:spPr>
          <c:marker>
            <c:symbol val="none"/>
          </c:marker>
          <c:val>
            <c:numRef>
              <c:f>'Appndx 6.8.II.7'!$G$42:$BS$42</c:f>
              <c:numCache>
                <c:formatCode>0.000</c:formatCode>
                <c:ptCount val="65"/>
                <c:pt idx="0">
                  <c:v>1.1355631541904627</c:v>
                </c:pt>
                <c:pt idx="1">
                  <c:v>1.1476843842857503</c:v>
                </c:pt>
                <c:pt idx="2">
                  <c:v>1.1502376756217711</c:v>
                </c:pt>
                <c:pt idx="3">
                  <c:v>1.1421130660099235</c:v>
                </c:pt>
                <c:pt idx="4">
                  <c:v>1.1550710913262336</c:v>
                </c:pt>
                <c:pt idx="5">
                  <c:v>1.1650832315883117</c:v>
                </c:pt>
                <c:pt idx="6">
                  <c:v>1.1598930469870381</c:v>
                </c:pt>
                <c:pt idx="7">
                  <c:v>1.1554656957077856</c:v>
                </c:pt>
                <c:pt idx="8">
                  <c:v>1.1479186593046329</c:v>
                </c:pt>
                <c:pt idx="9">
                  <c:v>1.1516849678670593</c:v>
                </c:pt>
                <c:pt idx="10">
                  <c:v>1.1501303276422981</c:v>
                </c:pt>
                <c:pt idx="11">
                  <c:v>1.14429874733827</c:v>
                </c:pt>
                <c:pt idx="12">
                  <c:v>1.1454736507279346</c:v>
                </c:pt>
                <c:pt idx="13">
                  <c:v>1.1531955201604767</c:v>
                </c:pt>
                <c:pt idx="14">
                  <c:v>1.1549321621897564</c:v>
                </c:pt>
                <c:pt idx="15">
                  <c:v>1.1588614686746772</c:v>
                </c:pt>
                <c:pt idx="16">
                  <c:v>1.1629061514625876</c:v>
                </c:pt>
                <c:pt idx="17">
                  <c:v>1.1682740542223167</c:v>
                </c:pt>
                <c:pt idx="18">
                  <c:v>1.1689544516493922</c:v>
                </c:pt>
                <c:pt idx="19">
                  <c:v>1.1758117004361137</c:v>
                </c:pt>
                <c:pt idx="20">
                  <c:v>1.1803802570704613</c:v>
                </c:pt>
                <c:pt idx="21">
                  <c:v>1.1821852291327231</c:v>
                </c:pt>
                <c:pt idx="22">
                  <c:v>1.1805022533393057</c:v>
                </c:pt>
                <c:pt idx="23">
                  <c:v>1.1843683304675869</c:v>
                </c:pt>
                <c:pt idx="24">
                  <c:v>1.1748843958249056</c:v>
                </c:pt>
                <c:pt idx="25">
                  <c:v>1.1678746881812458</c:v>
                </c:pt>
                <c:pt idx="26">
                  <c:v>1.1732809432570077</c:v>
                </c:pt>
                <c:pt idx="27">
                  <c:v>1.1787157144661893</c:v>
                </c:pt>
                <c:pt idx="28">
                  <c:v>1.1734300749860138</c:v>
                </c:pt>
                <c:pt idx="29">
                  <c:v>1.1611032549565579</c:v>
                </c:pt>
                <c:pt idx="30">
                  <c:v>1.1617196087556354</c:v>
                </c:pt>
                <c:pt idx="31">
                  <c:v>1.162611266298117</c:v>
                </c:pt>
                <c:pt idx="32">
                  <c:v>1.1581973711392135</c:v>
                </c:pt>
                <c:pt idx="33">
                  <c:v>1.1559173583453259</c:v>
                </c:pt>
                <c:pt idx="34">
                  <c:v>1.1462249408503296</c:v>
                </c:pt>
                <c:pt idx="35">
                  <c:v>1.1428788459691153</c:v>
                </c:pt>
                <c:pt idx="36">
                  <c:v>1.1363378998352325</c:v>
                </c:pt>
                <c:pt idx="37">
                  <c:v>1.1396087164222659</c:v>
                </c:pt>
                <c:pt idx="38">
                  <c:v>1.145121703431879</c:v>
                </c:pt>
                <c:pt idx="39">
                  <c:v>1.1498163859088284</c:v>
                </c:pt>
                <c:pt idx="40">
                  <c:v>1.1504837067302125</c:v>
                </c:pt>
                <c:pt idx="41">
                  <c:v>1.1643222669079538</c:v>
                </c:pt>
                <c:pt idx="42">
                  <c:v>1.1581712141794387</c:v>
                </c:pt>
                <c:pt idx="43">
                  <c:v>1.1557893011642582</c:v>
                </c:pt>
                <c:pt idx="44">
                  <c:v>1.1507203955502212</c:v>
                </c:pt>
                <c:pt idx="45">
                  <c:v>1.1481746921627218</c:v>
                </c:pt>
                <c:pt idx="46">
                  <c:v>1.1494073940669112</c:v>
                </c:pt>
                <c:pt idx="47">
                  <c:v>1.1475970259434325</c:v>
                </c:pt>
                <c:pt idx="48">
                  <c:v>1.1667790684032557</c:v>
                </c:pt>
                <c:pt idx="49">
                  <c:v>1.1467689107153864</c:v>
                </c:pt>
                <c:pt idx="50">
                  <c:v>1.1454369756612985</c:v>
                </c:pt>
                <c:pt idx="51">
                  <c:v>1.143626248084606</c:v>
                </c:pt>
                <c:pt idx="52">
                  <c:v>1.1405152789717043</c:v>
                </c:pt>
                <c:pt idx="53">
                  <c:v>1.1411889738639589</c:v>
                </c:pt>
                <c:pt idx="54">
                  <c:v>1.1414302604302768</c:v>
                </c:pt>
                <c:pt idx="55">
                  <c:v>1.1311688824235351</c:v>
                </c:pt>
                <c:pt idx="56">
                  <c:v>1.1312263071230326</c:v>
                </c:pt>
                <c:pt idx="57">
                  <c:v>1.1328600993438251</c:v>
                </c:pt>
                <c:pt idx="58">
                  <c:v>1.1350046343304758</c:v>
                </c:pt>
                <c:pt idx="59">
                  <c:v>1.135080018884451</c:v>
                </c:pt>
                <c:pt idx="60">
                  <c:v>1.1338214101560038</c:v>
                </c:pt>
                <c:pt idx="61">
                  <c:v>1.1314863233195511</c:v>
                </c:pt>
                <c:pt idx="62">
                  <c:v>1.1228776738701194</c:v>
                </c:pt>
                <c:pt idx="63">
                  <c:v>1.1203145322076946</c:v>
                </c:pt>
                <c:pt idx="64">
                  <c:v>1.1240554587341012</c:v>
                </c:pt>
              </c:numCache>
            </c:numRef>
          </c:val>
          <c:smooth val="0"/>
          <c:extLst>
            <c:ext xmlns:c16="http://schemas.microsoft.com/office/drawing/2014/chart" uri="{C3380CC4-5D6E-409C-BE32-E72D297353CC}">
              <c16:uniqueId val="{00000001-EAB4-422C-8F28-5B3BF2E1D454}"/>
            </c:ext>
          </c:extLst>
        </c:ser>
        <c:ser>
          <c:idx val="2"/>
          <c:order val="2"/>
          <c:tx>
            <c:strRef>
              <c:f>'Appndx 6.8.II.7'!$C$43</c:f>
              <c:strCache>
                <c:ptCount val="1"/>
                <c:pt idx="0">
                  <c:v>x3 =  KNCcorpbea(-1) / KGCcorp(-1)</c:v>
                </c:pt>
              </c:strCache>
            </c:strRef>
          </c:tx>
          <c:spPr>
            <a:ln w="31750">
              <a:solidFill>
                <a:schemeClr val="tx1"/>
              </a:solidFill>
              <a:prstDash val="dash"/>
            </a:ln>
          </c:spPr>
          <c:marker>
            <c:symbol val="none"/>
          </c:marker>
          <c:val>
            <c:numRef>
              <c:f>'Appndx 6.8.II.7'!$G$43:$BS$43</c:f>
              <c:numCache>
                <c:formatCode>0.000</c:formatCode>
                <c:ptCount val="65"/>
                <c:pt idx="0">
                  <c:v>1.0449515172273744</c:v>
                </c:pt>
                <c:pt idx="1">
                  <c:v>1.1144145976813904</c:v>
                </c:pt>
                <c:pt idx="2">
                  <c:v>1.0856432569586199</c:v>
                </c:pt>
                <c:pt idx="3">
                  <c:v>1.0572743259294921</c:v>
                </c:pt>
                <c:pt idx="4">
                  <c:v>1.0342909969640226</c:v>
                </c:pt>
                <c:pt idx="5">
                  <c:v>1.0103584443474867</c:v>
                </c:pt>
                <c:pt idx="6">
                  <c:v>0.9883178238115764</c:v>
                </c:pt>
                <c:pt idx="7">
                  <c:v>0.96784345683483386</c:v>
                </c:pt>
                <c:pt idx="8">
                  <c:v>0.94880043236501688</c:v>
                </c:pt>
                <c:pt idx="9">
                  <c:v>0.93395262005393498</c:v>
                </c:pt>
                <c:pt idx="10">
                  <c:v>0.92051146746471224</c:v>
                </c:pt>
                <c:pt idx="11">
                  <c:v>0.90696811619103856</c:v>
                </c:pt>
                <c:pt idx="12">
                  <c:v>0.89111802334910606</c:v>
                </c:pt>
                <c:pt idx="13">
                  <c:v>0.87714202480983938</c:v>
                </c:pt>
                <c:pt idx="14">
                  <c:v>0.86589414810772147</c:v>
                </c:pt>
                <c:pt idx="15">
                  <c:v>0.85499527560517152</c:v>
                </c:pt>
                <c:pt idx="16">
                  <c:v>0.84537185903449208</c:v>
                </c:pt>
                <c:pt idx="17">
                  <c:v>0.8356555304155564</c:v>
                </c:pt>
                <c:pt idx="18">
                  <c:v>0.82800502856271163</c:v>
                </c:pt>
                <c:pt idx="19">
                  <c:v>0.82190407728393022</c:v>
                </c:pt>
                <c:pt idx="20">
                  <c:v>0.81730475940826952</c:v>
                </c:pt>
                <c:pt idx="21">
                  <c:v>0.81079882595865238</c:v>
                </c:pt>
                <c:pt idx="22">
                  <c:v>0.80468861772156031</c:v>
                </c:pt>
                <c:pt idx="23">
                  <c:v>0.79831848708038</c:v>
                </c:pt>
                <c:pt idx="24">
                  <c:v>0.79009232582994571</c:v>
                </c:pt>
                <c:pt idx="25">
                  <c:v>0.78124969492731233</c:v>
                </c:pt>
                <c:pt idx="26">
                  <c:v>0.77384946742421168</c:v>
                </c:pt>
                <c:pt idx="27">
                  <c:v>0.76764877720742464</c:v>
                </c:pt>
                <c:pt idx="28">
                  <c:v>0.76344288476740851</c:v>
                </c:pt>
                <c:pt idx="29">
                  <c:v>0.75409441077376638</c:v>
                </c:pt>
                <c:pt idx="30">
                  <c:v>0.74550038296160714</c:v>
                </c:pt>
                <c:pt idx="31">
                  <c:v>0.73851141998933134</c:v>
                </c:pt>
                <c:pt idx="32">
                  <c:v>0.73399919195170027</c:v>
                </c:pt>
                <c:pt idx="33">
                  <c:v>0.73073647292248356</c:v>
                </c:pt>
                <c:pt idx="34">
                  <c:v>0.72661797941224626</c:v>
                </c:pt>
                <c:pt idx="35">
                  <c:v>0.7222813936707082</c:v>
                </c:pt>
                <c:pt idx="36">
                  <c:v>0.7153762030553481</c:v>
                </c:pt>
                <c:pt idx="37">
                  <c:v>0.7081754264324841</c:v>
                </c:pt>
                <c:pt idx="38">
                  <c:v>0.70438384915902841</c:v>
                </c:pt>
                <c:pt idx="39">
                  <c:v>0.70069462288824513</c:v>
                </c:pt>
                <c:pt idx="40">
                  <c:v>0.69510430444332272</c:v>
                </c:pt>
                <c:pt idx="41">
                  <c:v>0.68901258351325823</c:v>
                </c:pt>
                <c:pt idx="42">
                  <c:v>0.68332708708680256</c:v>
                </c:pt>
                <c:pt idx="43">
                  <c:v>0.67863027132987419</c:v>
                </c:pt>
                <c:pt idx="44">
                  <c:v>0.67321308887831832</c:v>
                </c:pt>
                <c:pt idx="45">
                  <c:v>0.66552257955350524</c:v>
                </c:pt>
                <c:pt idx="46">
                  <c:v>0.65837727289635362</c:v>
                </c:pt>
                <c:pt idx="47">
                  <c:v>0.65319965416697412</c:v>
                </c:pt>
                <c:pt idx="48">
                  <c:v>0.64869988177215399</c:v>
                </c:pt>
                <c:pt idx="49">
                  <c:v>0.64574192963101817</c:v>
                </c:pt>
                <c:pt idx="50">
                  <c:v>0.64355036470508165</c:v>
                </c:pt>
                <c:pt idx="51">
                  <c:v>0.64163456647121286</c:v>
                </c:pt>
                <c:pt idx="52">
                  <c:v>0.64025030561101659</c:v>
                </c:pt>
                <c:pt idx="53">
                  <c:v>0.63852041895905687</c:v>
                </c:pt>
                <c:pt idx="54">
                  <c:v>0.63668529734087331</c:v>
                </c:pt>
                <c:pt idx="55">
                  <c:v>0.63106735114962187</c:v>
                </c:pt>
                <c:pt idx="56">
                  <c:v>0.6237346212178585</c:v>
                </c:pt>
                <c:pt idx="57">
                  <c:v>0.61680798108633395</c:v>
                </c:pt>
                <c:pt idx="58">
                  <c:v>0.61171036513755317</c:v>
                </c:pt>
                <c:pt idx="59">
                  <c:v>0.60757315834197401</c:v>
                </c:pt>
                <c:pt idx="60">
                  <c:v>0.60627053217960547</c:v>
                </c:pt>
                <c:pt idx="61">
                  <c:v>0.60519148038616244</c:v>
                </c:pt>
                <c:pt idx="62">
                  <c:v>0.60330022095984615</c:v>
                </c:pt>
                <c:pt idx="63">
                  <c:v>0.59647182833548884</c:v>
                </c:pt>
                <c:pt idx="64">
                  <c:v>0.59114509820814376</c:v>
                </c:pt>
              </c:numCache>
            </c:numRef>
          </c:val>
          <c:smooth val="0"/>
          <c:extLst>
            <c:ext xmlns:c16="http://schemas.microsoft.com/office/drawing/2014/chart" uri="{C3380CC4-5D6E-409C-BE32-E72D297353CC}">
              <c16:uniqueId val="{00000002-EAB4-422C-8F28-5B3BF2E1D454}"/>
            </c:ext>
          </c:extLst>
        </c:ser>
        <c:ser>
          <c:idx val="3"/>
          <c:order val="3"/>
          <c:tx>
            <c:strRef>
              <c:f>'Appndx 6.8.II.7'!$C$44</c:f>
              <c:strCache>
                <c:ptCount val="1"/>
                <c:pt idx="0">
                  <c:v>rcorp/rcorpnipa = x3*(x1 / x2)</c:v>
                </c:pt>
              </c:strCache>
            </c:strRef>
          </c:tx>
          <c:spPr>
            <a:ln>
              <a:solidFill>
                <a:schemeClr val="tx1"/>
              </a:solidFill>
            </a:ln>
          </c:spPr>
          <c:marker>
            <c:symbol val="none"/>
          </c:marker>
          <c:val>
            <c:numRef>
              <c:f>'Appndx 6.8.II.7'!$G$44:$BS$44</c:f>
              <c:numCache>
                <c:formatCode>0.000</c:formatCode>
                <c:ptCount val="65"/>
                <c:pt idx="0">
                  <c:v>1.0183608090231631</c:v>
                </c:pt>
                <c:pt idx="1">
                  <c:v>1.0530224761813871</c:v>
                </c:pt>
                <c:pt idx="2">
                  <c:v>1.0361749696412539</c:v>
                </c:pt>
                <c:pt idx="3">
                  <c:v>1.001066858029636</c:v>
                </c:pt>
                <c:pt idx="4">
                  <c:v>0.97558894729915235</c:v>
                </c:pt>
                <c:pt idx="5">
                  <c:v>0.95391836278264497</c:v>
                </c:pt>
                <c:pt idx="6">
                  <c:v>0.93888342633807986</c:v>
                </c:pt>
                <c:pt idx="7">
                  <c:v>0.92966834467970227</c:v>
                </c:pt>
                <c:pt idx="8">
                  <c:v>0.90990323060540068</c:v>
                </c:pt>
                <c:pt idx="9">
                  <c:v>0.90244490362989038</c:v>
                </c:pt>
                <c:pt idx="10">
                  <c:v>0.90826695730362506</c:v>
                </c:pt>
                <c:pt idx="11">
                  <c:v>0.92171717986300383</c:v>
                </c:pt>
                <c:pt idx="12">
                  <c:v>0.8784257073600652</c:v>
                </c:pt>
                <c:pt idx="13">
                  <c:v>0.87166897794763654</c:v>
                </c:pt>
                <c:pt idx="14">
                  <c:v>0.86904558644944296</c:v>
                </c:pt>
                <c:pt idx="15">
                  <c:v>0.85236036074763066</c:v>
                </c:pt>
                <c:pt idx="16">
                  <c:v>0.84000323736410276</c:v>
                </c:pt>
                <c:pt idx="17">
                  <c:v>0.82696052086781779</c:v>
                </c:pt>
                <c:pt idx="18">
                  <c:v>0.81743659394385393</c:v>
                </c:pt>
                <c:pt idx="19">
                  <c:v>0.81021607777096383</c:v>
                </c:pt>
                <c:pt idx="20">
                  <c:v>0.82294396097880573</c:v>
                </c:pt>
                <c:pt idx="21">
                  <c:v>0.82511351983716663</c:v>
                </c:pt>
                <c:pt idx="22">
                  <c:v>0.86156137712490677</c:v>
                </c:pt>
                <c:pt idx="23">
                  <c:v>0.91720289210001604</c:v>
                </c:pt>
                <c:pt idx="24">
                  <c:v>0.88444760823103541</c:v>
                </c:pt>
                <c:pt idx="25">
                  <c:v>0.86458004155345336</c:v>
                </c:pt>
                <c:pt idx="26">
                  <c:v>0.87379696808562546</c:v>
                </c:pt>
                <c:pt idx="27">
                  <c:v>0.94922444636643655</c:v>
                </c:pt>
                <c:pt idx="28">
                  <c:v>0.91041258050526375</c:v>
                </c:pt>
                <c:pt idx="29">
                  <c:v>0.85401566570372989</c:v>
                </c:pt>
                <c:pt idx="30">
                  <c:v>0.82008061569965507</c:v>
                </c:pt>
                <c:pt idx="31">
                  <c:v>0.82195110368758051</c:v>
                </c:pt>
                <c:pt idx="32">
                  <c:v>0.87434566671925829</c:v>
                </c:pt>
                <c:pt idx="33">
                  <c:v>0.97377055703066573</c:v>
                </c:pt>
                <c:pt idx="34">
                  <c:v>0.99312369317412263</c:v>
                </c:pt>
                <c:pt idx="35">
                  <c:v>1.0810544594582761</c:v>
                </c:pt>
                <c:pt idx="36">
                  <c:v>0.96364120766970829</c:v>
                </c:pt>
                <c:pt idx="37">
                  <c:v>0.93345187742580671</c:v>
                </c:pt>
                <c:pt idx="38">
                  <c:v>0.93019734060235071</c:v>
                </c:pt>
                <c:pt idx="39">
                  <c:v>0.95946192209169823</c:v>
                </c:pt>
                <c:pt idx="40">
                  <c:v>0.9047651896631832</c:v>
                </c:pt>
                <c:pt idx="41">
                  <c:v>0.87821048885891795</c:v>
                </c:pt>
                <c:pt idx="42">
                  <c:v>0.94558875781301244</c:v>
                </c:pt>
                <c:pt idx="43">
                  <c:v>0.95003513244368232</c:v>
                </c:pt>
                <c:pt idx="44">
                  <c:v>0.90966369417534532</c:v>
                </c:pt>
                <c:pt idx="45">
                  <c:v>0.83376516711606674</c:v>
                </c:pt>
                <c:pt idx="46">
                  <c:v>0.7869211838147625</c:v>
                </c:pt>
                <c:pt idx="47">
                  <c:v>0.75495381294207276</c:v>
                </c:pt>
                <c:pt idx="48">
                  <c:v>0.73618499943662608</c:v>
                </c:pt>
                <c:pt idx="49">
                  <c:v>0.73021462127702497</c:v>
                </c:pt>
                <c:pt idx="50">
                  <c:v>0.71615771127514316</c:v>
                </c:pt>
                <c:pt idx="51">
                  <c:v>0.76398662220906033</c:v>
                </c:pt>
                <c:pt idx="52">
                  <c:v>0.77367818078280004</c:v>
                </c:pt>
                <c:pt idx="53">
                  <c:v>0.83662504558465012</c:v>
                </c:pt>
                <c:pt idx="54">
                  <c:v>0.87713316323185198</c:v>
                </c:pt>
                <c:pt idx="55">
                  <c:v>0.78852770042431175</c:v>
                </c:pt>
                <c:pt idx="56">
                  <c:v>0.73634922525510071</c:v>
                </c:pt>
                <c:pt idx="57">
                  <c:v>0.68342206894721524</c:v>
                </c:pt>
                <c:pt idx="58">
                  <c:v>0.66950076084243715</c:v>
                </c:pt>
                <c:pt idx="59">
                  <c:v>0.65511540508313415</c:v>
                </c:pt>
                <c:pt idx="60">
                  <c:v>0.71530371689042138</c:v>
                </c:pt>
                <c:pt idx="61">
                  <c:v>0.81868908109518446</c:v>
                </c:pt>
                <c:pt idx="62">
                  <c:v>0.76924225600185381</c:v>
                </c:pt>
                <c:pt idx="63">
                  <c:v>0.71155050082374471</c:v>
                </c:pt>
                <c:pt idx="64">
                  <c:v>0.70559998434531768</c:v>
                </c:pt>
              </c:numCache>
            </c:numRef>
          </c:val>
          <c:smooth val="0"/>
          <c:extLst>
            <c:ext xmlns:c16="http://schemas.microsoft.com/office/drawing/2014/chart" uri="{C3380CC4-5D6E-409C-BE32-E72D297353CC}">
              <c16:uniqueId val="{00000003-EAB4-422C-8F28-5B3BF2E1D454}"/>
            </c:ext>
          </c:extLst>
        </c:ser>
        <c:dLbls>
          <c:showLegendKey val="0"/>
          <c:showVal val="0"/>
          <c:showCatName val="0"/>
          <c:showSerName val="0"/>
          <c:showPercent val="0"/>
          <c:showBubbleSize val="0"/>
        </c:dLbls>
        <c:smooth val="0"/>
        <c:axId val="85529344"/>
        <c:axId val="85530880"/>
      </c:lineChart>
      <c:catAx>
        <c:axId val="8552934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5530880"/>
        <c:crossesAt val="-0.30000000000000004"/>
        <c:auto val="1"/>
        <c:lblAlgn val="ctr"/>
        <c:lblOffset val="100"/>
        <c:tickLblSkip val="6"/>
        <c:tickMarkSkip val="2"/>
        <c:noMultiLvlLbl val="0"/>
      </c:catAx>
      <c:valAx>
        <c:axId val="85530880"/>
        <c:scaling>
          <c:orientation val="minMax"/>
          <c:min val="0.5"/>
        </c:scaling>
        <c:delete val="0"/>
        <c:axPos val="l"/>
        <c:majorGridlines/>
        <c:numFmt formatCode="0%" sourceLinked="0"/>
        <c:majorTickMark val="out"/>
        <c:minorTickMark val="none"/>
        <c:tickLblPos val="nextTo"/>
        <c:txPr>
          <a:bodyPr/>
          <a:lstStyle/>
          <a:p>
            <a:pPr>
              <a:defRPr sz="1400" b="1"/>
            </a:pPr>
            <a:endParaRPr lang="en-US"/>
          </a:p>
        </c:txPr>
        <c:crossAx val="85529344"/>
        <c:crosses val="autoZero"/>
        <c:crossBetween val="between"/>
        <c:majorUnit val="0.1"/>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6.8.II.7'!$D$51</c:f>
              <c:strCache>
                <c:ptCount val="1"/>
                <c:pt idx="0">
                  <c:v>uK</c:v>
                </c:pt>
              </c:strCache>
            </c:strRef>
          </c:tx>
          <c:spPr>
            <a:ln w="34925">
              <a:solidFill>
                <a:schemeClr val="tx1">
                  <a:shade val="95000"/>
                  <a:satMod val="105000"/>
                </a:schemeClr>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6.8.II.7'!$G$51:$BS$51</c:f>
              <c:numCache>
                <c:formatCode>0.000</c:formatCode>
                <c:ptCount val="65"/>
                <c:pt idx="0">
                  <c:v>0.88510638475418102</c:v>
                </c:pt>
                <c:pt idx="1">
                  <c:v>0.92389321327209495</c:v>
                </c:pt>
                <c:pt idx="2">
                  <c:v>0.86980038881301902</c:v>
                </c:pt>
                <c:pt idx="3">
                  <c:v>0.87900775671005205</c:v>
                </c:pt>
                <c:pt idx="4">
                  <c:v>0.92584294080734297</c:v>
                </c:pt>
                <c:pt idx="5">
                  <c:v>0.91023296117782604</c:v>
                </c:pt>
                <c:pt idx="6">
                  <c:v>0.92477166652679399</c:v>
                </c:pt>
                <c:pt idx="7">
                  <c:v>0.87672096490859996</c:v>
                </c:pt>
                <c:pt idx="8">
                  <c:v>0.90311419963836703</c:v>
                </c:pt>
                <c:pt idx="9">
                  <c:v>0.86929577589035001</c:v>
                </c:pt>
                <c:pt idx="10">
                  <c:v>0.84395122528076205</c:v>
                </c:pt>
                <c:pt idx="11">
                  <c:v>0.79810518026351895</c:v>
                </c:pt>
                <c:pt idx="12">
                  <c:v>0.861047804355621</c:v>
                </c:pt>
                <c:pt idx="13">
                  <c:v>0.88093119859695401</c:v>
                </c:pt>
                <c:pt idx="14">
                  <c:v>0.88277721405029297</c:v>
                </c:pt>
                <c:pt idx="15">
                  <c:v>0.93909597396850597</c:v>
                </c:pt>
                <c:pt idx="16">
                  <c:v>0.97143566608428999</c:v>
                </c:pt>
                <c:pt idx="17">
                  <c:v>1.00164115428925</c:v>
                </c:pt>
                <c:pt idx="18">
                  <c:v>1.0422728061676001</c:v>
                </c:pt>
                <c:pt idx="19">
                  <c:v>1.06474781036377</c:v>
                </c:pt>
                <c:pt idx="20">
                  <c:v>1.04273521900177</c:v>
                </c:pt>
                <c:pt idx="21">
                  <c:v>1.0570937395095801</c:v>
                </c:pt>
                <c:pt idx="22">
                  <c:v>1.0494517087936399</c:v>
                </c:pt>
                <c:pt idx="23">
                  <c:v>0.98441243171691895</c:v>
                </c:pt>
                <c:pt idx="24">
                  <c:v>0.97354418039321899</c:v>
                </c:pt>
                <c:pt idx="25">
                  <c:v>1.00391101837158</c:v>
                </c:pt>
                <c:pt idx="26">
                  <c:v>1.00486552715302</c:v>
                </c:pt>
                <c:pt idx="27">
                  <c:v>0.88432848453521695</c:v>
                </c:pt>
                <c:pt idx="28">
                  <c:v>0.85354691743850697</c:v>
                </c:pt>
                <c:pt idx="29">
                  <c:v>0.87999582290649403</c:v>
                </c:pt>
                <c:pt idx="30">
                  <c:v>0.90109199285507202</c:v>
                </c:pt>
                <c:pt idx="31">
                  <c:v>0.91149121522903398</c:v>
                </c:pt>
                <c:pt idx="32">
                  <c:v>0.88534152507782005</c:v>
                </c:pt>
                <c:pt idx="33">
                  <c:v>0.83406603336334195</c:v>
                </c:pt>
                <c:pt idx="34">
                  <c:v>0.843342185020447</c:v>
                </c:pt>
                <c:pt idx="35">
                  <c:v>0.82005542516708396</c:v>
                </c:pt>
                <c:pt idx="36">
                  <c:v>0.85865700244903598</c:v>
                </c:pt>
                <c:pt idx="37">
                  <c:v>0.92487084865570102</c:v>
                </c:pt>
                <c:pt idx="38">
                  <c:v>0.93559807538986195</c:v>
                </c:pt>
                <c:pt idx="39">
                  <c:v>0.92921441793441795</c:v>
                </c:pt>
                <c:pt idx="40">
                  <c:v>0.94841212034225497</c:v>
                </c:pt>
                <c:pt idx="41">
                  <c:v>0.97139304876327504</c:v>
                </c:pt>
                <c:pt idx="42">
                  <c:v>0.96777576208114602</c:v>
                </c:pt>
                <c:pt idx="43">
                  <c:v>0.96064013242721602</c:v>
                </c:pt>
                <c:pt idx="44">
                  <c:v>0.95897972583770796</c:v>
                </c:pt>
                <c:pt idx="45">
                  <c:v>0.97564613819122303</c:v>
                </c:pt>
                <c:pt idx="46">
                  <c:v>0.97915554046630904</c:v>
                </c:pt>
                <c:pt idx="47">
                  <c:v>1.0114442110061601</c:v>
                </c:pt>
                <c:pt idx="48">
                  <c:v>1.01938092708588</c:v>
                </c:pt>
                <c:pt idx="49">
                  <c:v>1.0421992540359499</c:v>
                </c:pt>
                <c:pt idx="50">
                  <c:v>1.0718289613723799</c:v>
                </c:pt>
                <c:pt idx="51">
                  <c:v>1.09457731246948</c:v>
                </c:pt>
                <c:pt idx="52">
                  <c:v>1.1084233522415201</c:v>
                </c:pt>
                <c:pt idx="53">
                  <c:v>1.1150987148284901</c:v>
                </c:pt>
                <c:pt idx="54">
                  <c:v>1.0632525682449301</c:v>
                </c:pt>
                <c:pt idx="55">
                  <c:v>1.0390701293945299</c:v>
                </c:pt>
                <c:pt idx="56">
                  <c:v>1.04768621921539</c:v>
                </c:pt>
                <c:pt idx="57">
                  <c:v>1.0378708839416499</c:v>
                </c:pt>
                <c:pt idx="58">
                  <c:v>1.03080022335052</c:v>
                </c:pt>
                <c:pt idx="59">
                  <c:v>1.0236576795578001</c:v>
                </c:pt>
                <c:pt idx="60">
                  <c:v>0.98620384931564298</c:v>
                </c:pt>
                <c:pt idx="61">
                  <c:v>0.92536759376525901</c:v>
                </c:pt>
                <c:pt idx="62">
                  <c:v>0.89943754673004195</c:v>
                </c:pt>
                <c:pt idx="63">
                  <c:v>0.92929506301879905</c:v>
                </c:pt>
                <c:pt idx="64">
                  <c:v>0.94152617454528797</c:v>
                </c:pt>
              </c:numCache>
            </c:numRef>
          </c:val>
          <c:smooth val="0"/>
          <c:extLst>
            <c:ext xmlns:c16="http://schemas.microsoft.com/office/drawing/2014/chart" uri="{C3380CC4-5D6E-409C-BE32-E72D297353CC}">
              <c16:uniqueId val="{00000000-C782-4D5C-B18C-B3214CB87111}"/>
            </c:ext>
          </c:extLst>
        </c:ser>
        <c:ser>
          <c:idx val="1"/>
          <c:order val="1"/>
          <c:tx>
            <c:strRef>
              <c:f>'Appndx 6.8.II.7'!$D$52</c:f>
              <c:strCache>
                <c:ptCount val="1"/>
                <c:pt idx="0">
                  <c:v>uFRB</c:v>
                </c:pt>
              </c:strCache>
            </c:strRef>
          </c:tx>
          <c:spPr>
            <a:ln>
              <a:solidFill>
                <a:schemeClr val="tx1">
                  <a:shade val="95000"/>
                  <a:satMod val="105000"/>
                </a:schemeClr>
              </a:solidFill>
              <a:prstDash val="dash"/>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6.8.II.7'!$G$52:$BS$52</c:f>
              <c:numCache>
                <c:formatCode>0.000</c:formatCode>
                <c:ptCount val="65"/>
                <c:pt idx="20" formatCode="0.0000">
                  <c:v>0.86997000000000002</c:v>
                </c:pt>
                <c:pt idx="21" formatCode="0.0000">
                  <c:v>0.8734090000000001</c:v>
                </c:pt>
                <c:pt idx="22" formatCode="0.0000">
                  <c:v>0.87414700000000001</c:v>
                </c:pt>
                <c:pt idx="23" formatCode="0.0000">
                  <c:v>0.8124809999999999</c:v>
                </c:pt>
                <c:pt idx="24" formatCode="0.0000">
                  <c:v>0.79614999999999991</c:v>
                </c:pt>
                <c:pt idx="25" formatCode="0.0000">
                  <c:v>0.84668099999999991</c:v>
                </c:pt>
                <c:pt idx="26" formatCode="0.0000">
                  <c:v>0.883077</c:v>
                </c:pt>
                <c:pt idx="27" formatCode="0.0000">
                  <c:v>0.85131800000000002</c:v>
                </c:pt>
                <c:pt idx="28" formatCode="0.0000">
                  <c:v>0.75811400000000007</c:v>
                </c:pt>
                <c:pt idx="29" formatCode="0.0000">
                  <c:v>0.79775800000000008</c:v>
                </c:pt>
                <c:pt idx="30" formatCode="0.0000">
                  <c:v>0.83415800000000007</c:v>
                </c:pt>
                <c:pt idx="31" formatCode="0.0000">
                  <c:v>0.85072000000000003</c:v>
                </c:pt>
                <c:pt idx="32" formatCode="0.0000">
                  <c:v>0.85000500000000001</c:v>
                </c:pt>
                <c:pt idx="33" formatCode="0.0000">
                  <c:v>0.80760699999999996</c:v>
                </c:pt>
                <c:pt idx="34" formatCode="0.0000">
                  <c:v>0.79568099999999997</c:v>
                </c:pt>
                <c:pt idx="35" formatCode="0.0000">
                  <c:v>0.73607200000000006</c:v>
                </c:pt>
                <c:pt idx="36" formatCode="0.0000">
                  <c:v>0.74904199999999999</c:v>
                </c:pt>
                <c:pt idx="37" formatCode="0.0000">
                  <c:v>0.804315</c:v>
                </c:pt>
                <c:pt idx="38" formatCode="0.0000">
                  <c:v>0.79229399999999994</c:v>
                </c:pt>
                <c:pt idx="39" formatCode="0.0000">
                  <c:v>0.78649000000000002</c:v>
                </c:pt>
                <c:pt idx="40" formatCode="0.0000">
                  <c:v>0.81201599999999996</c:v>
                </c:pt>
                <c:pt idx="41" formatCode="0.0000">
                  <c:v>0.84335800000000005</c:v>
                </c:pt>
                <c:pt idx="42" formatCode="0.0000">
                  <c:v>0.83811400000000003</c:v>
                </c:pt>
                <c:pt idx="43" formatCode="0.0000">
                  <c:v>0.82504199999999994</c:v>
                </c:pt>
                <c:pt idx="44" formatCode="0.0000">
                  <c:v>0.79846200000000001</c:v>
                </c:pt>
                <c:pt idx="45" formatCode="0.0000">
                  <c:v>0.80575100000000011</c:v>
                </c:pt>
                <c:pt idx="46" formatCode="0.0000">
                  <c:v>0.81448100000000001</c:v>
                </c:pt>
                <c:pt idx="47" formatCode="0.0000">
                  <c:v>0.83574499999999996</c:v>
                </c:pt>
                <c:pt idx="48" formatCode="0.0000">
                  <c:v>0.83905299999999994</c:v>
                </c:pt>
                <c:pt idx="49" formatCode="0.0000">
                  <c:v>0.83355400000000002</c:v>
                </c:pt>
                <c:pt idx="50" formatCode="0.0000">
                  <c:v>0.84050299999999989</c:v>
                </c:pt>
                <c:pt idx="51" formatCode="0.0000">
                  <c:v>0.82682500000000003</c:v>
                </c:pt>
                <c:pt idx="52" formatCode="0.0000">
                  <c:v>0.81654499999999997</c:v>
                </c:pt>
                <c:pt idx="53" formatCode="0.0000">
                  <c:v>0.813751</c:v>
                </c:pt>
                <c:pt idx="54" formatCode="0.0000">
                  <c:v>0.76008399999999998</c:v>
                </c:pt>
                <c:pt idx="55" formatCode="0.0000">
                  <c:v>0.74910300000000007</c:v>
                </c:pt>
                <c:pt idx="56" formatCode="0.0000">
                  <c:v>0.75945200000000002</c:v>
                </c:pt>
                <c:pt idx="57" formatCode="0.0000">
                  <c:v>0.77986800000000001</c:v>
                </c:pt>
                <c:pt idx="58" formatCode="0.0000">
                  <c:v>0.79898899999999995</c:v>
                </c:pt>
                <c:pt idx="59" formatCode="0.0000">
                  <c:v>0.80199700000000007</c:v>
                </c:pt>
                <c:pt idx="60" formatCode="0.0000">
                  <c:v>0.80548599999999992</c:v>
                </c:pt>
                <c:pt idx="61" formatCode="0.0000">
                  <c:v>0.77617099999999994</c:v>
                </c:pt>
                <c:pt idx="62" formatCode="0.0000">
                  <c:v>0.686643</c:v>
                </c:pt>
                <c:pt idx="63" formatCode="0.0000">
                  <c:v>0.73846699999999998</c:v>
                </c:pt>
                <c:pt idx="64" formatCode="0.0000">
                  <c:v>0.76300899999999994</c:v>
                </c:pt>
              </c:numCache>
            </c:numRef>
          </c:val>
          <c:smooth val="0"/>
          <c:extLst>
            <c:ext xmlns:c16="http://schemas.microsoft.com/office/drawing/2014/chart" uri="{C3380CC4-5D6E-409C-BE32-E72D297353CC}">
              <c16:uniqueId val="{00000001-C782-4D5C-B18C-B3214CB87111}"/>
            </c:ext>
          </c:extLst>
        </c:ser>
        <c:dLbls>
          <c:showLegendKey val="0"/>
          <c:showVal val="0"/>
          <c:showCatName val="0"/>
          <c:showSerName val="0"/>
          <c:showPercent val="0"/>
          <c:showBubbleSize val="0"/>
        </c:dLbls>
        <c:smooth val="0"/>
        <c:axId val="85627648"/>
        <c:axId val="85629184"/>
      </c:lineChart>
      <c:catAx>
        <c:axId val="85627648"/>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5629184"/>
        <c:crosses val="autoZero"/>
        <c:auto val="1"/>
        <c:lblAlgn val="ctr"/>
        <c:lblOffset val="100"/>
        <c:tickLblSkip val="6"/>
        <c:tickMarkSkip val="2"/>
        <c:noMultiLvlLbl val="0"/>
      </c:catAx>
      <c:valAx>
        <c:axId val="85629184"/>
        <c:scaling>
          <c:orientation val="minMax"/>
          <c:min val="0.60000000000000009"/>
        </c:scaling>
        <c:delete val="0"/>
        <c:axPos val="l"/>
        <c:majorGridlines/>
        <c:minorGridlines/>
        <c:numFmt formatCode="0.00" sourceLinked="0"/>
        <c:majorTickMark val="out"/>
        <c:minorTickMark val="none"/>
        <c:tickLblPos val="nextTo"/>
        <c:txPr>
          <a:bodyPr/>
          <a:lstStyle/>
          <a:p>
            <a:pPr>
              <a:defRPr sz="1400" b="1"/>
            </a:pPr>
            <a:endParaRPr lang="en-US"/>
          </a:p>
        </c:txPr>
        <c:crossAx val="85627648"/>
        <c:crosses val="autoZero"/>
        <c:crossBetween val="between"/>
      </c:valAx>
      <c:spPr>
        <a:ln>
          <a:solidFill>
            <a:schemeClr val="tx1">
              <a:shade val="95000"/>
              <a:satMod val="105000"/>
            </a:schemeClr>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 6.8.II.7'!$D$53</c:f>
              <c:strCache>
                <c:ptCount val="1"/>
                <c:pt idx="0">
                  <c:v>Rcorpn</c:v>
                </c:pt>
              </c:strCache>
            </c:strRef>
          </c:tx>
          <c:spPr>
            <a:ln w="34925">
              <a:solidFill>
                <a:schemeClr val="tx1"/>
              </a:solidFill>
              <a:prstDash val="solid"/>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6.8.II.7'!$G$53:$BS$53</c:f>
              <c:numCache>
                <c:formatCode>0.00%</c:formatCode>
                <c:ptCount val="65"/>
                <c:pt idx="0">
                  <c:v>0.77354529128408678</c:v>
                </c:pt>
                <c:pt idx="1">
                  <c:v>0.75189870066569708</c:v>
                </c:pt>
                <c:pt idx="2">
                  <c:v>0.69039217126780617</c:v>
                </c:pt>
                <c:pt idx="3">
                  <c:v>0.74742130151955632</c:v>
                </c:pt>
                <c:pt idx="4">
                  <c:v>0.70231558840556796</c:v>
                </c:pt>
                <c:pt idx="5">
                  <c:v>0.66672077079378633</c:v>
                </c:pt>
                <c:pt idx="6">
                  <c:v>0.65221711304525576</c:v>
                </c:pt>
                <c:pt idx="7">
                  <c:v>0.63382843301638681</c:v>
                </c:pt>
                <c:pt idx="8">
                  <c:v>0.66850981201500215</c:v>
                </c:pt>
                <c:pt idx="9">
                  <c:v>0.66018864779876218</c:v>
                </c:pt>
                <c:pt idx="10">
                  <c:v>0.63021203336630149</c:v>
                </c:pt>
                <c:pt idx="11">
                  <c:v>0.59935015639268507</c:v>
                </c:pt>
                <c:pt idx="12">
                  <c:v>0.60362410385788201</c:v>
                </c:pt>
                <c:pt idx="13">
                  <c:v>0.57855396883253207</c:v>
                </c:pt>
                <c:pt idx="14">
                  <c:v>0.57320660421858483</c:v>
                </c:pt>
                <c:pt idx="15">
                  <c:v>0.5658123770531498</c:v>
                </c:pt>
                <c:pt idx="16">
                  <c:v>0.55593556760495844</c:v>
                </c:pt>
                <c:pt idx="17">
                  <c:v>0.55611817730754431</c:v>
                </c:pt>
                <c:pt idx="18">
                  <c:v>0.55067479466322189</c:v>
                </c:pt>
                <c:pt idx="19">
                  <c:v>0.5448440562069824</c:v>
                </c:pt>
                <c:pt idx="20">
                  <c:v>0.53190802120818204</c:v>
                </c:pt>
                <c:pt idx="21">
                  <c:v>0.53047337520759164</c:v>
                </c:pt>
                <c:pt idx="22">
                  <c:v>0.52398819801596119</c:v>
                </c:pt>
                <c:pt idx="23">
                  <c:v>0.51721176099583943</c:v>
                </c:pt>
                <c:pt idx="24">
                  <c:v>0.51157040982841295</c:v>
                </c:pt>
                <c:pt idx="25">
                  <c:v>0.49983232299418379</c:v>
                </c:pt>
                <c:pt idx="26">
                  <c:v>0.50857952790536864</c:v>
                </c:pt>
                <c:pt idx="27">
                  <c:v>0.54256895857892273</c:v>
                </c:pt>
                <c:pt idx="28">
                  <c:v>0.48993078178632782</c:v>
                </c:pt>
                <c:pt idx="29">
                  <c:v>0.48237992654149747</c:v>
                </c:pt>
                <c:pt idx="30">
                  <c:v>0.47894670658190802</c:v>
                </c:pt>
                <c:pt idx="31">
                  <c:v>0.48126782632032866</c:v>
                </c:pt>
                <c:pt idx="32">
                  <c:v>0.48148727404084884</c:v>
                </c:pt>
                <c:pt idx="33">
                  <c:v>0.47516006934304039</c:v>
                </c:pt>
                <c:pt idx="34">
                  <c:v>0.46219061794914756</c:v>
                </c:pt>
                <c:pt idx="35">
                  <c:v>0.43182428603389855</c:v>
                </c:pt>
                <c:pt idx="36">
                  <c:v>0.41726826204045908</c:v>
                </c:pt>
                <c:pt idx="37">
                  <c:v>0.41966883212470674</c:v>
                </c:pt>
                <c:pt idx="38">
                  <c:v>0.41369162776975305</c:v>
                </c:pt>
                <c:pt idx="39">
                  <c:v>0.40736948499742737</c:v>
                </c:pt>
                <c:pt idx="40">
                  <c:v>0.40753403985197334</c:v>
                </c:pt>
                <c:pt idx="41">
                  <c:v>0.40359267922048186</c:v>
                </c:pt>
                <c:pt idx="42">
                  <c:v>0.40029121439613274</c:v>
                </c:pt>
                <c:pt idx="43">
                  <c:v>0.39619984609349601</c:v>
                </c:pt>
                <c:pt idx="44">
                  <c:v>0.38479628799157589</c:v>
                </c:pt>
                <c:pt idx="45">
                  <c:v>0.38519996140773916</c:v>
                </c:pt>
                <c:pt idx="46">
                  <c:v>0.3849301757127962</c:v>
                </c:pt>
                <c:pt idx="47">
                  <c:v>0.38070790007923083</c:v>
                </c:pt>
                <c:pt idx="48">
                  <c:v>0.37275251566238649</c:v>
                </c:pt>
                <c:pt idx="49">
                  <c:v>0.36984627198100412</c:v>
                </c:pt>
                <c:pt idx="50">
                  <c:v>0.36632859613548407</c:v>
                </c:pt>
                <c:pt idx="51">
                  <c:v>0.35882857909580546</c:v>
                </c:pt>
                <c:pt idx="52">
                  <c:v>0.3566520189589123</c:v>
                </c:pt>
                <c:pt idx="53">
                  <c:v>0.35618803000118437</c:v>
                </c:pt>
                <c:pt idx="54">
                  <c:v>0.34747890875173065</c:v>
                </c:pt>
                <c:pt idx="55">
                  <c:v>0.34245059417205886</c:v>
                </c:pt>
                <c:pt idx="56">
                  <c:v>0.3371974195796637</c:v>
                </c:pt>
                <c:pt idx="57">
                  <c:v>0.34993680484425704</c:v>
                </c:pt>
                <c:pt idx="58">
                  <c:v>0.34857272214329238</c:v>
                </c:pt>
                <c:pt idx="59">
                  <c:v>0.34142841085017422</c:v>
                </c:pt>
                <c:pt idx="60">
                  <c:v>0.33177667245697345</c:v>
                </c:pt>
                <c:pt idx="61">
                  <c:v>0.32730975784203975</c:v>
                </c:pt>
                <c:pt idx="62">
                  <c:v>0.3074919372678504</c:v>
                </c:pt>
                <c:pt idx="63">
                  <c:v>0.32501141067310318</c:v>
                </c:pt>
                <c:pt idx="64">
                  <c:v>0.32729624594089318</c:v>
                </c:pt>
              </c:numCache>
            </c:numRef>
          </c:val>
          <c:smooth val="0"/>
          <c:extLst>
            <c:ext xmlns:c16="http://schemas.microsoft.com/office/drawing/2014/chart" uri="{C3380CC4-5D6E-409C-BE32-E72D297353CC}">
              <c16:uniqueId val="{00000000-AA23-4528-A50D-F6503935D1B0}"/>
            </c:ext>
          </c:extLst>
        </c:ser>
        <c:ser>
          <c:idx val="2"/>
          <c:order val="1"/>
          <c:tx>
            <c:strRef>
              <c:f>'Appndx 6.8.II.7'!$D$55</c:f>
              <c:strCache>
                <c:ptCount val="1"/>
                <c:pt idx="0">
                  <c:v>rcorpn</c:v>
                </c:pt>
              </c:strCache>
            </c:strRef>
          </c:tx>
          <c:spPr>
            <a:ln w="31750">
              <a:solidFill>
                <a:schemeClr val="tx1"/>
              </a:solidFill>
            </a:ln>
          </c:spPr>
          <c:marker>
            <c:symbol val="none"/>
          </c:marker>
          <c:val>
            <c:numRef>
              <c:f>'Appndx 6.8.II.7'!$G$55:$BS$55</c:f>
              <c:numCache>
                <c:formatCode>0.00%</c:formatCode>
                <c:ptCount val="65"/>
                <c:pt idx="0">
                  <c:v>0.17748941393192397</c:v>
                </c:pt>
                <c:pt idx="1">
                  <c:v>0.1724285490507807</c:v>
                </c:pt>
                <c:pt idx="2">
                  <c:v>0.15810227316706851</c:v>
                </c:pt>
                <c:pt idx="3">
                  <c:v>0.17068018769724796</c:v>
                </c:pt>
                <c:pt idx="4">
                  <c:v>0.15960256113362697</c:v>
                </c:pt>
                <c:pt idx="5">
                  <c:v>0.15050003270018839</c:v>
                </c:pt>
                <c:pt idx="6">
                  <c:v>0.14611770873834828</c:v>
                </c:pt>
                <c:pt idx="7">
                  <c:v>0.1409472624750687</c:v>
                </c:pt>
                <c:pt idx="8">
                  <c:v>0.14764820327733039</c:v>
                </c:pt>
                <c:pt idx="9">
                  <c:v>0.14490526349116017</c:v>
                </c:pt>
                <c:pt idx="10">
                  <c:v>0.1376557118552128</c:v>
                </c:pt>
                <c:pt idx="11">
                  <c:v>0.13055684525839298</c:v>
                </c:pt>
                <c:pt idx="12">
                  <c:v>0.13145773360051749</c:v>
                </c:pt>
                <c:pt idx="13">
                  <c:v>0.12622173577114429</c:v>
                </c:pt>
                <c:pt idx="14">
                  <c:v>0.12547088486521402</c:v>
                </c:pt>
                <c:pt idx="15">
                  <c:v>0.12433781445988616</c:v>
                </c:pt>
                <c:pt idx="16">
                  <c:v>0.12254202095833767</c:v>
                </c:pt>
                <c:pt idx="17">
                  <c:v>0.12267152739292135</c:v>
                </c:pt>
                <c:pt idx="18">
                  <c:v>0.12111921951478406</c:v>
                </c:pt>
                <c:pt idx="19">
                  <c:v>0.11894933201477501</c:v>
                </c:pt>
                <c:pt idx="20">
                  <c:v>0.11474114306263482</c:v>
                </c:pt>
                <c:pt idx="21">
                  <c:v>0.11264596978310197</c:v>
                </c:pt>
                <c:pt idx="22">
                  <c:v>0.10926213378092059</c:v>
                </c:pt>
                <c:pt idx="23">
                  <c:v>0.10582844616708095</c:v>
                </c:pt>
                <c:pt idx="24">
                  <c:v>0.10281361862379335</c:v>
                </c:pt>
                <c:pt idx="25">
                  <c:v>9.8838578625638246E-2</c:v>
                </c:pt>
                <c:pt idx="26">
                  <c:v>9.9151930982143116E-2</c:v>
                </c:pt>
                <c:pt idx="27">
                  <c:v>0.10452563553299027</c:v>
                </c:pt>
                <c:pt idx="28">
                  <c:v>9.3489795612865051E-2</c:v>
                </c:pt>
                <c:pt idx="29">
                  <c:v>9.1323263178001712E-2</c:v>
                </c:pt>
                <c:pt idx="30">
                  <c:v>9.0036210678796913E-2</c:v>
                </c:pt>
                <c:pt idx="31">
                  <c:v>8.9872537770682881E-2</c:v>
                </c:pt>
                <c:pt idx="32">
                  <c:v>8.936562763211274E-2</c:v>
                </c:pt>
                <c:pt idx="33">
                  <c:v>8.7778789851326325E-2</c:v>
                </c:pt>
                <c:pt idx="34">
                  <c:v>8.519136952276915E-2</c:v>
                </c:pt>
                <c:pt idx="35">
                  <c:v>7.9627044454197035E-2</c:v>
                </c:pt>
                <c:pt idx="36">
                  <c:v>7.7170685014024576E-2</c:v>
                </c:pt>
                <c:pt idx="37">
                  <c:v>7.7967978995796994E-2</c:v>
                </c:pt>
                <c:pt idx="38">
                  <c:v>7.7245166287049805E-2</c:v>
                </c:pt>
                <c:pt idx="39">
                  <c:v>7.6455506991294983E-2</c:v>
                </c:pt>
                <c:pt idx="40">
                  <c:v>7.6892952845601006E-2</c:v>
                </c:pt>
                <c:pt idx="41">
                  <c:v>7.6552077395148452E-2</c:v>
                </c:pt>
                <c:pt idx="42">
                  <c:v>7.6306011042764924E-2</c:v>
                </c:pt>
                <c:pt idx="43">
                  <c:v>7.5893736446813853E-2</c:v>
                </c:pt>
                <c:pt idx="44">
                  <c:v>7.4088941950587725E-2</c:v>
                </c:pt>
                <c:pt idx="45">
                  <c:v>7.4591097327852365E-2</c:v>
                </c:pt>
                <c:pt idx="46">
                  <c:v>7.5011760194712923E-2</c:v>
                </c:pt>
                <c:pt idx="47">
                  <c:v>7.4672147669151909E-2</c:v>
                </c:pt>
                <c:pt idx="48">
                  <c:v>7.3530018315440079E-2</c:v>
                </c:pt>
                <c:pt idx="49">
                  <c:v>7.3244730061472765E-2</c:v>
                </c:pt>
                <c:pt idx="50">
                  <c:v>7.2672486406107129E-2</c:v>
                </c:pt>
                <c:pt idx="51">
                  <c:v>7.1176464640581111E-2</c:v>
                </c:pt>
                <c:pt idx="52">
                  <c:v>7.0708666256929592E-2</c:v>
                </c:pt>
                <c:pt idx="53">
                  <c:v>7.0667233628416856E-2</c:v>
                </c:pt>
                <c:pt idx="54">
                  <c:v>6.9188087306441659E-2</c:v>
                </c:pt>
                <c:pt idx="55">
                  <c:v>6.8698343548096494E-2</c:v>
                </c:pt>
                <c:pt idx="56">
                  <c:v>6.84092722535007E-2</c:v>
                </c:pt>
                <c:pt idx="57">
                  <c:v>7.1999520308172471E-2</c:v>
                </c:pt>
                <c:pt idx="58">
                  <c:v>7.2828353185135128E-2</c:v>
                </c:pt>
                <c:pt idx="59">
                  <c:v>7.2452565800518134E-2</c:v>
                </c:pt>
                <c:pt idx="60">
                  <c:v>7.1511749510840189E-2</c:v>
                </c:pt>
                <c:pt idx="61">
                  <c:v>7.1731467657535575E-2</c:v>
                </c:pt>
                <c:pt idx="62">
                  <c:v>6.8652933206147571E-2</c:v>
                </c:pt>
                <c:pt idx="63">
                  <c:v>7.4024619690921001E-2</c:v>
                </c:pt>
                <c:pt idx="64">
                  <c:v>7.6055449737562716E-2</c:v>
                </c:pt>
              </c:numCache>
            </c:numRef>
          </c:val>
          <c:smooth val="0"/>
          <c:extLst>
            <c:ext xmlns:c16="http://schemas.microsoft.com/office/drawing/2014/chart" uri="{C3380CC4-5D6E-409C-BE32-E72D297353CC}">
              <c16:uniqueId val="{00000001-AA23-4528-A50D-F6503935D1B0}"/>
            </c:ext>
          </c:extLst>
        </c:ser>
        <c:ser>
          <c:idx val="1"/>
          <c:order val="2"/>
          <c:tx>
            <c:strRef>
              <c:f>'Appndx 6.8.II.7'!$D$56</c:f>
              <c:strCache>
                <c:ptCount val="1"/>
                <c:pt idx="0">
                  <c:v>Rcorpnipan</c:v>
                </c:pt>
              </c:strCache>
            </c:strRef>
          </c:tx>
          <c:spPr>
            <a:ln>
              <a:solidFill>
                <a:schemeClr val="tx1"/>
              </a:solidFill>
              <a:prstDash val="dash"/>
            </a:ln>
          </c:spPr>
          <c:marker>
            <c:symbol val="none"/>
          </c:marker>
          <c:val>
            <c:numRef>
              <c:f>'Appndx 6.8.II.7'!$G$56:$BS$56</c:f>
              <c:numCache>
                <c:formatCode>0.00%</c:formatCode>
                <c:ptCount val="65"/>
                <c:pt idx="20">
                  <c:v>0.90280125826135071</c:v>
                </c:pt>
                <c:pt idx="21">
                  <c:v>0.91568874651326626</c:v>
                </c:pt>
                <c:pt idx="22">
                  <c:v>0.90415656047627146</c:v>
                </c:pt>
                <c:pt idx="23">
                  <c:v>0.90977081534413295</c:v>
                </c:pt>
                <c:pt idx="24">
                  <c:v>0.91050538199454145</c:v>
                </c:pt>
                <c:pt idx="25">
                  <c:v>0.86681313164613538</c:v>
                </c:pt>
                <c:pt idx="26">
                  <c:v>0.85693240436847462</c:v>
                </c:pt>
                <c:pt idx="27">
                  <c:v>0.84678783945253477</c:v>
                </c:pt>
                <c:pt idx="28">
                  <c:v>0.83274168701953954</c:v>
                </c:pt>
                <c:pt idx="29">
                  <c:v>0.80337490339882012</c:v>
                </c:pt>
                <c:pt idx="30">
                  <c:v>0.7928156243290484</c:v>
                </c:pt>
                <c:pt idx="31">
                  <c:v>0.79776067992587085</c:v>
                </c:pt>
                <c:pt idx="32">
                  <c:v>0.77652819278112994</c:v>
                </c:pt>
                <c:pt idx="33">
                  <c:v>0.76531934425711678</c:v>
                </c:pt>
                <c:pt idx="34">
                  <c:v>0.76507678598193596</c:v>
                </c:pt>
                <c:pt idx="35">
                  <c:v>0.75459286356618083</c:v>
                </c:pt>
                <c:pt idx="36">
                  <c:v>0.75481617781918742</c:v>
                </c:pt>
                <c:pt idx="37">
                  <c:v>0.77117499890318975</c:v>
                </c:pt>
                <c:pt idx="38">
                  <c:v>0.78651151323011914</c:v>
                </c:pt>
                <c:pt idx="39">
                  <c:v>0.7825979467196591</c:v>
                </c:pt>
                <c:pt idx="40">
                  <c:v>0.77973263469052212</c:v>
                </c:pt>
                <c:pt idx="41">
                  <c:v>0.77306172600335132</c:v>
                </c:pt>
                <c:pt idx="42">
                  <c:v>0.76961966630658707</c:v>
                </c:pt>
                <c:pt idx="43">
                  <c:v>0.77006614776232007</c:v>
                </c:pt>
                <c:pt idx="44">
                  <c:v>0.77137040427587</c:v>
                </c:pt>
                <c:pt idx="45">
                  <c:v>0.78771063852062806</c:v>
                </c:pt>
                <c:pt idx="46">
                  <c:v>0.7919940042087743</c:v>
                </c:pt>
                <c:pt idx="47">
                  <c:v>0.79400909472109815</c:v>
                </c:pt>
                <c:pt idx="48">
                  <c:v>0.79415772877428492</c:v>
                </c:pt>
                <c:pt idx="49">
                  <c:v>0.80294619821465651</c:v>
                </c:pt>
                <c:pt idx="50">
                  <c:v>0.81611331185056968</c:v>
                </c:pt>
                <c:pt idx="51">
                  <c:v>0.8359261382233395</c:v>
                </c:pt>
                <c:pt idx="52">
                  <c:v>0.84817240655178261</c:v>
                </c:pt>
                <c:pt idx="53">
                  <c:v>0.85734828914273631</c:v>
                </c:pt>
                <c:pt idx="54">
                  <c:v>0.85362212906406454</c:v>
                </c:pt>
                <c:pt idx="55">
                  <c:v>0.83348478737167597</c:v>
                </c:pt>
                <c:pt idx="56">
                  <c:v>0.82560595550583404</c:v>
                </c:pt>
                <c:pt idx="57">
                  <c:v>0.83266893443661505</c:v>
                </c:pt>
                <c:pt idx="58">
                  <c:v>0.81274818625578626</c:v>
                </c:pt>
                <c:pt idx="59">
                  <c:v>0.79866659985214317</c:v>
                </c:pt>
                <c:pt idx="60">
                  <c:v>0.7432188588286831</c:v>
                </c:pt>
                <c:pt idx="61">
                  <c:v>0.72907695489834345</c:v>
                </c:pt>
                <c:pt idx="62">
                  <c:v>0.73488692479732243</c:v>
                </c:pt>
                <c:pt idx="63">
                  <c:v>0.75270371613812703</c:v>
                </c:pt>
                <c:pt idx="64">
                  <c:v>0.74952117346389147</c:v>
                </c:pt>
              </c:numCache>
            </c:numRef>
          </c:val>
          <c:smooth val="0"/>
          <c:extLst>
            <c:ext xmlns:c16="http://schemas.microsoft.com/office/drawing/2014/chart" uri="{C3380CC4-5D6E-409C-BE32-E72D297353CC}">
              <c16:uniqueId val="{00000002-AA23-4528-A50D-F6503935D1B0}"/>
            </c:ext>
          </c:extLst>
        </c:ser>
        <c:ser>
          <c:idx val="3"/>
          <c:order val="3"/>
          <c:tx>
            <c:strRef>
              <c:f>'Appndx 6.8.II.7'!$D$58</c:f>
              <c:strCache>
                <c:ptCount val="1"/>
                <c:pt idx="0">
                  <c:v>rcorpnipan</c:v>
                </c:pt>
              </c:strCache>
            </c:strRef>
          </c:tx>
          <c:spPr>
            <a:ln>
              <a:solidFill>
                <a:schemeClr val="tx1"/>
              </a:solidFill>
              <a:prstDash val="dash"/>
            </a:ln>
          </c:spPr>
          <c:marker>
            <c:symbol val="none"/>
          </c:marker>
          <c:val>
            <c:numRef>
              <c:f>'Appndx 6.8.II.7'!$G$58:$BS$58</c:f>
              <c:numCache>
                <c:formatCode>0.00%</c:formatCode>
                <c:ptCount val="65"/>
                <c:pt idx="20">
                  <c:v>0.16481957372831932</c:v>
                </c:pt>
                <c:pt idx="21">
                  <c:v>0.16228788364857555</c:v>
                </c:pt>
                <c:pt idx="22">
                  <c:v>0.15498142323131645</c:v>
                </c:pt>
                <c:pt idx="23">
                  <c:v>0.15062972182254367</c:v>
                </c:pt>
                <c:pt idx="24">
                  <c:v>0.1457825565830472</c:v>
                </c:pt>
                <c:pt idx="25">
                  <c:v>0.13449754122763161</c:v>
                </c:pt>
                <c:pt idx="26">
                  <c:v>0.12917334778799416</c:v>
                </c:pt>
                <c:pt idx="27">
                  <c:v>0.12435483849142301</c:v>
                </c:pt>
                <c:pt idx="28">
                  <c:v>0.11950468996550662</c:v>
                </c:pt>
                <c:pt idx="29">
                  <c:v>0.11284332938011594</c:v>
                </c:pt>
                <c:pt idx="30">
                  <c:v>0.10896625658562605</c:v>
                </c:pt>
                <c:pt idx="31">
                  <c:v>0.10712608928756769</c:v>
                </c:pt>
                <c:pt idx="32">
                  <c:v>0.10175218646063709</c:v>
                </c:pt>
                <c:pt idx="33">
                  <c:v>9.7943364594649487E-2</c:v>
                </c:pt>
                <c:pt idx="34">
                  <c:v>9.5993731802805751E-2</c:v>
                </c:pt>
                <c:pt idx="35">
                  <c:v>9.3350460359568663E-2</c:v>
                </c:pt>
                <c:pt idx="36">
                  <c:v>9.2686435353191238E-2</c:v>
                </c:pt>
                <c:pt idx="37">
                  <c:v>9.4527345714626218E-2</c:v>
                </c:pt>
                <c:pt idx="38">
                  <c:v>9.664819412489116E-2</c:v>
                </c:pt>
                <c:pt idx="39">
                  <c:v>9.676282850240589E-2</c:v>
                </c:pt>
                <c:pt idx="40">
                  <c:v>9.7362446917388185E-2</c:v>
                </c:pt>
                <c:pt idx="41">
                  <c:v>9.7786535312399697E-2</c:v>
                </c:pt>
                <c:pt idx="42">
                  <c:v>9.8879971814894899E-2</c:v>
                </c:pt>
                <c:pt idx="43">
                  <c:v>0.10077827206912689</c:v>
                </c:pt>
                <c:pt idx="44">
                  <c:v>0.10310781438452316</c:v>
                </c:pt>
                <c:pt idx="45">
                  <c:v>0.10773002567634173</c:v>
                </c:pt>
                <c:pt idx="46">
                  <c:v>0.11083520039978351</c:v>
                </c:pt>
                <c:pt idx="47">
                  <c:v>0.11349520786871438</c:v>
                </c:pt>
                <c:pt idx="48">
                  <c:v>0.1155092574500271</c:v>
                </c:pt>
                <c:pt idx="49">
                  <c:v>0.11822948435616348</c:v>
                </c:pt>
                <c:pt idx="50">
                  <c:v>0.12098923855061934</c:v>
                </c:pt>
                <c:pt idx="51">
                  <c:v>0.12423181394653381</c:v>
                </c:pt>
                <c:pt idx="52">
                  <c:v>0.12617241073955293</c:v>
                </c:pt>
                <c:pt idx="53">
                  <c:v>0.12784061068780789</c:v>
                </c:pt>
                <c:pt idx="54">
                  <c:v>0.12812330699410046</c:v>
                </c:pt>
                <c:pt idx="55">
                  <c:v>0.1266004852570633</c:v>
                </c:pt>
                <c:pt idx="56">
                  <c:v>0.12743668455410526</c:v>
                </c:pt>
                <c:pt idx="57">
                  <c:v>0.13084453734784909</c:v>
                </c:pt>
                <c:pt idx="58">
                  <c:v>0.12988654458117058</c:v>
                </c:pt>
                <c:pt idx="59">
                  <c:v>0.12947806945670379</c:v>
                </c:pt>
                <c:pt idx="60">
                  <c:v>0.12195802964632592</c:v>
                </c:pt>
                <c:pt idx="61">
                  <c:v>0.12111132973071533</c:v>
                </c:pt>
                <c:pt idx="62">
                  <c:v>0.12388384668894174</c:v>
                </c:pt>
                <c:pt idx="63">
                  <c:v>0.1290226055053304</c:v>
                </c:pt>
                <c:pt idx="64">
                  <c:v>0.13069647765597267</c:v>
                </c:pt>
              </c:numCache>
            </c:numRef>
          </c:val>
          <c:smooth val="0"/>
          <c:extLst>
            <c:ext xmlns:c16="http://schemas.microsoft.com/office/drawing/2014/chart" uri="{C3380CC4-5D6E-409C-BE32-E72D297353CC}">
              <c16:uniqueId val="{00000003-AA23-4528-A50D-F6503935D1B0}"/>
            </c:ext>
          </c:extLst>
        </c:ser>
        <c:ser>
          <c:idx val="4"/>
          <c:order val="4"/>
          <c:tx>
            <c:strRef>
              <c:f>'Appndx 6.8.II.7'!$D$54</c:f>
              <c:strCache>
                <c:ptCount val="1"/>
                <c:pt idx="0">
                  <c:v>Profshcorpn</c:v>
                </c:pt>
              </c:strCache>
            </c:strRef>
          </c:tx>
          <c:spPr>
            <a:ln w="22225">
              <a:solidFill>
                <a:schemeClr val="tx1"/>
              </a:solidFill>
            </a:ln>
          </c:spPr>
          <c:marker>
            <c:symbol val="none"/>
          </c:marker>
          <c:val>
            <c:numRef>
              <c:f>'Appndx 6.8.II.7'!$G$54:$BS$54</c:f>
              <c:numCache>
                <c:formatCode>0.00%</c:formatCode>
                <c:ptCount val="65"/>
                <c:pt idx="0">
                  <c:v>0.22944928491167099</c:v>
                </c:pt>
                <c:pt idx="1">
                  <c:v>0.22932417478327899</c:v>
                </c:pt>
                <c:pt idx="2">
                  <c:v>0.22900357180577</c:v>
                </c:pt>
                <c:pt idx="3">
                  <c:v>0.228358741382195</c:v>
                </c:pt>
                <c:pt idx="4">
                  <c:v>0.22725191319754801</c:v>
                </c:pt>
                <c:pt idx="5">
                  <c:v>0.225731729522999</c:v>
                </c:pt>
                <c:pt idx="6">
                  <c:v>0.224032313497744</c:v>
                </c:pt>
                <c:pt idx="7">
                  <c:v>0.222374470965749</c:v>
                </c:pt>
                <c:pt idx="8">
                  <c:v>0.220861684636002</c:v>
                </c:pt>
                <c:pt idx="9">
                  <c:v>0.21949069250783301</c:v>
                </c:pt>
                <c:pt idx="10">
                  <c:v>0.21842761573421501</c:v>
                </c:pt>
                <c:pt idx="11">
                  <c:v>0.21783066854303801</c:v>
                </c:pt>
                <c:pt idx="12">
                  <c:v>0.21778078900485401</c:v>
                </c:pt>
                <c:pt idx="13">
                  <c:v>0.21816760850478301</c:v>
                </c:pt>
                <c:pt idx="14">
                  <c:v>0.21889295053789601</c:v>
                </c:pt>
                <c:pt idx="15">
                  <c:v>0.219750962514216</c:v>
                </c:pt>
                <c:pt idx="16">
                  <c:v>0.22042486233839001</c:v>
                </c:pt>
                <c:pt idx="17">
                  <c:v>0.22058535828991899</c:v>
                </c:pt>
                <c:pt idx="18">
                  <c:v>0.219946910024922</c:v>
                </c:pt>
                <c:pt idx="19">
                  <c:v>0.21831812361661701</c:v>
                </c:pt>
                <c:pt idx="20">
                  <c:v>0.21571613603797599</c:v>
                </c:pt>
                <c:pt idx="21">
                  <c:v>0.21234990302580201</c:v>
                </c:pt>
                <c:pt idx="22">
                  <c:v>0.20852021895652001</c:v>
                </c:pt>
                <c:pt idx="23">
                  <c:v>0.20461337917629499</c:v>
                </c:pt>
                <c:pt idx="24">
                  <c:v>0.20097647684172801</c:v>
                </c:pt>
                <c:pt idx="25">
                  <c:v>0.19774347131765699</c:v>
                </c:pt>
                <c:pt idx="26">
                  <c:v>0.19495855720050201</c:v>
                </c:pt>
                <c:pt idx="27">
                  <c:v>0.19264949437350801</c:v>
                </c:pt>
                <c:pt idx="28">
                  <c:v>0.19082245714791299</c:v>
                </c:pt>
                <c:pt idx="29">
                  <c:v>0.18931812489122199</c:v>
                </c:pt>
                <c:pt idx="30">
                  <c:v>0.18798795239945801</c:v>
                </c:pt>
                <c:pt idx="31">
                  <c:v>0.186741213219735</c:v>
                </c:pt>
                <c:pt idx="32">
                  <c:v>0.18560330137517</c:v>
                </c:pt>
                <c:pt idx="33">
                  <c:v>0.18473519875668401</c:v>
                </c:pt>
                <c:pt idx="34">
                  <c:v>0.18432085424144701</c:v>
                </c:pt>
                <c:pt idx="35">
                  <c:v>0.184396864719059</c:v>
                </c:pt>
                <c:pt idx="36">
                  <c:v>0.18494261853671001</c:v>
                </c:pt>
                <c:pt idx="37">
                  <c:v>0.18578453539439499</c:v>
                </c:pt>
                <c:pt idx="38">
                  <c:v>0.18672160880674599</c:v>
                </c:pt>
                <c:pt idx="39">
                  <c:v>0.18768098693444801</c:v>
                </c:pt>
                <c:pt idx="40">
                  <c:v>0.188678601850119</c:v>
                </c:pt>
                <c:pt idx="41">
                  <c:v>0.189676575757035</c:v>
                </c:pt>
                <c:pt idx="42">
                  <c:v>0.19062624483996701</c:v>
                </c:pt>
                <c:pt idx="43">
                  <c:v>0.191554179526118</c:v>
                </c:pt>
                <c:pt idx="44">
                  <c:v>0.19254068779429001</c:v>
                </c:pt>
                <c:pt idx="45">
                  <c:v>0.19364253582802601</c:v>
                </c:pt>
                <c:pt idx="46">
                  <c:v>0.19487108293292299</c:v>
                </c:pt>
                <c:pt idx="47">
                  <c:v>0.1961402630563</c:v>
                </c:pt>
                <c:pt idx="48">
                  <c:v>0.197262299316146</c:v>
                </c:pt>
                <c:pt idx="49">
                  <c:v>0.19804101219988701</c:v>
                </c:pt>
                <c:pt idx="50">
                  <c:v>0.19838059920178799</c:v>
                </c:pt>
                <c:pt idx="51">
                  <c:v>0.19835784769411399</c:v>
                </c:pt>
                <c:pt idx="52">
                  <c:v>0.198256739057113</c:v>
                </c:pt>
                <c:pt idx="53">
                  <c:v>0.19839867619409299</c:v>
                </c:pt>
                <c:pt idx="54">
                  <c:v>0.19911449461778899</c:v>
                </c:pt>
                <c:pt idx="55">
                  <c:v>0.20060804307899699</c:v>
                </c:pt>
                <c:pt idx="56">
                  <c:v>0.20287602538233199</c:v>
                </c:pt>
                <c:pt idx="57">
                  <c:v>0.20575006490162301</c:v>
                </c:pt>
                <c:pt idx="58">
                  <c:v>0.208933024756873</c:v>
                </c:pt>
                <c:pt idx="59">
                  <c:v>0.212204267419069</c:v>
                </c:pt>
                <c:pt idx="60">
                  <c:v>0.215541825111632</c:v>
                </c:pt>
                <c:pt idx="61">
                  <c:v>0.21915468738378799</c:v>
                </c:pt>
                <c:pt idx="62">
                  <c:v>0.22326742553365</c:v>
                </c:pt>
                <c:pt idx="63">
                  <c:v>0.22776006398549201</c:v>
                </c:pt>
                <c:pt idx="64">
                  <c:v>0.232374952908252</c:v>
                </c:pt>
              </c:numCache>
            </c:numRef>
          </c:val>
          <c:smooth val="0"/>
          <c:extLst>
            <c:ext xmlns:c16="http://schemas.microsoft.com/office/drawing/2014/chart" uri="{C3380CC4-5D6E-409C-BE32-E72D297353CC}">
              <c16:uniqueId val="{00000004-AA23-4528-A50D-F6503935D1B0}"/>
            </c:ext>
          </c:extLst>
        </c:ser>
        <c:ser>
          <c:idx val="5"/>
          <c:order val="5"/>
          <c:tx>
            <c:strRef>
              <c:f>'Appndx 6.8.II.7'!$D$57</c:f>
              <c:strCache>
                <c:ptCount val="1"/>
                <c:pt idx="0">
                  <c:v>Profshcorpnipan</c:v>
                </c:pt>
              </c:strCache>
            </c:strRef>
          </c:tx>
          <c:spPr>
            <a:ln w="31750">
              <a:solidFill>
                <a:schemeClr val="tx1"/>
              </a:solidFill>
              <a:prstDash val="sysDot"/>
            </a:ln>
          </c:spPr>
          <c:marker>
            <c:symbol val="none"/>
          </c:marker>
          <c:val>
            <c:numRef>
              <c:f>'Appndx 6.8.II.7'!$G$57:$BS$57</c:f>
              <c:numCache>
                <c:formatCode>0.00%</c:formatCode>
                <c:ptCount val="65"/>
                <c:pt idx="0">
                  <c:v>0.21392904942712099</c:v>
                </c:pt>
                <c:pt idx="1">
                  <c:v>0.213587846729656</c:v>
                </c:pt>
                <c:pt idx="2">
                  <c:v>0.21302835353791999</c:v>
                </c:pt>
                <c:pt idx="3">
                  <c:v>0.21210340089034599</c:v>
                </c:pt>
                <c:pt idx="4">
                  <c:v>0.21065353628998601</c:v>
                </c:pt>
                <c:pt idx="5">
                  <c:v>0.20871627323099101</c:v>
                </c:pt>
                <c:pt idx="6">
                  <c:v>0.20651858984461</c:v>
                </c:pt>
                <c:pt idx="7">
                  <c:v>0.20427730152978399</c:v>
                </c:pt>
                <c:pt idx="8">
                  <c:v>0.202099037787007</c:v>
                </c:pt>
                <c:pt idx="9">
                  <c:v>0.19998965510147501</c:v>
                </c:pt>
                <c:pt idx="10">
                  <c:v>0.19812801958051399</c:v>
                </c:pt>
                <c:pt idx="11">
                  <c:v>0.196689100780437</c:v>
                </c:pt>
                <c:pt idx="12">
                  <c:v>0.195755588061749</c:v>
                </c:pt>
                <c:pt idx="13">
                  <c:v>0.195185279777152</c:v>
                </c:pt>
                <c:pt idx="14">
                  <c:v>0.194857418398731</c:v>
                </c:pt>
                <c:pt idx="15">
                  <c:v>0.19455239360080001</c:v>
                </c:pt>
                <c:pt idx="16">
                  <c:v>0.193936020873682</c:v>
                </c:pt>
                <c:pt idx="17">
                  <c:v>0.192659591771697</c:v>
                </c:pt>
                <c:pt idx="18">
                  <c:v>0.19042703764042301</c:v>
                </c:pt>
                <c:pt idx="19">
                  <c:v>0.18704969390772599</c:v>
                </c:pt>
                <c:pt idx="20">
                  <c:v>0.18256462562506301</c:v>
                </c:pt>
                <c:pt idx="21">
                  <c:v>0.17723040090481701</c:v>
                </c:pt>
                <c:pt idx="22">
                  <c:v>0.17140994160312101</c:v>
                </c:pt>
                <c:pt idx="23">
                  <c:v>0.165568865567056</c:v>
                </c:pt>
                <c:pt idx="24">
                  <c:v>0.16011169122767599</c:v>
                </c:pt>
                <c:pt idx="25">
                  <c:v>0.15516324836036099</c:v>
                </c:pt>
                <c:pt idx="26">
                  <c:v>0.15073924982821699</c:v>
                </c:pt>
                <c:pt idx="27">
                  <c:v>0.14685477601074301</c:v>
                </c:pt>
                <c:pt idx="28">
                  <c:v>0.14350751478915999</c:v>
                </c:pt>
                <c:pt idx="29">
                  <c:v>0.14046160628457799</c:v>
                </c:pt>
                <c:pt idx="30">
                  <c:v>0.13744211547021801</c:v>
                </c:pt>
                <c:pt idx="31">
                  <c:v>0.134283491256453</c:v>
                </c:pt>
                <c:pt idx="32">
                  <c:v>0.13103476139895501</c:v>
                </c:pt>
                <c:pt idx="33">
                  <c:v>0.12797711874083301</c:v>
                </c:pt>
                <c:pt idx="34">
                  <c:v>0.125469408511203</c:v>
                </c:pt>
                <c:pt idx="35">
                  <c:v>0.12370970475177499</c:v>
                </c:pt>
                <c:pt idx="36">
                  <c:v>0.122793387419147</c:v>
                </c:pt>
                <c:pt idx="37">
                  <c:v>0.12257573942239899</c:v>
                </c:pt>
                <c:pt idx="38">
                  <c:v>0.122882109796419</c:v>
                </c:pt>
                <c:pt idx="39">
                  <c:v>0.123643090181871</c:v>
                </c:pt>
                <c:pt idx="40">
                  <c:v>0.124866451121456</c:v>
                </c:pt>
                <c:pt idx="41">
                  <c:v>0.126492532256054</c:v>
                </c:pt>
                <c:pt idx="42">
                  <c:v>0.12847900871533199</c:v>
                </c:pt>
                <c:pt idx="43">
                  <c:v>0.130869630306398</c:v>
                </c:pt>
                <c:pt idx="44">
                  <c:v>0.13366835674920199</c:v>
                </c:pt>
                <c:pt idx="45">
                  <c:v>0.13676345146063501</c:v>
                </c:pt>
                <c:pt idx="46">
                  <c:v>0.13994449429009401</c:v>
                </c:pt>
                <c:pt idx="47">
                  <c:v>0.14293943057236699</c:v>
                </c:pt>
                <c:pt idx="48">
                  <c:v>0.14544876069934601</c:v>
                </c:pt>
                <c:pt idx="49">
                  <c:v>0.14724459075719601</c:v>
                </c:pt>
                <c:pt idx="50">
                  <c:v>0.14825053922508799</c:v>
                </c:pt>
                <c:pt idx="51">
                  <c:v>0.148615778674625</c:v>
                </c:pt>
                <c:pt idx="52">
                  <c:v>0.148757976285155</c:v>
                </c:pt>
                <c:pt idx="53">
                  <c:v>0.14911164144928299</c:v>
                </c:pt>
                <c:pt idx="54">
                  <c:v>0.15009370379675899</c:v>
                </c:pt>
                <c:pt idx="55">
                  <c:v>0.151892976542844</c:v>
                </c:pt>
                <c:pt idx="56">
                  <c:v>0.154355335864828</c:v>
                </c:pt>
                <c:pt idx="57">
                  <c:v>0.157138728174576</c:v>
                </c:pt>
                <c:pt idx="58">
                  <c:v>0.159811546525301</c:v>
                </c:pt>
                <c:pt idx="59">
                  <c:v>0.16211779668847301</c:v>
                </c:pt>
                <c:pt idx="60">
                  <c:v>0.16409436897030899</c:v>
                </c:pt>
                <c:pt idx="61">
                  <c:v>0.166115975710139</c:v>
                </c:pt>
                <c:pt idx="62">
                  <c:v>0.16857538555759199</c:v>
                </c:pt>
                <c:pt idx="63">
                  <c:v>0.171412207405196</c:v>
                </c:pt>
                <c:pt idx="64">
                  <c:v>0.1743732962899</c:v>
                </c:pt>
              </c:numCache>
            </c:numRef>
          </c:val>
          <c:smooth val="0"/>
          <c:extLst>
            <c:ext xmlns:c16="http://schemas.microsoft.com/office/drawing/2014/chart" uri="{C3380CC4-5D6E-409C-BE32-E72D297353CC}">
              <c16:uniqueId val="{00000005-AA23-4528-A50D-F6503935D1B0}"/>
            </c:ext>
          </c:extLst>
        </c:ser>
        <c:dLbls>
          <c:showLegendKey val="0"/>
          <c:showVal val="0"/>
          <c:showCatName val="0"/>
          <c:showSerName val="0"/>
          <c:showPercent val="0"/>
          <c:showBubbleSize val="0"/>
        </c:dLbls>
        <c:smooth val="0"/>
        <c:axId val="86407808"/>
        <c:axId val="86421888"/>
      </c:lineChart>
      <c:catAx>
        <c:axId val="86407808"/>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421888"/>
        <c:crossesAt val="1.0000000000000002E-2"/>
        <c:auto val="1"/>
        <c:lblAlgn val="ctr"/>
        <c:lblOffset val="100"/>
        <c:tickLblSkip val="4"/>
        <c:tickMarkSkip val="2"/>
        <c:noMultiLvlLbl val="0"/>
      </c:catAx>
      <c:valAx>
        <c:axId val="86421888"/>
        <c:scaling>
          <c:logBase val="10"/>
          <c:orientation val="minMax"/>
          <c:min val="4.0000000000000008E-2"/>
        </c:scaling>
        <c:delete val="0"/>
        <c:axPos val="l"/>
        <c:majorGridlines/>
        <c:minorGridlines/>
        <c:numFmt formatCode="0%" sourceLinked="0"/>
        <c:majorTickMark val="out"/>
        <c:minorTickMark val="none"/>
        <c:tickLblPos val="nextTo"/>
        <c:txPr>
          <a:bodyPr/>
          <a:lstStyle/>
          <a:p>
            <a:pPr>
              <a:defRPr sz="1400" b="1"/>
            </a:pPr>
            <a:endParaRPr lang="en-US"/>
          </a:p>
        </c:txPr>
        <c:crossAx val="86407808"/>
        <c:crosses val="autoZero"/>
        <c:crossBetween val="between"/>
        <c:minorUnit val="10"/>
      </c:valAx>
      <c:spPr>
        <a:ln>
          <a:solidFill>
            <a:schemeClr val="tx1"/>
          </a:solidFill>
        </a:ln>
      </c:spPr>
    </c:plotArea>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 6.8.II.7'!$D$53</c:f>
              <c:strCache>
                <c:ptCount val="1"/>
                <c:pt idx="0">
                  <c:v>Rcorpn</c:v>
                </c:pt>
              </c:strCache>
            </c:strRef>
          </c:tx>
          <c:spPr>
            <a:ln w="34925">
              <a:solidFill>
                <a:schemeClr val="tx1"/>
              </a:solidFill>
              <a:prstDash val="solid"/>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6.8.II.7'!$G$53:$BS$53</c:f>
              <c:numCache>
                <c:formatCode>0.00%</c:formatCode>
                <c:ptCount val="65"/>
                <c:pt idx="0">
                  <c:v>0.77354529128408678</c:v>
                </c:pt>
                <c:pt idx="1">
                  <c:v>0.75189870066569708</c:v>
                </c:pt>
                <c:pt idx="2">
                  <c:v>0.69039217126780617</c:v>
                </c:pt>
                <c:pt idx="3">
                  <c:v>0.74742130151955632</c:v>
                </c:pt>
                <c:pt idx="4">
                  <c:v>0.70231558840556796</c:v>
                </c:pt>
                <c:pt idx="5">
                  <c:v>0.66672077079378633</c:v>
                </c:pt>
                <c:pt idx="6">
                  <c:v>0.65221711304525576</c:v>
                </c:pt>
                <c:pt idx="7">
                  <c:v>0.63382843301638681</c:v>
                </c:pt>
                <c:pt idx="8">
                  <c:v>0.66850981201500215</c:v>
                </c:pt>
                <c:pt idx="9">
                  <c:v>0.66018864779876218</c:v>
                </c:pt>
                <c:pt idx="10">
                  <c:v>0.63021203336630149</c:v>
                </c:pt>
                <c:pt idx="11">
                  <c:v>0.59935015639268507</c:v>
                </c:pt>
                <c:pt idx="12">
                  <c:v>0.60362410385788201</c:v>
                </c:pt>
                <c:pt idx="13">
                  <c:v>0.57855396883253207</c:v>
                </c:pt>
                <c:pt idx="14">
                  <c:v>0.57320660421858483</c:v>
                </c:pt>
                <c:pt idx="15">
                  <c:v>0.5658123770531498</c:v>
                </c:pt>
                <c:pt idx="16">
                  <c:v>0.55593556760495844</c:v>
                </c:pt>
                <c:pt idx="17">
                  <c:v>0.55611817730754431</c:v>
                </c:pt>
                <c:pt idx="18">
                  <c:v>0.55067479466322189</c:v>
                </c:pt>
                <c:pt idx="19">
                  <c:v>0.5448440562069824</c:v>
                </c:pt>
                <c:pt idx="20">
                  <c:v>0.53190802120818204</c:v>
                </c:pt>
                <c:pt idx="21">
                  <c:v>0.53047337520759164</c:v>
                </c:pt>
                <c:pt idx="22">
                  <c:v>0.52398819801596119</c:v>
                </c:pt>
                <c:pt idx="23">
                  <c:v>0.51721176099583943</c:v>
                </c:pt>
                <c:pt idx="24">
                  <c:v>0.51157040982841295</c:v>
                </c:pt>
                <c:pt idx="25">
                  <c:v>0.49983232299418379</c:v>
                </c:pt>
                <c:pt idx="26">
                  <c:v>0.50857952790536864</c:v>
                </c:pt>
                <c:pt idx="27">
                  <c:v>0.54256895857892273</c:v>
                </c:pt>
                <c:pt idx="28">
                  <c:v>0.48993078178632782</c:v>
                </c:pt>
                <c:pt idx="29">
                  <c:v>0.48237992654149747</c:v>
                </c:pt>
                <c:pt idx="30">
                  <c:v>0.47894670658190802</c:v>
                </c:pt>
                <c:pt idx="31">
                  <c:v>0.48126782632032866</c:v>
                </c:pt>
                <c:pt idx="32">
                  <c:v>0.48148727404084884</c:v>
                </c:pt>
                <c:pt idx="33">
                  <c:v>0.47516006934304039</c:v>
                </c:pt>
                <c:pt idx="34">
                  <c:v>0.46219061794914756</c:v>
                </c:pt>
                <c:pt idx="35">
                  <c:v>0.43182428603389855</c:v>
                </c:pt>
                <c:pt idx="36">
                  <c:v>0.41726826204045908</c:v>
                </c:pt>
                <c:pt idx="37">
                  <c:v>0.41966883212470674</c:v>
                </c:pt>
                <c:pt idx="38">
                  <c:v>0.41369162776975305</c:v>
                </c:pt>
                <c:pt idx="39">
                  <c:v>0.40736948499742737</c:v>
                </c:pt>
                <c:pt idx="40">
                  <c:v>0.40753403985197334</c:v>
                </c:pt>
                <c:pt idx="41">
                  <c:v>0.40359267922048186</c:v>
                </c:pt>
                <c:pt idx="42">
                  <c:v>0.40029121439613274</c:v>
                </c:pt>
                <c:pt idx="43">
                  <c:v>0.39619984609349601</c:v>
                </c:pt>
                <c:pt idx="44">
                  <c:v>0.38479628799157589</c:v>
                </c:pt>
                <c:pt idx="45">
                  <c:v>0.38519996140773916</c:v>
                </c:pt>
                <c:pt idx="46">
                  <c:v>0.3849301757127962</c:v>
                </c:pt>
                <c:pt idx="47">
                  <c:v>0.38070790007923083</c:v>
                </c:pt>
                <c:pt idx="48">
                  <c:v>0.37275251566238649</c:v>
                </c:pt>
                <c:pt idx="49">
                  <c:v>0.36984627198100412</c:v>
                </c:pt>
                <c:pt idx="50">
                  <c:v>0.36632859613548407</c:v>
                </c:pt>
                <c:pt idx="51">
                  <c:v>0.35882857909580546</c:v>
                </c:pt>
                <c:pt idx="52">
                  <c:v>0.3566520189589123</c:v>
                </c:pt>
                <c:pt idx="53">
                  <c:v>0.35618803000118437</c:v>
                </c:pt>
                <c:pt idx="54">
                  <c:v>0.34747890875173065</c:v>
                </c:pt>
                <c:pt idx="55">
                  <c:v>0.34245059417205886</c:v>
                </c:pt>
                <c:pt idx="56">
                  <c:v>0.3371974195796637</c:v>
                </c:pt>
                <c:pt idx="57">
                  <c:v>0.34993680484425704</c:v>
                </c:pt>
                <c:pt idx="58">
                  <c:v>0.34857272214329238</c:v>
                </c:pt>
                <c:pt idx="59">
                  <c:v>0.34142841085017422</c:v>
                </c:pt>
                <c:pt idx="60">
                  <c:v>0.33177667245697345</c:v>
                </c:pt>
                <c:pt idx="61">
                  <c:v>0.32730975784203975</c:v>
                </c:pt>
                <c:pt idx="62">
                  <c:v>0.3074919372678504</c:v>
                </c:pt>
                <c:pt idx="63">
                  <c:v>0.32501141067310318</c:v>
                </c:pt>
                <c:pt idx="64">
                  <c:v>0.32729624594089318</c:v>
                </c:pt>
              </c:numCache>
            </c:numRef>
          </c:val>
          <c:smooth val="0"/>
          <c:extLst>
            <c:ext xmlns:c16="http://schemas.microsoft.com/office/drawing/2014/chart" uri="{C3380CC4-5D6E-409C-BE32-E72D297353CC}">
              <c16:uniqueId val="{00000000-3260-46A3-B397-BA95F5CB6A54}"/>
            </c:ext>
          </c:extLst>
        </c:ser>
        <c:ser>
          <c:idx val="2"/>
          <c:order val="1"/>
          <c:tx>
            <c:strRef>
              <c:f>'Appndx 6.8.II.7'!$D$55</c:f>
              <c:strCache>
                <c:ptCount val="1"/>
                <c:pt idx="0">
                  <c:v>rcorpn</c:v>
                </c:pt>
              </c:strCache>
            </c:strRef>
          </c:tx>
          <c:spPr>
            <a:ln w="31750">
              <a:solidFill>
                <a:schemeClr val="tx1"/>
              </a:solidFill>
            </a:ln>
          </c:spPr>
          <c:marker>
            <c:symbol val="none"/>
          </c:marker>
          <c:val>
            <c:numRef>
              <c:f>'Appndx 6.8.II.7'!$G$55:$BS$55</c:f>
              <c:numCache>
                <c:formatCode>0.00%</c:formatCode>
                <c:ptCount val="65"/>
                <c:pt idx="0">
                  <c:v>0.17748941393192397</c:v>
                </c:pt>
                <c:pt idx="1">
                  <c:v>0.1724285490507807</c:v>
                </c:pt>
                <c:pt idx="2">
                  <c:v>0.15810227316706851</c:v>
                </c:pt>
                <c:pt idx="3">
                  <c:v>0.17068018769724796</c:v>
                </c:pt>
                <c:pt idx="4">
                  <c:v>0.15960256113362697</c:v>
                </c:pt>
                <c:pt idx="5">
                  <c:v>0.15050003270018839</c:v>
                </c:pt>
                <c:pt idx="6">
                  <c:v>0.14611770873834828</c:v>
                </c:pt>
                <c:pt idx="7">
                  <c:v>0.1409472624750687</c:v>
                </c:pt>
                <c:pt idx="8">
                  <c:v>0.14764820327733039</c:v>
                </c:pt>
                <c:pt idx="9">
                  <c:v>0.14490526349116017</c:v>
                </c:pt>
                <c:pt idx="10">
                  <c:v>0.1376557118552128</c:v>
                </c:pt>
                <c:pt idx="11">
                  <c:v>0.13055684525839298</c:v>
                </c:pt>
                <c:pt idx="12">
                  <c:v>0.13145773360051749</c:v>
                </c:pt>
                <c:pt idx="13">
                  <c:v>0.12622173577114429</c:v>
                </c:pt>
                <c:pt idx="14">
                  <c:v>0.12547088486521402</c:v>
                </c:pt>
                <c:pt idx="15">
                  <c:v>0.12433781445988616</c:v>
                </c:pt>
                <c:pt idx="16">
                  <c:v>0.12254202095833767</c:v>
                </c:pt>
                <c:pt idx="17">
                  <c:v>0.12267152739292135</c:v>
                </c:pt>
                <c:pt idx="18">
                  <c:v>0.12111921951478406</c:v>
                </c:pt>
                <c:pt idx="19">
                  <c:v>0.11894933201477501</c:v>
                </c:pt>
                <c:pt idx="20">
                  <c:v>0.11474114306263482</c:v>
                </c:pt>
                <c:pt idx="21">
                  <c:v>0.11264596978310197</c:v>
                </c:pt>
                <c:pt idx="22">
                  <c:v>0.10926213378092059</c:v>
                </c:pt>
                <c:pt idx="23">
                  <c:v>0.10582844616708095</c:v>
                </c:pt>
                <c:pt idx="24">
                  <c:v>0.10281361862379335</c:v>
                </c:pt>
                <c:pt idx="25">
                  <c:v>9.8838578625638246E-2</c:v>
                </c:pt>
                <c:pt idx="26">
                  <c:v>9.9151930982143116E-2</c:v>
                </c:pt>
                <c:pt idx="27">
                  <c:v>0.10452563553299027</c:v>
                </c:pt>
                <c:pt idx="28">
                  <c:v>9.3489795612865051E-2</c:v>
                </c:pt>
                <c:pt idx="29">
                  <c:v>9.1323263178001712E-2</c:v>
                </c:pt>
                <c:pt idx="30">
                  <c:v>9.0036210678796913E-2</c:v>
                </c:pt>
                <c:pt idx="31">
                  <c:v>8.9872537770682881E-2</c:v>
                </c:pt>
                <c:pt idx="32">
                  <c:v>8.936562763211274E-2</c:v>
                </c:pt>
                <c:pt idx="33">
                  <c:v>8.7778789851326325E-2</c:v>
                </c:pt>
                <c:pt idx="34">
                  <c:v>8.519136952276915E-2</c:v>
                </c:pt>
                <c:pt idx="35">
                  <c:v>7.9627044454197035E-2</c:v>
                </c:pt>
                <c:pt idx="36">
                  <c:v>7.7170685014024576E-2</c:v>
                </c:pt>
                <c:pt idx="37">
                  <c:v>7.7967978995796994E-2</c:v>
                </c:pt>
                <c:pt idx="38">
                  <c:v>7.7245166287049805E-2</c:v>
                </c:pt>
                <c:pt idx="39">
                  <c:v>7.6455506991294983E-2</c:v>
                </c:pt>
                <c:pt idx="40">
                  <c:v>7.6892952845601006E-2</c:v>
                </c:pt>
                <c:pt idx="41">
                  <c:v>7.6552077395148452E-2</c:v>
                </c:pt>
                <c:pt idx="42">
                  <c:v>7.6306011042764924E-2</c:v>
                </c:pt>
                <c:pt idx="43">
                  <c:v>7.5893736446813853E-2</c:v>
                </c:pt>
                <c:pt idx="44">
                  <c:v>7.4088941950587725E-2</c:v>
                </c:pt>
                <c:pt idx="45">
                  <c:v>7.4591097327852365E-2</c:v>
                </c:pt>
                <c:pt idx="46">
                  <c:v>7.5011760194712923E-2</c:v>
                </c:pt>
                <c:pt idx="47">
                  <c:v>7.4672147669151909E-2</c:v>
                </c:pt>
                <c:pt idx="48">
                  <c:v>7.3530018315440079E-2</c:v>
                </c:pt>
                <c:pt idx="49">
                  <c:v>7.3244730061472765E-2</c:v>
                </c:pt>
                <c:pt idx="50">
                  <c:v>7.2672486406107129E-2</c:v>
                </c:pt>
                <c:pt idx="51">
                  <c:v>7.1176464640581111E-2</c:v>
                </c:pt>
                <c:pt idx="52">
                  <c:v>7.0708666256929592E-2</c:v>
                </c:pt>
                <c:pt idx="53">
                  <c:v>7.0667233628416856E-2</c:v>
                </c:pt>
                <c:pt idx="54">
                  <c:v>6.9188087306441659E-2</c:v>
                </c:pt>
                <c:pt idx="55">
                  <c:v>6.8698343548096494E-2</c:v>
                </c:pt>
                <c:pt idx="56">
                  <c:v>6.84092722535007E-2</c:v>
                </c:pt>
                <c:pt idx="57">
                  <c:v>7.1999520308172471E-2</c:v>
                </c:pt>
                <c:pt idx="58">
                  <c:v>7.2828353185135128E-2</c:v>
                </c:pt>
                <c:pt idx="59">
                  <c:v>7.2452565800518134E-2</c:v>
                </c:pt>
                <c:pt idx="60">
                  <c:v>7.1511749510840189E-2</c:v>
                </c:pt>
                <c:pt idx="61">
                  <c:v>7.1731467657535575E-2</c:v>
                </c:pt>
                <c:pt idx="62">
                  <c:v>6.8652933206147571E-2</c:v>
                </c:pt>
                <c:pt idx="63">
                  <c:v>7.4024619690921001E-2</c:v>
                </c:pt>
                <c:pt idx="64">
                  <c:v>7.6055449737562716E-2</c:v>
                </c:pt>
              </c:numCache>
            </c:numRef>
          </c:val>
          <c:smooth val="0"/>
          <c:extLst>
            <c:ext xmlns:c16="http://schemas.microsoft.com/office/drawing/2014/chart" uri="{C3380CC4-5D6E-409C-BE32-E72D297353CC}">
              <c16:uniqueId val="{00000001-3260-46A3-B397-BA95F5CB6A54}"/>
            </c:ext>
          </c:extLst>
        </c:ser>
        <c:ser>
          <c:idx val="1"/>
          <c:order val="2"/>
          <c:tx>
            <c:strRef>
              <c:f>'Appndx 6.8.II.7'!$D$59</c:f>
              <c:strCache>
                <c:ptCount val="1"/>
                <c:pt idx="0">
                  <c:v>Rcorp'n</c:v>
                </c:pt>
              </c:strCache>
            </c:strRef>
          </c:tx>
          <c:spPr>
            <a:ln>
              <a:solidFill>
                <a:schemeClr val="tx1"/>
              </a:solidFill>
              <a:prstDash val="dash"/>
            </a:ln>
          </c:spPr>
          <c:marker>
            <c:symbol val="none"/>
          </c:marker>
          <c:val>
            <c:numRef>
              <c:f>'Appndx 6.8.II.7'!$G$59:$BS$59</c:f>
              <c:numCache>
                <c:formatCode>0.00%</c:formatCode>
                <c:ptCount val="65"/>
                <c:pt idx="0">
                  <c:v>0.86729979819576142</c:v>
                </c:pt>
                <c:pt idx="1">
                  <c:v>0.85088658441504805</c:v>
                </c:pt>
                <c:pt idx="2">
                  <c:v>0.7815196053697534</c:v>
                </c:pt>
                <c:pt idx="3">
                  <c:v>0.84116946697939454</c:v>
                </c:pt>
                <c:pt idx="4">
                  <c:v>0.7990255694985785</c:v>
                </c:pt>
                <c:pt idx="5">
                  <c:v>0.76476198106820814</c:v>
                </c:pt>
                <c:pt idx="6">
                  <c:v>0.74556094855163435</c:v>
                </c:pt>
                <c:pt idx="7">
                  <c:v>0.72082761512797433</c:v>
                </c:pt>
                <c:pt idx="8">
                  <c:v>0.75565449248303118</c:v>
                </c:pt>
                <c:pt idx="9">
                  <c:v>0.74842853453998981</c:v>
                </c:pt>
                <c:pt idx="10">
                  <c:v>0.71242803129779764</c:v>
                </c:pt>
                <c:pt idx="11">
                  <c:v>0.67291196385817598</c:v>
                </c:pt>
                <c:pt idx="12">
                  <c:v>0.67752807448522556</c:v>
                </c:pt>
                <c:pt idx="13">
                  <c:v>0.65291319642225143</c:v>
                </c:pt>
                <c:pt idx="14">
                  <c:v>0.64823250220421313</c:v>
                </c:pt>
                <c:pt idx="15">
                  <c:v>0.64215679976691997</c:v>
                </c:pt>
                <c:pt idx="16">
                  <c:v>0.63239541739080429</c:v>
                </c:pt>
                <c:pt idx="17">
                  <c:v>0.63622752578206365</c:v>
                </c:pt>
                <c:pt idx="18">
                  <c:v>0.63041591688587673</c:v>
                </c:pt>
                <c:pt idx="19">
                  <c:v>0.62765423990652591</c:v>
                </c:pt>
                <c:pt idx="20">
                  <c:v>0.61561106606273586</c:v>
                </c:pt>
                <c:pt idx="21">
                  <c:v>0.61343019571522639</c:v>
                </c:pt>
                <c:pt idx="22">
                  <c:v>0.60602914207984382</c:v>
                </c:pt>
                <c:pt idx="23">
                  <c:v>0.5994380566669385</c:v>
                </c:pt>
                <c:pt idx="24">
                  <c:v>0.58830101162820081</c:v>
                </c:pt>
                <c:pt idx="25">
                  <c:v>0.57113652652620894</c:v>
                </c:pt>
                <c:pt idx="26">
                  <c:v>0.58276529378857833</c:v>
                </c:pt>
                <c:pt idx="27">
                  <c:v>0.62577091968294873</c:v>
                </c:pt>
                <c:pt idx="28">
                  <c:v>0.56466903964416926</c:v>
                </c:pt>
                <c:pt idx="29">
                  <c:v>0.54920507271862451</c:v>
                </c:pt>
                <c:pt idx="30">
                  <c:v>0.5471410001574849</c:v>
                </c:pt>
                <c:pt idx="31">
                  <c:v>0.54987502913502495</c:v>
                </c:pt>
                <c:pt idx="32">
                  <c:v>0.5472218824678412</c:v>
                </c:pt>
                <c:pt idx="33">
                  <c:v>0.54150580247755098</c:v>
                </c:pt>
                <c:pt idx="34">
                  <c:v>0.52450100837702784</c:v>
                </c:pt>
                <c:pt idx="35">
                  <c:v>0.48921099867462936</c:v>
                </c:pt>
                <c:pt idx="36">
                  <c:v>0.47104472314462742</c:v>
                </c:pt>
                <c:pt idx="37">
                  <c:v>0.47494013504480831</c:v>
                </c:pt>
                <c:pt idx="38">
                  <c:v>0.46914978443488797</c:v>
                </c:pt>
                <c:pt idx="39">
                  <c:v>0.46413546457806004</c:v>
                </c:pt>
                <c:pt idx="40">
                  <c:v>0.46404829416167714</c:v>
                </c:pt>
                <c:pt idx="41">
                  <c:v>0.46244309931810446</c:v>
                </c:pt>
                <c:pt idx="42">
                  <c:v>0.45544207299626183</c:v>
                </c:pt>
                <c:pt idx="43">
                  <c:v>0.44882453714193488</c:v>
                </c:pt>
                <c:pt idx="44">
                  <c:v>0.43237477561030052</c:v>
                </c:pt>
                <c:pt idx="45">
                  <c:v>0.43295028399008856</c:v>
                </c:pt>
                <c:pt idx="46">
                  <c:v>0.43373652574935273</c:v>
                </c:pt>
                <c:pt idx="47">
                  <c:v>0.42855175409085838</c:v>
                </c:pt>
                <c:pt idx="48">
                  <c:v>0.42403672984570318</c:v>
                </c:pt>
                <c:pt idx="49">
                  <c:v>0.41469463345953311</c:v>
                </c:pt>
                <c:pt idx="50">
                  <c:v>0.41185731391279434</c:v>
                </c:pt>
                <c:pt idx="51">
                  <c:v>0.40515650396579161</c:v>
                </c:pt>
                <c:pt idx="52">
                  <c:v>0.40004458010383442</c:v>
                </c:pt>
                <c:pt idx="53">
                  <c:v>0.39949403167449049</c:v>
                </c:pt>
                <c:pt idx="54">
                  <c:v>0.38852201844644568</c:v>
                </c:pt>
                <c:pt idx="55">
                  <c:v>0.37920151683508313</c:v>
                </c:pt>
                <c:pt idx="56">
                  <c:v>0.37328605541825588</c:v>
                </c:pt>
                <c:pt idx="57">
                  <c:v>0.38592251696919705</c:v>
                </c:pt>
                <c:pt idx="58">
                  <c:v>0.38536134112505421</c:v>
                </c:pt>
                <c:pt idx="59">
                  <c:v>0.38017372372719932</c:v>
                </c:pt>
                <c:pt idx="60">
                  <c:v>0.36802259566763768</c:v>
                </c:pt>
                <c:pt idx="61">
                  <c:v>0.37009166333114557</c:v>
                </c:pt>
                <c:pt idx="62">
                  <c:v>0.33846517371138046</c:v>
                </c:pt>
                <c:pt idx="63">
                  <c:v>0.3567725721968954</c:v>
                </c:pt>
                <c:pt idx="64">
                  <c:v>0.35906680830995574</c:v>
                </c:pt>
              </c:numCache>
            </c:numRef>
          </c:val>
          <c:smooth val="0"/>
          <c:extLst>
            <c:ext xmlns:c16="http://schemas.microsoft.com/office/drawing/2014/chart" uri="{C3380CC4-5D6E-409C-BE32-E72D297353CC}">
              <c16:uniqueId val="{00000002-3260-46A3-B397-BA95F5CB6A54}"/>
            </c:ext>
          </c:extLst>
        </c:ser>
        <c:ser>
          <c:idx val="3"/>
          <c:order val="3"/>
          <c:tx>
            <c:strRef>
              <c:f>'Appndx 6.8.II.7'!$D$60</c:f>
              <c:strCache>
                <c:ptCount val="1"/>
                <c:pt idx="0">
                  <c:v>rcorp'n</c:v>
                </c:pt>
              </c:strCache>
            </c:strRef>
          </c:tx>
          <c:spPr>
            <a:ln>
              <a:solidFill>
                <a:schemeClr val="tx1"/>
              </a:solidFill>
              <a:prstDash val="dash"/>
            </a:ln>
          </c:spPr>
          <c:marker>
            <c:symbol val="none"/>
          </c:marker>
          <c:val>
            <c:numRef>
              <c:f>'Appndx 6.8.II.7'!$G$60:$BS$60</c:f>
              <c:numCache>
                <c:formatCode>0.00%</c:formatCode>
                <c:ptCount val="65"/>
                <c:pt idx="0">
                  <c:v>0.18554062139635311</c:v>
                </c:pt>
                <c:pt idx="1">
                  <c:v>0.1817390333763618</c:v>
                </c:pt>
                <c:pt idx="2">
                  <c:v>0.16648583478952353</c:v>
                </c:pt>
                <c:pt idx="3">
                  <c:v>0.17841490467144919</c:v>
                </c:pt>
                <c:pt idx="4">
                  <c:v>0.16831756180099555</c:v>
                </c:pt>
                <c:pt idx="5">
                  <c:v>0.1596182705973061</c:v>
                </c:pt>
                <c:pt idx="6">
                  <c:v>0.15397219573809334</c:v>
                </c:pt>
                <c:pt idx="7">
                  <c:v>0.14724872008649229</c:v>
                </c:pt>
                <c:pt idx="8">
                  <c:v>0.15271704583024973</c:v>
                </c:pt>
                <c:pt idx="9">
                  <c:v>0.14967796449075493</c:v>
                </c:pt>
                <c:pt idx="10">
                  <c:v>0.14115195493467708</c:v>
                </c:pt>
                <c:pt idx="11">
                  <c:v>0.13235444907566254</c:v>
                </c:pt>
                <c:pt idx="12">
                  <c:v>0.1326299066491998</c:v>
                </c:pt>
                <c:pt idx="13">
                  <c:v>0.12743904491387173</c:v>
                </c:pt>
                <c:pt idx="14">
                  <c:v>0.12631291190166266</c:v>
                </c:pt>
                <c:pt idx="15">
                  <c:v>0.12493314246168394</c:v>
                </c:pt>
                <c:pt idx="16">
                  <c:v>0.12264425086752387</c:v>
                </c:pt>
                <c:pt idx="17">
                  <c:v>0.12257533539108921</c:v>
                </c:pt>
                <c:pt idx="18">
                  <c:v>0.12004823553394864</c:v>
                </c:pt>
                <c:pt idx="19">
                  <c:v>0.11740253345440209</c:v>
                </c:pt>
                <c:pt idx="20">
                  <c:v>0.1123888038063893</c:v>
                </c:pt>
                <c:pt idx="21">
                  <c:v>0.10871847951372994</c:v>
                </c:pt>
                <c:pt idx="22">
                  <c:v>0.10387941985369556</c:v>
                </c:pt>
                <c:pt idx="23">
                  <c:v>9.9248279020065638E-2</c:v>
                </c:pt>
                <c:pt idx="24">
                  <c:v>9.4193869922743909E-2</c:v>
                </c:pt>
                <c:pt idx="25">
                  <c:v>8.8619398713060057E-2</c:v>
                </c:pt>
                <c:pt idx="26">
                  <c:v>8.7845603211610779E-2</c:v>
                </c:pt>
                <c:pt idx="27">
                  <c:v>9.1897448244076085E-2</c:v>
                </c:pt>
                <c:pt idx="28">
                  <c:v>8.1034250557716389E-2</c:v>
                </c:pt>
                <c:pt idx="29">
                  <c:v>7.7142226693696456E-2</c:v>
                </c:pt>
                <c:pt idx="30">
                  <c:v>7.5200216522135613E-2</c:v>
                </c:pt>
                <c:pt idx="31">
                  <c:v>7.3839138666994958E-2</c:v>
                </c:pt>
                <c:pt idx="32">
                  <c:v>7.1705088801460579E-2</c:v>
                </c:pt>
                <c:pt idx="33">
                  <c:v>6.9300352382519609E-2</c:v>
                </c:pt>
                <c:pt idx="34">
                  <c:v>6.5808831284595221E-2</c:v>
                </c:pt>
                <c:pt idx="35">
                  <c:v>6.0520148207359382E-2</c:v>
                </c:pt>
                <c:pt idx="36">
                  <c:v>5.784117718084307E-2</c:v>
                </c:pt>
                <c:pt idx="37">
                  <c:v>5.8216138234491413E-2</c:v>
                </c:pt>
                <c:pt idx="38">
                  <c:v>5.7650115321894214E-2</c:v>
                </c:pt>
                <c:pt idx="39">
                  <c:v>5.7387143103429669E-2</c:v>
                </c:pt>
                <c:pt idx="40">
                  <c:v>5.7944063640934095E-2</c:v>
                </c:pt>
                <c:pt idx="41">
                  <c:v>5.849559865708491E-2</c:v>
                </c:pt>
                <c:pt idx="42">
                  <c:v>5.8514746065815595E-2</c:v>
                </c:pt>
                <c:pt idx="43">
                  <c:v>5.8737501248205218E-2</c:v>
                </c:pt>
                <c:pt idx="44">
                  <c:v>5.7794825755633814E-2</c:v>
                </c:pt>
                <c:pt idx="45">
                  <c:v>5.921177514934662E-2</c:v>
                </c:pt>
                <c:pt idx="46">
                  <c:v>6.0699038751135505E-2</c:v>
                </c:pt>
                <c:pt idx="47">
                  <c:v>6.1256943700536345E-2</c:v>
                </c:pt>
                <c:pt idx="48">
                  <c:v>6.167561684706091E-2</c:v>
                </c:pt>
                <c:pt idx="49">
                  <c:v>6.1061541592954356E-2</c:v>
                </c:pt>
                <c:pt idx="50">
                  <c:v>6.1058068871368096E-2</c:v>
                </c:pt>
                <c:pt idx="51">
                  <c:v>6.0212649321964913E-2</c:v>
                </c:pt>
                <c:pt idx="52">
                  <c:v>5.9509822160090993E-2</c:v>
                </c:pt>
                <c:pt idx="53">
                  <c:v>5.956921081217513E-2</c:v>
                </c:pt>
                <c:pt idx="54">
                  <c:v>5.8314708755219748E-2</c:v>
                </c:pt>
                <c:pt idx="55">
                  <c:v>5.7598047101642146E-2</c:v>
                </c:pt>
                <c:pt idx="56">
                  <c:v>5.7618694457741683E-2</c:v>
                </c:pt>
                <c:pt idx="57">
                  <c:v>6.0643373490470845E-2</c:v>
                </c:pt>
                <c:pt idx="58">
                  <c:v>6.1585191896258988E-2</c:v>
                </c:pt>
                <c:pt idx="59">
                  <c:v>6.1632926449505805E-2</c:v>
                </c:pt>
                <c:pt idx="60">
                  <c:v>6.0390435602896177E-2</c:v>
                </c:pt>
                <c:pt idx="61">
                  <c:v>6.1478137756441516E-2</c:v>
                </c:pt>
                <c:pt idx="62">
                  <c:v>5.7056897156213308E-2</c:v>
                </c:pt>
                <c:pt idx="63">
                  <c:v>6.1155174141899499E-2</c:v>
                </c:pt>
                <c:pt idx="64">
                  <c:v>6.2611662953300645E-2</c:v>
                </c:pt>
              </c:numCache>
            </c:numRef>
          </c:val>
          <c:smooth val="0"/>
          <c:extLst>
            <c:ext xmlns:c16="http://schemas.microsoft.com/office/drawing/2014/chart" uri="{C3380CC4-5D6E-409C-BE32-E72D297353CC}">
              <c16:uniqueId val="{00000003-3260-46A3-B397-BA95F5CB6A54}"/>
            </c:ext>
          </c:extLst>
        </c:ser>
        <c:dLbls>
          <c:showLegendKey val="0"/>
          <c:showVal val="0"/>
          <c:showCatName val="0"/>
          <c:showSerName val="0"/>
          <c:showPercent val="0"/>
          <c:showBubbleSize val="0"/>
        </c:dLbls>
        <c:smooth val="0"/>
        <c:axId val="86373504"/>
        <c:axId val="86375040"/>
      </c:lineChart>
      <c:catAx>
        <c:axId val="8637350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375040"/>
        <c:crossesAt val="1.0000000000000002E-2"/>
        <c:auto val="1"/>
        <c:lblAlgn val="ctr"/>
        <c:lblOffset val="100"/>
        <c:tickLblSkip val="4"/>
        <c:tickMarkSkip val="2"/>
        <c:noMultiLvlLbl val="0"/>
      </c:catAx>
      <c:valAx>
        <c:axId val="86375040"/>
        <c:scaling>
          <c:logBase val="10"/>
          <c:orientation val="minMax"/>
          <c:min val="2.0000000000000004E-2"/>
        </c:scaling>
        <c:delete val="0"/>
        <c:axPos val="l"/>
        <c:majorGridlines/>
        <c:minorGridlines/>
        <c:numFmt formatCode="0%" sourceLinked="0"/>
        <c:majorTickMark val="out"/>
        <c:minorTickMark val="none"/>
        <c:tickLblPos val="nextTo"/>
        <c:txPr>
          <a:bodyPr/>
          <a:lstStyle/>
          <a:p>
            <a:pPr>
              <a:defRPr sz="1400" b="1"/>
            </a:pPr>
            <a:endParaRPr lang="en-US"/>
          </a:p>
        </c:txPr>
        <c:crossAx val="86373504"/>
        <c:crosses val="autoZero"/>
        <c:crossBetween val="between"/>
      </c:valAx>
      <c:spPr>
        <a:ln>
          <a:solidFill>
            <a:schemeClr val="tx1"/>
          </a:solidFill>
        </a:ln>
      </c:spPr>
    </c:plotArea>
    <c:plotVisOnly val="1"/>
    <c:dispBlanksAs val="gap"/>
    <c:showDLblsOverMax val="0"/>
  </c:chart>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227293423719721E-2"/>
          <c:y val="3.3429884761950822E-2"/>
          <c:w val="0.90003235789682912"/>
          <c:h val="0.84857902983155953"/>
        </c:manualLayout>
      </c:layout>
      <c:lineChart>
        <c:grouping val="standard"/>
        <c:varyColors val="0"/>
        <c:ser>
          <c:idx val="0"/>
          <c:order val="0"/>
          <c:tx>
            <c:strRef>
              <c:f>'Appndx 6.8.II.7'!$D$71</c:f>
              <c:strCache>
                <c:ptCount val="1"/>
                <c:pt idx="0">
                  <c:v>iropcorp</c:v>
                </c:pt>
              </c:strCache>
            </c:strRef>
          </c:tx>
          <c:spPr>
            <a:ln w="349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6.8.II.7'!$H$71:$BS$71</c:f>
              <c:numCache>
                <c:formatCode>0.00%</c:formatCode>
                <c:ptCount val="64"/>
                <c:pt idx="0">
                  <c:v>0.43041147720184386</c:v>
                </c:pt>
                <c:pt idx="1">
                  <c:v>-5.1388237655762031E-2</c:v>
                </c:pt>
                <c:pt idx="2">
                  <c:v>0.48980598410399556</c:v>
                </c:pt>
                <c:pt idx="3">
                  <c:v>0.27627045230433533</c:v>
                </c:pt>
                <c:pt idx="4">
                  <c:v>-3.5413004323046213E-2</c:v>
                </c:pt>
                <c:pt idx="5">
                  <c:v>5.6654595214524289E-2</c:v>
                </c:pt>
                <c:pt idx="6">
                  <c:v>0</c:v>
                </c:pt>
                <c:pt idx="7">
                  <c:v>0.49508303053790398</c:v>
                </c:pt>
                <c:pt idx="8">
                  <c:v>3.2987098347417032E-2</c:v>
                </c:pt>
                <c:pt idx="9">
                  <c:v>6.0139641763176523E-2</c:v>
                </c:pt>
                <c:pt idx="10">
                  <c:v>-7.1755711460964308E-2</c:v>
                </c:pt>
                <c:pt idx="11">
                  <c:v>0.37239602137767924</c:v>
                </c:pt>
                <c:pt idx="12">
                  <c:v>-4.9748774115140719E-3</c:v>
                </c:pt>
                <c:pt idx="13">
                  <c:v>6.1784949183031145E-2</c:v>
                </c:pt>
                <c:pt idx="14">
                  <c:v>0.24237989017594688</c:v>
                </c:pt>
                <c:pt idx="15">
                  <c:v>0.17293365681557793</c:v>
                </c:pt>
                <c:pt idx="16">
                  <c:v>0.19962658912117118</c:v>
                </c:pt>
                <c:pt idx="17">
                  <c:v>0.27781487827291373</c:v>
                </c:pt>
                <c:pt idx="18">
                  <c:v>0.15812377968407912</c:v>
                </c:pt>
                <c:pt idx="19">
                  <c:v>3.7435181194456942E-2</c:v>
                </c:pt>
                <c:pt idx="20">
                  <c:v>0.16194817067039038</c:v>
                </c:pt>
                <c:pt idx="21">
                  <c:v>6.1445942479458455E-2</c:v>
                </c:pt>
                <c:pt idx="22">
                  <c:v>-3.518262522248513E-2</c:v>
                </c:pt>
                <c:pt idx="23">
                  <c:v>0.20044359040226337</c:v>
                </c:pt>
                <c:pt idx="24">
                  <c:v>0.21367583059400774</c:v>
                </c:pt>
                <c:pt idx="25">
                  <c:v>0.17032068029036407</c:v>
                </c:pt>
                <c:pt idx="26">
                  <c:v>5.9637287602158279E-2</c:v>
                </c:pt>
                <c:pt idx="27">
                  <c:v>0.216439902602616</c:v>
                </c:pt>
                <c:pt idx="28">
                  <c:v>0.23574865664687852</c:v>
                </c:pt>
                <c:pt idx="29">
                  <c:v>0.23369611825569345</c:v>
                </c:pt>
                <c:pt idx="30">
                  <c:v>0.2176670377459517</c:v>
                </c:pt>
                <c:pt idx="31">
                  <c:v>0.11708993741506542</c:v>
                </c:pt>
                <c:pt idx="32">
                  <c:v>5.3576484168659115E-2</c:v>
                </c:pt>
                <c:pt idx="33">
                  <c:v>0.23123267942998849</c:v>
                </c:pt>
                <c:pt idx="34">
                  <c:v>4.1605367794734165E-2</c:v>
                </c:pt>
                <c:pt idx="35">
                  <c:v>0.16728615920943715</c:v>
                </c:pt>
                <c:pt idx="36">
                  <c:v>0.25265984101582306</c:v>
                </c:pt>
                <c:pt idx="37">
                  <c:v>8.8635634151208148E-2</c:v>
                </c:pt>
                <c:pt idx="38">
                  <c:v>1.0752173173455479E-2</c:v>
                </c:pt>
                <c:pt idx="39">
                  <c:v>0.14040187708481652</c:v>
                </c:pt>
                <c:pt idx="40">
                  <c:v>0.17016551970138222</c:v>
                </c:pt>
                <c:pt idx="41">
                  <c:v>0.10297671751469686</c:v>
                </c:pt>
                <c:pt idx="42">
                  <c:v>5.287381271031049E-2</c:v>
                </c:pt>
                <c:pt idx="43">
                  <c:v>5.8555027145055019E-2</c:v>
                </c:pt>
                <c:pt idx="44">
                  <c:v>5.2678361004463624E-2</c:v>
                </c:pt>
                <c:pt idx="45">
                  <c:v>9.1205729911494796E-2</c:v>
                </c:pt>
                <c:pt idx="46">
                  <c:v>0.19031679318703343</c:v>
                </c:pt>
                <c:pt idx="47">
                  <c:v>0.14979484620294026</c:v>
                </c:pt>
                <c:pt idx="48">
                  <c:v>0.19262087165355476</c:v>
                </c:pt>
                <c:pt idx="49">
                  <c:v>0.14851513333542091</c:v>
                </c:pt>
                <c:pt idx="50">
                  <c:v>1.4997250951604226E-2</c:v>
                </c:pt>
                <c:pt idx="51">
                  <c:v>9.9884138407493717E-2</c:v>
                </c:pt>
                <c:pt idx="52">
                  <c:v>4.9336423052311416E-2</c:v>
                </c:pt>
                <c:pt idx="53">
                  <c:v>1.7180034633234858E-3</c:v>
                </c:pt>
                <c:pt idx="54">
                  <c:v>7.0042590613260639E-2</c:v>
                </c:pt>
                <c:pt idx="55">
                  <c:v>9.6652409353401525E-2</c:v>
                </c:pt>
                <c:pt idx="56">
                  <c:v>0.2590474199446004</c:v>
                </c:pt>
                <c:pt idx="57">
                  <c:v>0.21927179471534475</c:v>
                </c:pt>
                <c:pt idx="58">
                  <c:v>0.16144543935445441</c:v>
                </c:pt>
                <c:pt idx="59">
                  <c:v>-3.246174369631017E-2</c:v>
                </c:pt>
                <c:pt idx="60">
                  <c:v>-0.15128208822444777</c:v>
                </c:pt>
                <c:pt idx="61">
                  <c:v>9.9299978020589597E-2</c:v>
                </c:pt>
                <c:pt idx="62">
                  <c:v>0.33964724213319653</c:v>
                </c:pt>
                <c:pt idx="63">
                  <c:v>0.12955380170376865</c:v>
                </c:pt>
              </c:numCache>
            </c:numRef>
          </c:val>
          <c:smooth val="0"/>
          <c:extLst>
            <c:ext xmlns:c16="http://schemas.microsoft.com/office/drawing/2014/chart" uri="{C3380CC4-5D6E-409C-BE32-E72D297353CC}">
              <c16:uniqueId val="{00000000-1914-43C6-A062-9CDD2F6516BC}"/>
            </c:ext>
          </c:extLst>
        </c:ser>
        <c:ser>
          <c:idx val="1"/>
          <c:order val="1"/>
          <c:tx>
            <c:strRef>
              <c:f>'Appndx 6.8.II.7'!$D$72</c:f>
              <c:strCache>
                <c:ptCount val="1"/>
                <c:pt idx="0">
                  <c:v>iropcorpnipa</c:v>
                </c:pt>
              </c:strCache>
            </c:strRef>
          </c:tx>
          <c:spPr>
            <a:ln w="34925">
              <a:solidFill>
                <a:schemeClr val="tx1"/>
              </a:solidFill>
              <a:prstDash val="dash"/>
            </a:ln>
          </c:spPr>
          <c:marker>
            <c:symbol val="none"/>
          </c:marker>
          <c:val>
            <c:numRef>
              <c:f>'Appndx 6.8.II.7'!$H$72:$BS$72</c:f>
              <c:numCache>
                <c:formatCode>0.00%</c:formatCode>
                <c:ptCount val="64"/>
                <c:pt idx="0">
                  <c:v>0.71666666666666679</c:v>
                </c:pt>
                <c:pt idx="1">
                  <c:v>-7.6433121019108471E-2</c:v>
                </c:pt>
                <c:pt idx="2">
                  <c:v>0.4269662921348315</c:v>
                </c:pt>
                <c:pt idx="3">
                  <c:v>0.38888888888888917</c:v>
                </c:pt>
                <c:pt idx="4">
                  <c:v>-6.7415730337078802E-2</c:v>
                </c:pt>
                <c:pt idx="5">
                  <c:v>5.5299539170506715E-2</c:v>
                </c:pt>
                <c:pt idx="6">
                  <c:v>-4.4052863436123977E-3</c:v>
                </c:pt>
                <c:pt idx="7">
                  <c:v>0.44758064516129065</c:v>
                </c:pt>
                <c:pt idx="8">
                  <c:v>2.9045643153527086E-2</c:v>
                </c:pt>
                <c:pt idx="9">
                  <c:v>5.2631578947368099E-2</c:v>
                </c:pt>
                <c:pt idx="10">
                  <c:v>-9.9378881987577716E-2</c:v>
                </c:pt>
                <c:pt idx="11">
                  <c:v>0.34957020057306598</c:v>
                </c:pt>
                <c:pt idx="12">
                  <c:v>-2.6490066225165469E-2</c:v>
                </c:pt>
                <c:pt idx="13">
                  <c:v>4.8929663608562511E-2</c:v>
                </c:pt>
                <c:pt idx="14">
                  <c:v>0.2415730337078654</c:v>
                </c:pt>
                <c:pt idx="15">
                  <c:v>0.19318181818181809</c:v>
                </c:pt>
                <c:pt idx="16">
                  <c:v>0.21671018276762397</c:v>
                </c:pt>
                <c:pt idx="17">
                  <c:v>0.32178217821782179</c:v>
                </c:pt>
                <c:pt idx="18">
                  <c:v>0.19956616052060744</c:v>
                </c:pt>
                <c:pt idx="19">
                  <c:v>1.4519056261343219E-2</c:v>
                </c:pt>
                <c:pt idx="20">
                  <c:v>0.15673981191222572</c:v>
                </c:pt>
                <c:pt idx="21">
                  <c:v>1.2326656394453179E-2</c:v>
                </c:pt>
                <c:pt idx="22">
                  <c:v>-0.10704225352112708</c:v>
                </c:pt>
                <c:pt idx="23">
                  <c:v>0.22222222222222215</c:v>
                </c:pt>
                <c:pt idx="24">
                  <c:v>0.22850122850122842</c:v>
                </c:pt>
                <c:pt idx="25">
                  <c:v>0.17612293144208047</c:v>
                </c:pt>
                <c:pt idx="26">
                  <c:v>0</c:v>
                </c:pt>
                <c:pt idx="27">
                  <c:v>0.31881533101045267</c:v>
                </c:pt>
                <c:pt idx="28">
                  <c:v>0.27896341463414653</c:v>
                </c:pt>
                <c:pt idx="29">
                  <c:v>0.30597014925373089</c:v>
                </c:pt>
                <c:pt idx="30">
                  <c:v>0.26379542395693167</c:v>
                </c:pt>
                <c:pt idx="31">
                  <c:v>9.0191657271702363E-2</c:v>
                </c:pt>
                <c:pt idx="32">
                  <c:v>0</c:v>
                </c:pt>
                <c:pt idx="33">
                  <c:v>0.21541425818882456</c:v>
                </c:pt>
                <c:pt idx="34">
                  <c:v>9.8383696416022882E-3</c:v>
                </c:pt>
                <c:pt idx="35">
                  <c:v>0.18742293464858203</c:v>
                </c:pt>
                <c:pt idx="36">
                  <c:v>0.21308468358300225</c:v>
                </c:pt>
                <c:pt idx="37">
                  <c:v>9.6385542168674496E-2</c:v>
                </c:pt>
                <c:pt idx="38">
                  <c:v>-4.1710114702816024E-3</c:v>
                </c:pt>
                <c:pt idx="39">
                  <c:v>0.1495757575757577</c:v>
                </c:pt>
                <c:pt idx="40">
                  <c:v>0.17946805866268964</c:v>
                </c:pt>
                <c:pt idx="41">
                  <c:v>2.6779072650632171E-2</c:v>
                </c:pt>
                <c:pt idx="42">
                  <c:v>5.147737765466287E-2</c:v>
                </c:pt>
                <c:pt idx="43">
                  <c:v>8.7804878048780677E-2</c:v>
                </c:pt>
                <c:pt idx="44">
                  <c:v>0.10396335391356312</c:v>
                </c:pt>
                <c:pt idx="45">
                  <c:v>0.12810945273631832</c:v>
                </c:pt>
                <c:pt idx="46">
                  <c:v>0.21865536038764374</c:v>
                </c:pt>
                <c:pt idx="47">
                  <c:v>0.1923359002566925</c:v>
                </c:pt>
                <c:pt idx="48">
                  <c:v>0.17546196104544673</c:v>
                </c:pt>
                <c:pt idx="49">
                  <c:v>0.16701244813278016</c:v>
                </c:pt>
                <c:pt idx="50">
                  <c:v>-4.1077257889009545E-2</c:v>
                </c:pt>
                <c:pt idx="51">
                  <c:v>8.9249999999999552E-2</c:v>
                </c:pt>
                <c:pt idx="52">
                  <c:v>-4.5924225028700031E-3</c:v>
                </c:pt>
                <c:pt idx="53">
                  <c:v>-1.7013632040579242E-2</c:v>
                </c:pt>
                <c:pt idx="54">
                  <c:v>0.11948352283677009</c:v>
                </c:pt>
                <c:pt idx="55">
                  <c:v>0.11767671674901688</c:v>
                </c:pt>
                <c:pt idx="56">
                  <c:v>0.29906225285278504</c:v>
                </c:pt>
                <c:pt idx="57">
                  <c:v>0.25498990805113214</c:v>
                </c:pt>
                <c:pt idx="58">
                  <c:v>0.20572916666666713</c:v>
                </c:pt>
                <c:pt idx="59">
                  <c:v>-0.12551633496057105</c:v>
                </c:pt>
                <c:pt idx="60">
                  <c:v>-0.2228834870075439</c:v>
                </c:pt>
                <c:pt idx="61">
                  <c:v>0.11549448004323334</c:v>
                </c:pt>
                <c:pt idx="62">
                  <c:v>0.23446435379336639</c:v>
                </c:pt>
                <c:pt idx="63">
                  <c:v>0.11678414936178312</c:v>
                </c:pt>
              </c:numCache>
            </c:numRef>
          </c:val>
          <c:smooth val="0"/>
          <c:extLst>
            <c:ext xmlns:c16="http://schemas.microsoft.com/office/drawing/2014/chart" uri="{C3380CC4-5D6E-409C-BE32-E72D297353CC}">
              <c16:uniqueId val="{00000001-1914-43C6-A062-9CDD2F6516BC}"/>
            </c:ext>
          </c:extLst>
        </c:ser>
        <c:dLbls>
          <c:showLegendKey val="0"/>
          <c:showVal val="0"/>
          <c:showCatName val="0"/>
          <c:showSerName val="0"/>
          <c:showPercent val="0"/>
          <c:showBubbleSize val="0"/>
        </c:dLbls>
        <c:smooth val="0"/>
        <c:axId val="86093824"/>
        <c:axId val="86095360"/>
      </c:lineChart>
      <c:catAx>
        <c:axId val="8609382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095360"/>
        <c:crossesAt val="-0.30000000000000004"/>
        <c:auto val="1"/>
        <c:lblAlgn val="ctr"/>
        <c:lblOffset val="100"/>
        <c:tickLblSkip val="6"/>
        <c:tickMarkSkip val="2"/>
        <c:noMultiLvlLbl val="0"/>
      </c:catAx>
      <c:valAx>
        <c:axId val="86095360"/>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6093824"/>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227293423719721E-2"/>
          <c:y val="3.3429884761950822E-2"/>
          <c:w val="0.90003235789682912"/>
          <c:h val="0.84857902983155953"/>
        </c:manualLayout>
      </c:layout>
      <c:lineChart>
        <c:grouping val="standard"/>
        <c:varyColors val="0"/>
        <c:ser>
          <c:idx val="0"/>
          <c:order val="0"/>
          <c:tx>
            <c:strRef>
              <c:f>'Appndx 6.8.II.7'!$D$82</c:f>
              <c:strCache>
                <c:ptCount val="1"/>
                <c:pt idx="0">
                  <c:v>iroprcorp</c:v>
                </c:pt>
              </c:strCache>
            </c:strRef>
          </c:tx>
          <c:spPr>
            <a:ln w="349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6.8.II.7'!$H$82:$BS$82</c:f>
              <c:numCache>
                <c:formatCode>0.00%</c:formatCode>
                <c:ptCount val="64"/>
                <c:pt idx="0">
                  <c:v>0.31468453732815793</c:v>
                </c:pt>
                <c:pt idx="1">
                  <c:v>-0.11933291420477785</c:v>
                </c:pt>
                <c:pt idx="2">
                  <c:v>0.43918643202486496</c:v>
                </c:pt>
                <c:pt idx="3">
                  <c:v>7.4239480264395474E-2</c:v>
                </c:pt>
                <c:pt idx="4">
                  <c:v>-8.6527611964125437E-2</c:v>
                </c:pt>
                <c:pt idx="5">
                  <c:v>1.6692636395081967E-2</c:v>
                </c:pt>
                <c:pt idx="6">
                  <c:v>-1.3296796656494017E-2</c:v>
                </c:pt>
                <c:pt idx="7">
                  <c:v>0.46831152881907867</c:v>
                </c:pt>
                <c:pt idx="8">
                  <c:v>-0.11792891015619376</c:v>
                </c:pt>
                <c:pt idx="9">
                  <c:v>-4.4956258585891827E-2</c:v>
                </c:pt>
                <c:pt idx="10">
                  <c:v>-9.8439768243135731E-2</c:v>
                </c:pt>
                <c:pt idx="11">
                  <c:v>0.32134547190682972</c:v>
                </c:pt>
                <c:pt idx="12">
                  <c:v>-5.165949114381718E-3</c:v>
                </c:pt>
                <c:pt idx="13">
                  <c:v>6.9796687903433852E-2</c:v>
                </c:pt>
                <c:pt idx="14">
                  <c:v>0.24580980440920561</c:v>
                </c:pt>
                <c:pt idx="15">
                  <c:v>0.16852802621985055</c:v>
                </c:pt>
                <c:pt idx="16">
                  <c:v>0.18526608515762</c:v>
                </c:pt>
                <c:pt idx="17">
                  <c:v>0.25778757374461897</c:v>
                </c:pt>
                <c:pt idx="18">
                  <c:v>0.13306828610762145</c:v>
                </c:pt>
                <c:pt idx="19">
                  <c:v>-2.2424706322610095E-3</c:v>
                </c:pt>
                <c:pt idx="20">
                  <c:v>0.10367347595546927</c:v>
                </c:pt>
                <c:pt idx="21">
                  <c:v>-9.0829713397683354E-3</c:v>
                </c:pt>
                <c:pt idx="22">
                  <c:v>-0.11060145594467521</c:v>
                </c:pt>
                <c:pt idx="23">
                  <c:v>0.13102393909408358</c:v>
                </c:pt>
                <c:pt idx="24">
                  <c:v>0.16809635773610299</c:v>
                </c:pt>
                <c:pt idx="25">
                  <c:v>0.10700337043676085</c:v>
                </c:pt>
                <c:pt idx="26">
                  <c:v>-7.6671436144077884E-2</c:v>
                </c:pt>
                <c:pt idx="27">
                  <c:v>5.1206658271717657E-2</c:v>
                </c:pt>
                <c:pt idx="28">
                  <c:v>0.1788507473506982</c:v>
                </c:pt>
                <c:pt idx="29">
                  <c:v>0.134696972032776</c:v>
                </c:pt>
                <c:pt idx="30">
                  <c:v>0.13130832605576967</c:v>
                </c:pt>
                <c:pt idx="31">
                  <c:v>1.1555534987356892E-3</c:v>
                </c:pt>
                <c:pt idx="32">
                  <c:v>-5.7693773752115082E-2</c:v>
                </c:pt>
                <c:pt idx="33">
                  <c:v>0.11016305866131283</c:v>
                </c:pt>
                <c:pt idx="34">
                  <c:v>-3.3414013114430263E-2</c:v>
                </c:pt>
                <c:pt idx="35">
                  <c:v>0.20666415066877158</c:v>
                </c:pt>
                <c:pt idx="36">
                  <c:v>0.25708339108277573</c:v>
                </c:pt>
                <c:pt idx="37">
                  <c:v>8.2613775561874422E-2</c:v>
                </c:pt>
                <c:pt idx="38">
                  <c:v>-3.1225928221011914E-3</c:v>
                </c:pt>
                <c:pt idx="39">
                  <c:v>0.13243243643085692</c:v>
                </c:pt>
                <c:pt idx="40">
                  <c:v>0.13325542097379225</c:v>
                </c:pt>
                <c:pt idx="41">
                  <c:v>6.974879910377059E-2</c:v>
                </c:pt>
                <c:pt idx="42">
                  <c:v>2.4543904586603178E-2</c:v>
                </c:pt>
                <c:pt idx="43">
                  <c:v>3.7014024297708101E-2</c:v>
                </c:pt>
                <c:pt idx="44">
                  <c:v>7.4990776582276028E-2</c:v>
                </c:pt>
                <c:pt idx="45">
                  <c:v>9.0080624814904017E-2</c:v>
                </c:pt>
                <c:pt idx="46">
                  <c:v>0.1834304860350543</c:v>
                </c:pt>
                <c:pt idx="47">
                  <c:v>0.14505241942746389</c:v>
                </c:pt>
                <c:pt idx="48">
                  <c:v>0.23496825570050367</c:v>
                </c:pt>
                <c:pt idx="49">
                  <c:v>0.17648785889732291</c:v>
                </c:pt>
                <c:pt idx="50">
                  <c:v>6.0699689047568624E-2</c:v>
                </c:pt>
                <c:pt idx="51">
                  <c:v>0.12254337168588664</c:v>
                </c:pt>
                <c:pt idx="52">
                  <c:v>4.926210833552673E-2</c:v>
                </c:pt>
                <c:pt idx="53">
                  <c:v>8.1704566531175665E-3</c:v>
                </c:pt>
                <c:pt idx="54">
                  <c:v>7.7220454033274086E-2</c:v>
                </c:pt>
                <c:pt idx="55">
                  <c:v>9.976838279811491E-2</c:v>
                </c:pt>
                <c:pt idx="56">
                  <c:v>0.23399438615982346</c:v>
                </c:pt>
                <c:pt idx="57">
                  <c:v>0.16602402095016847</c:v>
                </c:pt>
                <c:pt idx="58">
                  <c:v>9.608433635981628E-2</c:v>
                </c:pt>
                <c:pt idx="59">
                  <c:v>-7.4286320232904074E-2</c:v>
                </c:pt>
                <c:pt idx="60">
                  <c:v>-0.19323625012382256</c:v>
                </c:pt>
                <c:pt idx="61">
                  <c:v>0.13034514527972388</c:v>
                </c:pt>
                <c:pt idx="62">
                  <c:v>0.34151928004860438</c:v>
                </c:pt>
                <c:pt idx="63">
                  <c:v>8.0805881312647154E-2</c:v>
                </c:pt>
              </c:numCache>
            </c:numRef>
          </c:val>
          <c:smooth val="0"/>
          <c:extLst>
            <c:ext xmlns:c16="http://schemas.microsoft.com/office/drawing/2014/chart" uri="{C3380CC4-5D6E-409C-BE32-E72D297353CC}">
              <c16:uniqueId val="{00000000-7C87-4125-9334-967F5234A085}"/>
            </c:ext>
          </c:extLst>
        </c:ser>
        <c:ser>
          <c:idx val="1"/>
          <c:order val="1"/>
          <c:tx>
            <c:strRef>
              <c:f>'Appndx 6.8.II.7'!$D$83</c:f>
              <c:strCache>
                <c:ptCount val="1"/>
                <c:pt idx="0">
                  <c:v>iroprcorpnipa</c:v>
                </c:pt>
              </c:strCache>
            </c:strRef>
          </c:tx>
          <c:spPr>
            <a:ln w="34925">
              <a:solidFill>
                <a:schemeClr val="tx1"/>
              </a:solidFill>
              <a:prstDash val="dash"/>
            </a:ln>
          </c:spPr>
          <c:marker>
            <c:symbol val="none"/>
          </c:marker>
          <c:val>
            <c:numRef>
              <c:f>'Appndx 6.8.II.7'!$H$83:$BS$83</c:f>
              <c:numCache>
                <c:formatCode>0.00%</c:formatCode>
                <c:ptCount val="64"/>
                <c:pt idx="0">
                  <c:v>0.34129746161167102</c:v>
                </c:pt>
                <c:pt idx="1">
                  <c:v>-0.13003345730202254</c:v>
                </c:pt>
                <c:pt idx="2">
                  <c:v>0.40043155085350918</c:v>
                </c:pt>
                <c:pt idx="3">
                  <c:v>8.4892712680578408E-2</c:v>
                </c:pt>
                <c:pt idx="4">
                  <c:v>-0.10417077200760254</c:v>
                </c:pt>
                <c:pt idx="5">
                  <c:v>1.1677702125176218E-2</c:v>
                </c:pt>
                <c:pt idx="6">
                  <c:v>-1.6937480386345731E-2</c:v>
                </c:pt>
                <c:pt idx="7">
                  <c:v>0.43060746087565976</c:v>
                </c:pt>
                <c:pt idx="8">
                  <c:v>-0.1468235494679134</c:v>
                </c:pt>
                <c:pt idx="9">
                  <c:v>-6.5712657820202802E-2</c:v>
                </c:pt>
                <c:pt idx="10">
                  <c:v>-0.10926808926736352</c:v>
                </c:pt>
                <c:pt idx="11">
                  <c:v>0.34671061060199843</c:v>
                </c:pt>
                <c:pt idx="12">
                  <c:v>-2.4459527580788475E-2</c:v>
                </c:pt>
                <c:pt idx="13">
                  <c:v>5.2849464283736471E-2</c:v>
                </c:pt>
                <c:pt idx="14">
                  <c:v>0.24959354886285895</c:v>
                </c:pt>
                <c:pt idx="15">
                  <c:v>0.17368463421612731</c:v>
                </c:pt>
                <c:pt idx="16">
                  <c:v>0.18980178246910548</c:v>
                </c:pt>
                <c:pt idx="17">
                  <c:v>0.25849604615469496</c:v>
                </c:pt>
                <c:pt idx="18">
                  <c:v>0.13755275198450667</c:v>
                </c:pt>
                <c:pt idx="19">
                  <c:v>-2.9987283574751496E-2</c:v>
                </c:pt>
                <c:pt idx="20">
                  <c:v>8.8926138864904108E-2</c:v>
                </c:pt>
                <c:pt idx="21">
                  <c:v>-5.9871874996509374E-2</c:v>
                </c:pt>
                <c:pt idx="22">
                  <c:v>-0.16698647963197411</c:v>
                </c:pt>
                <c:pt idx="23">
                  <c:v>0.1405523559130199</c:v>
                </c:pt>
                <c:pt idx="24">
                  <c:v>0.16237559238421603</c:v>
                </c:pt>
                <c:pt idx="25">
                  <c:v>8.2791734696292973E-2</c:v>
                </c:pt>
                <c:pt idx="26">
                  <c:v>-0.1398393243311935</c:v>
                </c:pt>
                <c:pt idx="27">
                  <c:v>8.3724388101510769E-2</c:v>
                </c:pt>
                <c:pt idx="28">
                  <c:v>0.17299058176008217</c:v>
                </c:pt>
                <c:pt idx="29">
                  <c:v>0.15560351208530396</c:v>
                </c:pt>
                <c:pt idx="30">
                  <c:v>0.11349252181021038</c:v>
                </c:pt>
                <c:pt idx="31">
                  <c:v>-4.2733674296207551E-2</c:v>
                </c:pt>
                <c:pt idx="32">
                  <c:v>-0.103696642507401</c:v>
                </c:pt>
                <c:pt idx="33">
                  <c:v>7.3592596106842795E-2</c:v>
                </c:pt>
                <c:pt idx="34">
                  <c:v>-5.5817467480335579E-2</c:v>
                </c:pt>
                <c:pt idx="35">
                  <c:v>0.20164695581012079</c:v>
                </c:pt>
                <c:pt idx="36">
                  <c:v>0.22361451287486117</c:v>
                </c:pt>
                <c:pt idx="37">
                  <c:v>7.6256076218740504E-2</c:v>
                </c:pt>
                <c:pt idx="38">
                  <c:v>-1.6580004678153903E-2</c:v>
                </c:pt>
                <c:pt idx="39">
                  <c:v>0.14426096219213994</c:v>
                </c:pt>
                <c:pt idx="40">
                  <c:v>0.13829273960953406</c:v>
                </c:pt>
                <c:pt idx="41">
                  <c:v>-5.3960959414383787E-3</c:v>
                </c:pt>
                <c:pt idx="42">
                  <c:v>2.2350645725309308E-2</c:v>
                </c:pt>
                <c:pt idx="43">
                  <c:v>6.3416420959959224E-2</c:v>
                </c:pt>
                <c:pt idx="44">
                  <c:v>0.12535928385674114</c:v>
                </c:pt>
                <c:pt idx="45">
                  <c:v>0.12543201926968733</c:v>
                </c:pt>
                <c:pt idx="46">
                  <c:v>0.19231627810850338</c:v>
                </c:pt>
                <c:pt idx="47">
                  <c:v>0.16808545911210554</c:v>
                </c:pt>
                <c:pt idx="48">
                  <c:v>0.18545162094671924</c:v>
                </c:pt>
                <c:pt idx="49">
                  <c:v>0.18409659262224404</c:v>
                </c:pt>
                <c:pt idx="50">
                  <c:v>5.1045063440246126E-3</c:v>
                </c:pt>
                <c:pt idx="51">
                  <c:v>0.10660968736549342</c:v>
                </c:pt>
                <c:pt idx="52">
                  <c:v>-3.2652472296094965E-3</c:v>
                </c:pt>
                <c:pt idx="53">
                  <c:v>-9.7739931485343948E-3</c:v>
                </c:pt>
                <c:pt idx="54">
                  <c:v>0.13135460983773486</c:v>
                </c:pt>
                <c:pt idx="55">
                  <c:v>0.13550186269688771</c:v>
                </c:pt>
                <c:pt idx="56">
                  <c:v>0.27322865757583392</c:v>
                </c:pt>
                <c:pt idx="57">
                  <c:v>0.1766808375462107</c:v>
                </c:pt>
                <c:pt idx="58">
                  <c:v>0.11153485180482416</c:v>
                </c:pt>
                <c:pt idx="59">
                  <c:v>-0.14834280638713501</c:v>
                </c:pt>
                <c:pt idx="60">
                  <c:v>-0.23529283657078345</c:v>
                </c:pt>
                <c:pt idx="61">
                  <c:v>0.13502601028179961</c:v>
                </c:pt>
                <c:pt idx="62">
                  <c:v>0.30415470413839835</c:v>
                </c:pt>
                <c:pt idx="63">
                  <c:v>6.8886045782383429E-2</c:v>
                </c:pt>
              </c:numCache>
            </c:numRef>
          </c:val>
          <c:smooth val="0"/>
          <c:extLst>
            <c:ext xmlns:c16="http://schemas.microsoft.com/office/drawing/2014/chart" uri="{C3380CC4-5D6E-409C-BE32-E72D297353CC}">
              <c16:uniqueId val="{00000001-7C87-4125-9334-967F5234A085}"/>
            </c:ext>
          </c:extLst>
        </c:ser>
        <c:dLbls>
          <c:showLegendKey val="0"/>
          <c:showVal val="0"/>
          <c:showCatName val="0"/>
          <c:showSerName val="0"/>
          <c:showPercent val="0"/>
          <c:showBubbleSize val="0"/>
        </c:dLbls>
        <c:smooth val="0"/>
        <c:axId val="86182528"/>
        <c:axId val="86184320"/>
      </c:lineChart>
      <c:catAx>
        <c:axId val="86182528"/>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184320"/>
        <c:crossesAt val="-0.30000000000000004"/>
        <c:auto val="1"/>
        <c:lblAlgn val="ctr"/>
        <c:lblOffset val="100"/>
        <c:tickLblSkip val="6"/>
        <c:tickMarkSkip val="2"/>
        <c:noMultiLvlLbl val="0"/>
      </c:catAx>
      <c:valAx>
        <c:axId val="86184320"/>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6182528"/>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'Appndx6.8.I.1-3'!$C$80</c:f>
              <c:strCache>
                <c:ptCount val="1"/>
                <c:pt idx="0">
                  <c:v>WEQ1</c:v>
                </c:pt>
              </c:strCache>
            </c:strRef>
          </c:tx>
          <c:spPr>
            <a:ln>
              <a:solidFill>
                <a:schemeClr val="tx1"/>
              </a:solidFill>
              <a:prstDash val="dash"/>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'Appndx6.8.I.1-3'!$D$80:$BP$80</c:f>
              <c:numCache>
                <c:formatCode>0.0</c:formatCode>
                <c:ptCount val="65"/>
                <c:pt idx="0">
                  <c:v>27.892359825587157</c:v>
                </c:pt>
                <c:pt idx="1">
                  <c:v>30.062808735888364</c:v>
                </c:pt>
                <c:pt idx="2">
                  <c:v>30.303378629001692</c:v>
                </c:pt>
                <c:pt idx="3">
                  <c:v>31.938848341808804</c:v>
                </c:pt>
                <c:pt idx="4">
                  <c:v>33.742446024235427</c:v>
                </c:pt>
                <c:pt idx="5">
                  <c:v>35.550689665430909</c:v>
                </c:pt>
                <c:pt idx="6">
                  <c:v>36.978946102021183</c:v>
                </c:pt>
                <c:pt idx="7">
                  <c:v>37.414590026478372</c:v>
                </c:pt>
                <c:pt idx="8">
                  <c:v>38.594180685428448</c:v>
                </c:pt>
                <c:pt idx="9">
                  <c:v>40.058548733691481</c:v>
                </c:pt>
                <c:pt idx="10">
                  <c:v>41.131170660381478</c:v>
                </c:pt>
                <c:pt idx="11">
                  <c:v>41.534709051626109</c:v>
                </c:pt>
                <c:pt idx="12">
                  <c:v>42.95298199052133</c:v>
                </c:pt>
                <c:pt idx="13">
                  <c:v>43.779633754853265</c:v>
                </c:pt>
                <c:pt idx="14">
                  <c:v>44.476563665855636</c:v>
                </c:pt>
                <c:pt idx="15">
                  <c:v>45.529829995292509</c:v>
                </c:pt>
                <c:pt idx="16">
                  <c:v>45.530137610806257</c:v>
                </c:pt>
                <c:pt idx="17">
                  <c:v>47.372833485061662</c:v>
                </c:pt>
                <c:pt idx="18">
                  <c:v>48.231257141721954</c:v>
                </c:pt>
                <c:pt idx="19">
                  <c:v>49.021990169151216</c:v>
                </c:pt>
                <c:pt idx="20">
                  <c:v>50.431538304846214</c:v>
                </c:pt>
                <c:pt idx="21">
                  <c:v>53.479395063065013</c:v>
                </c:pt>
                <c:pt idx="22">
                  <c:v>57.965685465768793</c:v>
                </c:pt>
                <c:pt idx="23">
                  <c:v>60.86097266329525</c:v>
                </c:pt>
                <c:pt idx="24">
                  <c:v>65.306617763228118</c:v>
                </c:pt>
                <c:pt idx="25">
                  <c:v>70.678192423041125</c:v>
                </c:pt>
                <c:pt idx="26">
                  <c:v>76.428711109658025</c:v>
                </c:pt>
                <c:pt idx="27">
                  <c:v>85.124840528989594</c:v>
                </c:pt>
                <c:pt idx="28">
                  <c:v>92.34144511737324</c:v>
                </c:pt>
                <c:pt idx="29">
                  <c:v>99.898546667738557</c:v>
                </c:pt>
                <c:pt idx="30">
                  <c:v>111.35191431218156</c:v>
                </c:pt>
                <c:pt idx="31">
                  <c:v>125.8669655776218</c:v>
                </c:pt>
                <c:pt idx="32">
                  <c:v>141.98588906996349</c:v>
                </c:pt>
                <c:pt idx="33">
                  <c:v>160.61945595986359</c:v>
                </c:pt>
                <c:pt idx="34">
                  <c:v>177.05630892725475</c:v>
                </c:pt>
                <c:pt idx="35">
                  <c:v>195.10490076598674</c:v>
                </c:pt>
                <c:pt idx="36">
                  <c:v>211.37999462808745</c:v>
                </c:pt>
                <c:pt idx="37">
                  <c:v>225.82174324251704</c:v>
                </c:pt>
                <c:pt idx="38">
                  <c:v>233.65491903029985</c:v>
                </c:pt>
                <c:pt idx="39">
                  <c:v>244.95440670207154</c:v>
                </c:pt>
                <c:pt idx="40">
                  <c:v>262.76651657910173</c:v>
                </c:pt>
                <c:pt idx="41">
                  <c:v>284.40489815790431</c:v>
                </c:pt>
                <c:pt idx="42">
                  <c:v>296.69037220053542</c:v>
                </c:pt>
                <c:pt idx="43">
                  <c:v>313.10640195322543</c:v>
                </c:pt>
                <c:pt idx="44">
                  <c:v>335.18586856286356</c:v>
                </c:pt>
                <c:pt idx="45">
                  <c:v>342.63695587153131</c:v>
                </c:pt>
                <c:pt idx="46">
                  <c:v>368.02536999187089</c:v>
                </c:pt>
                <c:pt idx="47">
                  <c:v>379.27313688567921</c:v>
                </c:pt>
                <c:pt idx="48">
                  <c:v>385.73652110235696</c:v>
                </c:pt>
                <c:pt idx="49">
                  <c:v>396.56062616254911</c:v>
                </c:pt>
                <c:pt idx="50">
                  <c:v>412.94722666804699</c:v>
                </c:pt>
                <c:pt idx="51">
                  <c:v>427.2383869271452</c:v>
                </c:pt>
                <c:pt idx="52">
                  <c:v>436.36389880794707</c:v>
                </c:pt>
                <c:pt idx="53">
                  <c:v>468.38934314317765</c:v>
                </c:pt>
                <c:pt idx="54">
                  <c:v>476.51416326491483</c:v>
                </c:pt>
                <c:pt idx="55">
                  <c:v>481.6627815496646</c:v>
                </c:pt>
                <c:pt idx="56">
                  <c:v>520.39673292411919</c:v>
                </c:pt>
                <c:pt idx="57">
                  <c:v>545.93015912038561</c:v>
                </c:pt>
                <c:pt idx="58">
                  <c:v>565.91877820823709</c:v>
                </c:pt>
                <c:pt idx="59">
                  <c:v>595.70267515308967</c:v>
                </c:pt>
                <c:pt idx="60">
                  <c:v>608.60838356264969</c:v>
                </c:pt>
                <c:pt idx="61">
                  <c:v>605.44910896349984</c:v>
                </c:pt>
                <c:pt idx="62">
                  <c:v>598.79110757196133</c:v>
                </c:pt>
                <c:pt idx="63">
                  <c:v>606.65351230689703</c:v>
                </c:pt>
                <c:pt idx="64">
                  <c:v>610.03051131491304</c:v>
                </c:pt>
              </c:numCache>
            </c:numRef>
          </c:val>
          <c:smooth val="0"/>
          <c:extLst>
            <c:ext xmlns:c16="http://schemas.microsoft.com/office/drawing/2014/chart" uri="{C3380CC4-5D6E-409C-BE32-E72D297353CC}">
              <c16:uniqueId val="{00000000-4F7D-44E6-9A0C-B943DD870ECB}"/>
            </c:ext>
          </c:extLst>
        </c:ser>
        <c:ser>
          <c:idx val="1"/>
          <c:order val="1"/>
          <c:tx>
            <c:strRef>
              <c:f>'Appndx6.8.I.1-3'!$C$84</c:f>
              <c:strCache>
                <c:ptCount val="1"/>
                <c:pt idx="0">
                  <c:v>WEQ2</c:v>
                </c:pt>
              </c:strCache>
            </c:strRef>
          </c:tx>
          <c:spPr>
            <a:ln w="22225">
              <a:solidFill>
                <a:schemeClr val="tx1"/>
              </a:solidFill>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'Appndx6.8.I.1-3'!$D$84:$BP$84</c:f>
              <c:numCache>
                <c:formatCode>0.0</c:formatCode>
                <c:ptCount val="65"/>
                <c:pt idx="0">
                  <c:v>22.133173996175906</c:v>
                </c:pt>
                <c:pt idx="1">
                  <c:v>23.491154929577469</c:v>
                </c:pt>
                <c:pt idx="2">
                  <c:v>20.641845360824735</c:v>
                </c:pt>
                <c:pt idx="3">
                  <c:v>21.083110443275732</c:v>
                </c:pt>
                <c:pt idx="4">
                  <c:v>24.431116460637604</c:v>
                </c:pt>
                <c:pt idx="5">
                  <c:v>25.978018749999993</c:v>
                </c:pt>
                <c:pt idx="6">
                  <c:v>25.812714535901932</c:v>
                </c:pt>
                <c:pt idx="7">
                  <c:v>26.224844602609725</c:v>
                </c:pt>
                <c:pt idx="8">
                  <c:v>25.349983263598311</c:v>
                </c:pt>
                <c:pt idx="9">
                  <c:v>27.890666666666657</c:v>
                </c:pt>
                <c:pt idx="10">
                  <c:v>30.074447867298563</c:v>
                </c:pt>
                <c:pt idx="11">
                  <c:v>33.240445316331524</c:v>
                </c:pt>
                <c:pt idx="12">
                  <c:v>30.727640017286085</c:v>
                </c:pt>
                <c:pt idx="13">
                  <c:v>32.219110926464481</c:v>
                </c:pt>
                <c:pt idx="14">
                  <c:v>34.41015659229209</c:v>
                </c:pt>
                <c:pt idx="15">
                  <c:v>34.86042433234423</c:v>
                </c:pt>
                <c:pt idx="16">
                  <c:v>34.929254355400701</c:v>
                </c:pt>
                <c:pt idx="17">
                  <c:v>36.189962939091203</c:v>
                </c:pt>
                <c:pt idx="18">
                  <c:v>38.26191220368743</c:v>
                </c:pt>
                <c:pt idx="19">
                  <c:v>41.55317928286852</c:v>
                </c:pt>
                <c:pt idx="20">
                  <c:v>44.522207211782622</c:v>
                </c:pt>
                <c:pt idx="21">
                  <c:v>48.184034188034197</c:v>
                </c:pt>
                <c:pt idx="22">
                  <c:v>53.332116398713822</c:v>
                </c:pt>
                <c:pt idx="23">
                  <c:v>57.812719512195109</c:v>
                </c:pt>
                <c:pt idx="24">
                  <c:v>61.123719182083747</c:v>
                </c:pt>
                <c:pt idx="25">
                  <c:v>69.209737813370467</c:v>
                </c:pt>
                <c:pt idx="26">
                  <c:v>83.774663558663534</c:v>
                </c:pt>
                <c:pt idx="27">
                  <c:v>87.893501678587086</c:v>
                </c:pt>
                <c:pt idx="28">
                  <c:v>88.957730916030528</c:v>
                </c:pt>
                <c:pt idx="29">
                  <c:v>96.248940973461842</c:v>
                </c:pt>
                <c:pt idx="30">
                  <c:v>104.93653932114884</c:v>
                </c:pt>
                <c:pt idx="31">
                  <c:v>121.55075451066158</c:v>
                </c:pt>
                <c:pt idx="32">
                  <c:v>136.76834353096399</c:v>
                </c:pt>
                <c:pt idx="33">
                  <c:v>137.08687193841848</c:v>
                </c:pt>
                <c:pt idx="34">
                  <c:v>141.42489397321427</c:v>
                </c:pt>
                <c:pt idx="35">
                  <c:v>139.82551612243506</c:v>
                </c:pt>
                <c:pt idx="36">
                  <c:v>145.716558326528</c:v>
                </c:pt>
                <c:pt idx="37">
                  <c:v>174.42251907121781</c:v>
                </c:pt>
                <c:pt idx="38">
                  <c:v>185.08357262103513</c:v>
                </c:pt>
                <c:pt idx="39">
                  <c:v>204.5789705277931</c:v>
                </c:pt>
                <c:pt idx="40">
                  <c:v>226.1087194184646</c:v>
                </c:pt>
                <c:pt idx="41">
                  <c:v>252.99116323404257</c:v>
                </c:pt>
                <c:pt idx="42">
                  <c:v>270.99977013937149</c:v>
                </c:pt>
                <c:pt idx="43">
                  <c:v>284.26448362641656</c:v>
                </c:pt>
                <c:pt idx="44">
                  <c:v>282.91216029199296</c:v>
                </c:pt>
                <c:pt idx="45">
                  <c:v>317.95316458229109</c:v>
                </c:pt>
                <c:pt idx="46">
                  <c:v>340.64730030456855</c:v>
                </c:pt>
                <c:pt idx="47">
                  <c:v>357.413675551788</c:v>
                </c:pt>
                <c:pt idx="48">
                  <c:v>372.177239585785</c:v>
                </c:pt>
                <c:pt idx="49">
                  <c:v>415.624920318725</c:v>
                </c:pt>
                <c:pt idx="50">
                  <c:v>442.57389795447557</c:v>
                </c:pt>
                <c:pt idx="51">
                  <c:v>511.61693191282097</c:v>
                </c:pt>
                <c:pt idx="52">
                  <c:v>560.32694421781173</c:v>
                </c:pt>
                <c:pt idx="53">
                  <c:v>641.51491702527949</c:v>
                </c:pt>
                <c:pt idx="54">
                  <c:v>692.68279468341768</c:v>
                </c:pt>
                <c:pt idx="55">
                  <c:v>679.83222766773156</c:v>
                </c:pt>
                <c:pt idx="56">
                  <c:v>688.8938135231316</c:v>
                </c:pt>
                <c:pt idx="57">
                  <c:v>715.3362120841025</c:v>
                </c:pt>
                <c:pt idx="58">
                  <c:v>705.32728032755313</c:v>
                </c:pt>
                <c:pt idx="59">
                  <c:v>723.76418571264492</c:v>
                </c:pt>
                <c:pt idx="60">
                  <c:v>734.76593859663535</c:v>
                </c:pt>
                <c:pt idx="61">
                  <c:v>825.91239286262066</c:v>
                </c:pt>
                <c:pt idx="62">
                  <c:v>677.15689424646018</c:v>
                </c:pt>
                <c:pt idx="63">
                  <c:v>702.98354220141448</c:v>
                </c:pt>
                <c:pt idx="64">
                  <c:v>733.37099965869766</c:v>
                </c:pt>
              </c:numCache>
            </c:numRef>
          </c:val>
          <c:smooth val="0"/>
          <c:extLst>
            <c:ext xmlns:c16="http://schemas.microsoft.com/office/drawing/2014/chart" uri="{C3380CC4-5D6E-409C-BE32-E72D297353CC}">
              <c16:uniqueId val="{00000001-4F7D-44E6-9A0C-B943DD870ECB}"/>
            </c:ext>
          </c:extLst>
        </c:ser>
        <c:dLbls>
          <c:showLegendKey val="0"/>
          <c:showVal val="0"/>
          <c:showCatName val="0"/>
          <c:showSerName val="0"/>
          <c:showPercent val="0"/>
          <c:showBubbleSize val="0"/>
        </c:dLbls>
        <c:smooth val="0"/>
        <c:axId val="86222336"/>
        <c:axId val="86223872"/>
      </c:lineChart>
      <c:catAx>
        <c:axId val="86222336"/>
        <c:scaling>
          <c:orientation val="minMax"/>
        </c:scaling>
        <c:delete val="0"/>
        <c:axPos val="b"/>
        <c:majorGridlines/>
        <c:numFmt formatCode="General" sourceLinked="1"/>
        <c:majorTickMark val="out"/>
        <c:minorTickMark val="none"/>
        <c:tickLblPos val="nextTo"/>
        <c:txPr>
          <a:bodyPr/>
          <a:lstStyle/>
          <a:p>
            <a:pPr>
              <a:defRPr sz="1400"/>
            </a:pPr>
            <a:endParaRPr lang="en-US"/>
          </a:p>
        </c:txPr>
        <c:crossAx val="86223872"/>
        <c:crossesAt val="1.0000000000000002E-2"/>
        <c:auto val="1"/>
        <c:lblAlgn val="ctr"/>
        <c:lblOffset val="100"/>
        <c:tickLblSkip val="4"/>
        <c:tickMarkSkip val="2"/>
        <c:noMultiLvlLbl val="0"/>
      </c:catAx>
      <c:valAx>
        <c:axId val="86223872"/>
        <c:scaling>
          <c:logBase val="10"/>
          <c:orientation val="minMax"/>
          <c:min val="10"/>
        </c:scaling>
        <c:delete val="0"/>
        <c:axPos val="l"/>
        <c:majorGridlines/>
        <c:minorGridlines/>
        <c:numFmt formatCode="0" sourceLinked="0"/>
        <c:majorTickMark val="out"/>
        <c:minorTickMark val="none"/>
        <c:tickLblPos val="nextTo"/>
        <c:txPr>
          <a:bodyPr/>
          <a:lstStyle/>
          <a:p>
            <a:pPr>
              <a:defRPr sz="1400"/>
            </a:pPr>
            <a:endParaRPr lang="en-US"/>
          </a:p>
        </c:txPr>
        <c:crossAx val="86222336"/>
        <c:crosses val="autoZero"/>
        <c:crossBetween val="between"/>
      </c:valAx>
      <c:spPr>
        <a:ln>
          <a:solidFill>
            <a:schemeClr val="tx1"/>
          </a:solidFill>
        </a:ln>
      </c:spPr>
    </c:plotArea>
    <c:plotVisOnly val="1"/>
    <c:dispBlanksAs val="gap"/>
    <c:showDLblsOverMax val="0"/>
  </c:chart>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'Appndx6.8.I.1-3'!$C$154</c:f>
              <c:strCache>
                <c:ptCount val="1"/>
                <c:pt idx="0">
                  <c:v>rbus</c:v>
                </c:pt>
              </c:strCache>
            </c:strRef>
          </c:tx>
          <c:spPr>
            <a:ln w="44450">
              <a:solidFill>
                <a:schemeClr val="tx1"/>
              </a:solidFill>
              <a:prstDash val="solid"/>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'Appndx6.8.I.1-3'!$D$154:$BP$154</c:f>
              <c:numCache>
                <c:formatCode>0.0%</c:formatCode>
                <c:ptCount val="65"/>
                <c:pt idx="0">
                  <c:v>0.15326077364318283</c:v>
                </c:pt>
                <c:pt idx="1">
                  <c:v>0.16682196270405938</c:v>
                </c:pt>
                <c:pt idx="2">
                  <c:v>0.13992644659654974</c:v>
                </c:pt>
                <c:pt idx="3">
                  <c:v>0.16765717438708103</c:v>
                </c:pt>
                <c:pt idx="4">
                  <c:v>0.16818787317315273</c:v>
                </c:pt>
                <c:pt idx="5">
                  <c:v>0.14647356224627878</c:v>
                </c:pt>
                <c:pt idx="6">
                  <c:v>0.13792492383728228</c:v>
                </c:pt>
                <c:pt idx="7">
                  <c:v>0.13014671477527348</c:v>
                </c:pt>
                <c:pt idx="8">
                  <c:v>0.15867832664343182</c:v>
                </c:pt>
                <c:pt idx="9">
                  <c:v>0.13993653604900011</c:v>
                </c:pt>
                <c:pt idx="10">
                  <c:v>0.12583529248271272</c:v>
                </c:pt>
                <c:pt idx="11">
                  <c:v>0.10828328829493139</c:v>
                </c:pt>
                <c:pt idx="12">
                  <c:v>0.13229569446408443</c:v>
                </c:pt>
                <c:pt idx="13">
                  <c:v>0.12354481160659485</c:v>
                </c:pt>
                <c:pt idx="14">
                  <c:v>0.12343224124638312</c:v>
                </c:pt>
                <c:pt idx="15">
                  <c:v>0.13679400427077842</c:v>
                </c:pt>
                <c:pt idx="16">
                  <c:v>0.1441026105799619</c:v>
                </c:pt>
                <c:pt idx="17">
                  <c:v>0.15359940889398827</c:v>
                </c:pt>
                <c:pt idx="18">
                  <c:v>0.16562060705459006</c:v>
                </c:pt>
                <c:pt idx="19">
                  <c:v>0.16579439004646634</c:v>
                </c:pt>
                <c:pt idx="20">
                  <c:v>0.14737389186180741</c:v>
                </c:pt>
                <c:pt idx="21">
                  <c:v>0.14522282480795876</c:v>
                </c:pt>
                <c:pt idx="22">
                  <c:v>0.12563664080861681</c:v>
                </c:pt>
                <c:pt idx="23">
                  <c:v>9.7788805707108573E-2</c:v>
                </c:pt>
                <c:pt idx="24">
                  <c:v>0.10347739383254609</c:v>
                </c:pt>
                <c:pt idx="25">
                  <c:v>0.10785305245275689</c:v>
                </c:pt>
                <c:pt idx="26">
                  <c:v>0.10674935796748831</c:v>
                </c:pt>
                <c:pt idx="27">
                  <c:v>8.3365897046455903E-2</c:v>
                </c:pt>
                <c:pt idx="28">
                  <c:v>8.3004818299227151E-2</c:v>
                </c:pt>
                <c:pt idx="29">
                  <c:v>9.1186632599616291E-2</c:v>
                </c:pt>
                <c:pt idx="30">
                  <c:v>9.8273014287813154E-2</c:v>
                </c:pt>
                <c:pt idx="31">
                  <c:v>9.9431624537660399E-2</c:v>
                </c:pt>
                <c:pt idx="32">
                  <c:v>8.5116306257572868E-2</c:v>
                </c:pt>
                <c:pt idx="33">
                  <c:v>6.3488215313211693E-2</c:v>
                </c:pt>
                <c:pt idx="34">
                  <c:v>6.3871234673037819E-2</c:v>
                </c:pt>
                <c:pt idx="35">
                  <c:v>5.0270465530565807E-2</c:v>
                </c:pt>
                <c:pt idx="36">
                  <c:v>6.1244822173319412E-2</c:v>
                </c:pt>
                <c:pt idx="37">
                  <c:v>7.5058932080898519E-2</c:v>
                </c:pt>
                <c:pt idx="38">
                  <c:v>7.3938802009395843E-2</c:v>
                </c:pt>
                <c:pt idx="39">
                  <c:v>6.548724181160212E-2</c:v>
                </c:pt>
                <c:pt idx="40">
                  <c:v>7.2706894204598943E-2</c:v>
                </c:pt>
                <c:pt idx="41">
                  <c:v>8.0390518016447754E-2</c:v>
                </c:pt>
                <c:pt idx="42">
                  <c:v>7.3631812592983764E-2</c:v>
                </c:pt>
                <c:pt idx="43">
                  <c:v>6.9785277700319892E-2</c:v>
                </c:pt>
                <c:pt idx="44">
                  <c:v>7.0401937119076066E-2</c:v>
                </c:pt>
                <c:pt idx="45">
                  <c:v>7.7230472907570707E-2</c:v>
                </c:pt>
                <c:pt idx="46">
                  <c:v>8.2983007076104967E-2</c:v>
                </c:pt>
                <c:pt idx="47">
                  <c:v>9.3704055677393358E-2</c:v>
                </c:pt>
                <c:pt idx="48">
                  <c:v>0.10088422470264569</c:v>
                </c:pt>
                <c:pt idx="49">
                  <c:v>0.10846857867589456</c:v>
                </c:pt>
                <c:pt idx="50">
                  <c:v>0.11480490039290903</c:v>
                </c:pt>
                <c:pt idx="51">
                  <c:v>0.10012358173491831</c:v>
                </c:pt>
                <c:pt idx="52">
                  <c:v>9.855717572234457E-2</c:v>
                </c:pt>
                <c:pt idx="53">
                  <c:v>8.5950375632268428E-2</c:v>
                </c:pt>
                <c:pt idx="54">
                  <c:v>7.5123674611742963E-2</c:v>
                </c:pt>
                <c:pt idx="55">
                  <c:v>8.3372500210265807E-2</c:v>
                </c:pt>
                <c:pt idx="56">
                  <c:v>9.1502499780894489E-2</c:v>
                </c:pt>
                <c:pt idx="57">
                  <c:v>0.11473666441043635</c:v>
                </c:pt>
                <c:pt idx="58">
                  <c:v>0.12341042966650639</c:v>
                </c:pt>
                <c:pt idx="59">
                  <c:v>0.12623119434257124</c:v>
                </c:pt>
                <c:pt idx="60">
                  <c:v>0.10024037977267923</c:v>
                </c:pt>
                <c:pt idx="61">
                  <c:v>7.0020469939357219E-2</c:v>
                </c:pt>
                <c:pt idx="62">
                  <c:v>7.6569065502897979E-2</c:v>
                </c:pt>
                <c:pt idx="63">
                  <c:v>0.10409807370550715</c:v>
                </c:pt>
                <c:pt idx="64">
                  <c:v>0.10885279879022157</c:v>
                </c:pt>
              </c:numCache>
            </c:numRef>
          </c:val>
          <c:smooth val="0"/>
          <c:extLst>
            <c:ext xmlns:c16="http://schemas.microsoft.com/office/drawing/2014/chart" uri="{C3380CC4-5D6E-409C-BE32-E72D297353CC}">
              <c16:uniqueId val="{00000000-2FEE-4C62-B531-9FBC3BD6BCFE}"/>
            </c:ext>
          </c:extLst>
        </c:ser>
        <c:ser>
          <c:idx val="1"/>
          <c:order val="1"/>
          <c:tx>
            <c:strRef>
              <c:f>'Appndx6.8.I.1-3'!$C$155</c:f>
              <c:strCache>
                <c:ptCount val="1"/>
                <c:pt idx="0">
                  <c:v>rcorp</c:v>
                </c:pt>
              </c:strCache>
            </c:strRef>
          </c:tx>
          <c:spPr>
            <a:ln w="25400">
              <a:solidFill>
                <a:schemeClr val="tx1"/>
              </a:solidFill>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'Appndx6.8.I.1-3'!$D$155:$BP$155</c:f>
              <c:numCache>
                <c:formatCode>0.0%</c:formatCode>
                <c:ptCount val="65"/>
                <c:pt idx="0">
                  <c:v>0.14106583072100312</c:v>
                </c:pt>
                <c:pt idx="1">
                  <c:v>0.15570752235665442</c:v>
                </c:pt>
                <c:pt idx="2">
                  <c:v>0.13269230769230769</c:v>
                </c:pt>
                <c:pt idx="3">
                  <c:v>0.16211121583411875</c:v>
                </c:pt>
                <c:pt idx="4">
                  <c:v>0.16414777497900926</c:v>
                </c:pt>
                <c:pt idx="5">
                  <c:v>0.143244289585753</c:v>
                </c:pt>
                <c:pt idx="6">
                  <c:v>0.13653001464128842</c:v>
                </c:pt>
                <c:pt idx="7">
                  <c:v>0.12696198116498081</c:v>
                </c:pt>
                <c:pt idx="8">
                  <c:v>0.15796610169491526</c:v>
                </c:pt>
                <c:pt idx="9">
                  <c:v>0.13920542038805053</c:v>
                </c:pt>
                <c:pt idx="10">
                  <c:v>0.12361111111111112</c:v>
                </c:pt>
                <c:pt idx="11">
                  <c:v>0.10334110334110333</c:v>
                </c:pt>
                <c:pt idx="12">
                  <c:v>0.12986022871664549</c:v>
                </c:pt>
                <c:pt idx="13">
                  <c:v>0.12177301509985386</c:v>
                </c:pt>
                <c:pt idx="14">
                  <c:v>0.12153772683858644</c:v>
                </c:pt>
                <c:pt idx="15">
                  <c:v>0.13656490328594734</c:v>
                </c:pt>
                <c:pt idx="16">
                  <c:v>0.1451794987581847</c:v>
                </c:pt>
                <c:pt idx="17">
                  <c:v>0.15557986870897153</c:v>
                </c:pt>
                <c:pt idx="18">
                  <c:v>0.16956882255389719</c:v>
                </c:pt>
                <c:pt idx="19">
                  <c:v>0.17064184603451618</c:v>
                </c:pt>
                <c:pt idx="20">
                  <c:v>0.15209260908281391</c:v>
                </c:pt>
                <c:pt idx="21">
                  <c:v>0.15050936575747617</c:v>
                </c:pt>
                <c:pt idx="22">
                  <c:v>0.13115487914055507</c:v>
                </c:pt>
                <c:pt idx="23">
                  <c:v>0.1020988490182803</c:v>
                </c:pt>
                <c:pt idx="24">
                  <c:v>0.10850043055726412</c:v>
                </c:pt>
                <c:pt idx="25">
                  <c:v>0.11422486268355565</c:v>
                </c:pt>
                <c:pt idx="26">
                  <c:v>0.11309462387782478</c:v>
                </c:pt>
                <c:pt idx="27">
                  <c:v>8.9297139201169926E-2</c:v>
                </c:pt>
                <c:pt idx="28">
                  <c:v>8.8377633832179295E-2</c:v>
                </c:pt>
                <c:pt idx="29">
                  <c:v>9.7232459961133819E-2</c:v>
                </c:pt>
                <c:pt idx="30">
                  <c:v>0.10526636596367182</c:v>
                </c:pt>
                <c:pt idx="31">
                  <c:v>0.10710179050539342</c:v>
                </c:pt>
                <c:pt idx="32">
                  <c:v>9.1793020457280383E-2</c:v>
                </c:pt>
                <c:pt idx="33">
                  <c:v>6.929659778751826E-2</c:v>
                </c:pt>
                <c:pt idx="34">
                  <c:v>7.0211068397766002E-2</c:v>
                </c:pt>
                <c:pt idx="35">
                  <c:v>5.5445227418321585E-2</c:v>
                </c:pt>
                <c:pt idx="36">
                  <c:v>6.7804789768956986E-2</c:v>
                </c:pt>
                <c:pt idx="37">
                  <c:v>8.2659162856137891E-2</c:v>
                </c:pt>
                <c:pt idx="38">
                  <c:v>8.1454223501092868E-2</c:v>
                </c:pt>
                <c:pt idx="39">
                  <c:v>7.1993919698081554E-2</c:v>
                </c:pt>
                <c:pt idx="40">
                  <c:v>8.0222757375075254E-2</c:v>
                </c:pt>
                <c:pt idx="41">
                  <c:v>8.8113288513803456E-2</c:v>
                </c:pt>
                <c:pt idx="42">
                  <c:v>8.035694266944686E-2</c:v>
                </c:pt>
                <c:pt idx="43">
                  <c:v>7.5837406631541079E-2</c:v>
                </c:pt>
                <c:pt idx="44">
                  <c:v>7.6288164115714402E-2</c:v>
                </c:pt>
                <c:pt idx="45">
                  <c:v>8.288602437017592E-2</c:v>
                </c:pt>
                <c:pt idx="46">
                  <c:v>8.8489535941765243E-2</c:v>
                </c:pt>
                <c:pt idx="47">
                  <c:v>9.9632466098165937E-2</c:v>
                </c:pt>
                <c:pt idx="48">
                  <c:v>0.10701468189233279</c:v>
                </c:pt>
                <c:pt idx="49">
                  <c:v>0.11364190210062872</c:v>
                </c:pt>
                <c:pt idx="50">
                  <c:v>0.12010568929818596</c:v>
                </c:pt>
                <c:pt idx="51">
                  <c:v>0.10387728516854261</c:v>
                </c:pt>
                <c:pt idx="52">
                  <c:v>0.10178413120567376</c:v>
                </c:pt>
                <c:pt idx="53">
                  <c:v>8.8037326990184669E-2</c:v>
                </c:pt>
                <c:pt idx="54">
                  <c:v>7.4930800278018267E-2</c:v>
                </c:pt>
                <c:pt idx="55">
                  <c:v>8.271956642579209E-2</c:v>
                </c:pt>
                <c:pt idx="56">
                  <c:v>9.0666488013488325E-2</c:v>
                </c:pt>
                <c:pt idx="57">
                  <c:v>0.11341766089001133</c:v>
                </c:pt>
                <c:pt idx="58">
                  <c:v>0.12277107825823703</c:v>
                </c:pt>
                <c:pt idx="59">
                  <c:v>0.12550727598599595</c:v>
                </c:pt>
                <c:pt idx="60">
                  <c:v>9.9298795366398684E-2</c:v>
                </c:pt>
                <c:pt idx="61">
                  <c:v>6.834012567179204E-2</c:v>
                </c:pt>
                <c:pt idx="62">
                  <c:v>7.5315877606941695E-2</c:v>
                </c:pt>
                <c:pt idx="63">
                  <c:v>0.1024193611878725</c:v>
                </c:pt>
                <c:pt idx="64">
                  <c:v>0.1068212949994613</c:v>
                </c:pt>
              </c:numCache>
            </c:numRef>
          </c:val>
          <c:smooth val="0"/>
          <c:extLst>
            <c:ext xmlns:c16="http://schemas.microsoft.com/office/drawing/2014/chart" uri="{C3380CC4-5D6E-409C-BE32-E72D297353CC}">
              <c16:uniqueId val="{00000001-2FEE-4C62-B531-9FBC3BD6BCFE}"/>
            </c:ext>
          </c:extLst>
        </c:ser>
        <c:ser>
          <c:idx val="2"/>
          <c:order val="2"/>
          <c:tx>
            <c:strRef>
              <c:f>'Appndx6.8.I.1-3'!$C$156</c:f>
              <c:strCache>
                <c:ptCount val="1"/>
                <c:pt idx="0">
                  <c:v>rnoncorp</c:v>
                </c:pt>
              </c:strCache>
            </c:strRef>
          </c:tx>
          <c:spPr>
            <a:ln>
              <a:solidFill>
                <a:schemeClr val="tx1"/>
              </a:solidFill>
              <a:prstDash val="dash"/>
            </a:ln>
          </c:spPr>
          <c:marker>
            <c:symbol val="none"/>
          </c:marker>
          <c:val>
            <c:numRef>
              <c:f>'Appndx6.8.I.1-3'!$D$156:$BP$156</c:f>
              <c:numCache>
                <c:formatCode>0.0%</c:formatCode>
                <c:ptCount val="65"/>
                <c:pt idx="0">
                  <c:v>0.18186508829153081</c:v>
                </c:pt>
                <c:pt idx="1">
                  <c:v>0.19274656528125808</c:v>
                </c:pt>
                <c:pt idx="2">
                  <c:v>0.15683319819298053</c:v>
                </c:pt>
                <c:pt idx="3">
                  <c:v>0.1806038455085178</c:v>
                </c:pt>
                <c:pt idx="4">
                  <c:v>0.17754017045055781</c:v>
                </c:pt>
                <c:pt idx="5">
                  <c:v>0.15397465152877704</c:v>
                </c:pt>
                <c:pt idx="6">
                  <c:v>0.14125030945984354</c:v>
                </c:pt>
                <c:pt idx="7">
                  <c:v>0.13798416650120404</c:v>
                </c:pt>
                <c:pt idx="8">
                  <c:v>0.16045738134125054</c:v>
                </c:pt>
                <c:pt idx="9">
                  <c:v>0.14180577427821528</c:v>
                </c:pt>
                <c:pt idx="10">
                  <c:v>0.13178849169294746</c:v>
                </c:pt>
                <c:pt idx="11">
                  <c:v>0.12201118477459337</c:v>
                </c:pt>
                <c:pt idx="12">
                  <c:v>0.139107036124477</c:v>
                </c:pt>
                <c:pt idx="13">
                  <c:v>0.12860743962098486</c:v>
                </c:pt>
                <c:pt idx="14">
                  <c:v>0.12887409744655631</c:v>
                </c:pt>
                <c:pt idx="15">
                  <c:v>0.13745511545161915</c:v>
                </c:pt>
                <c:pt idx="16">
                  <c:v>0.1409852656509758</c:v>
                </c:pt>
                <c:pt idx="17">
                  <c:v>0.14783463096120253</c:v>
                </c:pt>
                <c:pt idx="18">
                  <c:v>0.15416769570843394</c:v>
                </c:pt>
                <c:pt idx="19">
                  <c:v>0.15157463434090718</c:v>
                </c:pt>
                <c:pt idx="20">
                  <c:v>0.13339204637581728</c:v>
                </c:pt>
                <c:pt idx="21">
                  <c:v>0.12923977055124594</c:v>
                </c:pt>
                <c:pt idx="22">
                  <c:v>0.10896250496522171</c:v>
                </c:pt>
                <c:pt idx="23">
                  <c:v>8.4749203145452229E-2</c:v>
                </c:pt>
                <c:pt idx="24">
                  <c:v>8.8201574328156604E-2</c:v>
                </c:pt>
                <c:pt idx="25">
                  <c:v>8.8974633632114025E-2</c:v>
                </c:pt>
                <c:pt idx="26">
                  <c:v>8.8502482021769913E-2</c:v>
                </c:pt>
                <c:pt idx="27">
                  <c:v>6.651038525042316E-2</c:v>
                </c:pt>
                <c:pt idx="28">
                  <c:v>6.7183225354022075E-2</c:v>
                </c:pt>
                <c:pt idx="29">
                  <c:v>7.2893469234667774E-2</c:v>
                </c:pt>
                <c:pt idx="30">
                  <c:v>7.6811561314723442E-2</c:v>
                </c:pt>
                <c:pt idx="31">
                  <c:v>7.6201070463247797E-2</c:v>
                </c:pt>
                <c:pt idx="32">
                  <c:v>6.4831319785077515E-2</c:v>
                </c:pt>
                <c:pt idx="33">
                  <c:v>4.5935572173056029E-2</c:v>
                </c:pt>
                <c:pt idx="34">
                  <c:v>4.4505490225751329E-2</c:v>
                </c:pt>
                <c:pt idx="35">
                  <c:v>3.4386475152457921E-2</c:v>
                </c:pt>
                <c:pt idx="36">
                  <c:v>4.1284362769339202E-2</c:v>
                </c:pt>
                <c:pt idx="37">
                  <c:v>5.2055962498919611E-2</c:v>
                </c:pt>
                <c:pt idx="38">
                  <c:v>5.1162525053634805E-2</c:v>
                </c:pt>
                <c:pt idx="39">
                  <c:v>4.5862800942381571E-2</c:v>
                </c:pt>
                <c:pt idx="40">
                  <c:v>5.0490345974740759E-2</c:v>
                </c:pt>
                <c:pt idx="41">
                  <c:v>5.7587524120764073E-2</c:v>
                </c:pt>
                <c:pt idx="42">
                  <c:v>5.3661937323987038E-2</c:v>
                </c:pt>
                <c:pt idx="43">
                  <c:v>5.1546688160683245E-2</c:v>
                </c:pt>
                <c:pt idx="44">
                  <c:v>5.2220197839113275E-2</c:v>
                </c:pt>
                <c:pt idx="45">
                  <c:v>5.9509444121115272E-2</c:v>
                </c:pt>
                <c:pt idx="46">
                  <c:v>6.5515754477108529E-2</c:v>
                </c:pt>
                <c:pt idx="47">
                  <c:v>7.4578777202390048E-2</c:v>
                </c:pt>
                <c:pt idx="48">
                  <c:v>8.0822006414282097E-2</c:v>
                </c:pt>
                <c:pt idx="49">
                  <c:v>9.1191514123636838E-2</c:v>
                </c:pt>
                <c:pt idx="50">
                  <c:v>9.6897270995210366E-2</c:v>
                </c:pt>
                <c:pt idx="51">
                  <c:v>8.7382287404202605E-2</c:v>
                </c:pt>
                <c:pt idx="52">
                  <c:v>8.7611847294769882E-2</c:v>
                </c:pt>
                <c:pt idx="53">
                  <c:v>7.8800467010576497E-2</c:v>
                </c:pt>
                <c:pt idx="54">
                  <c:v>7.5797158016087191E-2</c:v>
                </c:pt>
                <c:pt idx="55">
                  <c:v>8.5667442336481756E-2</c:v>
                </c:pt>
                <c:pt idx="56">
                  <c:v>9.4427544820435375E-2</c:v>
                </c:pt>
                <c:pt idx="57">
                  <c:v>0.11927482693479305</c:v>
                </c:pt>
                <c:pt idx="58">
                  <c:v>0.12559363186507472</c:v>
                </c:pt>
                <c:pt idx="59">
                  <c:v>0.12868241440392275</c:v>
                </c:pt>
                <c:pt idx="60">
                  <c:v>0.10343912666977828</c:v>
                </c:pt>
                <c:pt idx="61">
                  <c:v>7.578789766422743E-2</c:v>
                </c:pt>
                <c:pt idx="62">
                  <c:v>8.0980388970216699E-2</c:v>
                </c:pt>
                <c:pt idx="63">
                  <c:v>0.10995316961819634</c:v>
                </c:pt>
                <c:pt idx="64">
                  <c:v>0.11608132539466109</c:v>
                </c:pt>
              </c:numCache>
            </c:numRef>
          </c:val>
          <c:smooth val="0"/>
          <c:extLst>
            <c:ext xmlns:c16="http://schemas.microsoft.com/office/drawing/2014/chart" uri="{C3380CC4-5D6E-409C-BE32-E72D297353CC}">
              <c16:uniqueId val="{00000002-2FEE-4C62-B531-9FBC3BD6BCFE}"/>
            </c:ext>
          </c:extLst>
        </c:ser>
        <c:ser>
          <c:idx val="3"/>
          <c:order val="3"/>
          <c:tx>
            <c:strRef>
              <c:f>'Appndx6.8.I.1-3'!$C$157</c:f>
              <c:strCache>
                <c:ptCount val="1"/>
                <c:pt idx="0">
                  <c:v>rnoncorp1</c:v>
                </c:pt>
              </c:strCache>
            </c:strRef>
          </c:tx>
          <c:spPr>
            <a:ln w="19050">
              <a:solidFill>
                <a:schemeClr val="tx1"/>
              </a:solidFill>
              <a:prstDash val="sysDash"/>
            </a:ln>
          </c:spPr>
          <c:marker>
            <c:symbol val="none"/>
          </c:marker>
          <c:val>
            <c:numRef>
              <c:f>'Appndx6.8.I.1-3'!$D$157:$BP$157</c:f>
              <c:numCache>
                <c:formatCode>0.0%</c:formatCode>
                <c:ptCount val="65"/>
                <c:pt idx="0">
                  <c:v>9.7171179035482988E-2</c:v>
                </c:pt>
                <c:pt idx="1">
                  <c:v>0.11211277624676858</c:v>
                </c:pt>
                <c:pt idx="2">
                  <c:v>4.8276644617958532E-2</c:v>
                </c:pt>
                <c:pt idx="3">
                  <c:v>6.117878611871503E-2</c:v>
                </c:pt>
                <c:pt idx="4">
                  <c:v>8.7051059045331142E-2</c:v>
                </c:pt>
                <c:pt idx="5">
                  <c:v>6.7889481425981044E-2</c:v>
                </c:pt>
                <c:pt idx="6">
                  <c:v>4.3813733839256692E-2</c:v>
                </c:pt>
                <c:pt idx="7">
                  <c:v>4.1934849558125535E-2</c:v>
                </c:pt>
                <c:pt idx="8">
                  <c:v>4.8313457363010577E-2</c:v>
                </c:pt>
                <c:pt idx="9">
                  <c:v>4.5995679262271792E-2</c:v>
                </c:pt>
                <c:pt idx="10">
                  <c:v>4.9582374272256646E-2</c:v>
                </c:pt>
                <c:pt idx="11">
                  <c:v>6.2340222650171896E-2</c:v>
                </c:pt>
                <c:pt idx="12">
                  <c:v>5.2217612007666434E-2</c:v>
                </c:pt>
                <c:pt idx="13">
                  <c:v>4.8158428985015579E-2</c:v>
                </c:pt>
                <c:pt idx="14">
                  <c:v>5.9831524925544347E-2</c:v>
                </c:pt>
                <c:pt idx="15">
                  <c:v>6.57039005024041E-2</c:v>
                </c:pt>
                <c:pt idx="16">
                  <c:v>7.16984469881944E-2</c:v>
                </c:pt>
                <c:pt idx="17">
                  <c:v>7.6606156146104054E-2</c:v>
                </c:pt>
                <c:pt idx="18">
                  <c:v>9.4219740578941932E-2</c:v>
                </c:pt>
                <c:pt idx="19">
                  <c:v>0.1090899307784345</c:v>
                </c:pt>
                <c:pt idx="20">
                  <c:v>0.10220824113537616</c:v>
                </c:pt>
                <c:pt idx="21">
                  <c:v>0.10293395398378039</c:v>
                </c:pt>
                <c:pt idx="22">
                  <c:v>8.8071751732331852E-2</c:v>
                </c:pt>
                <c:pt idx="23">
                  <c:v>7.2261480281461482E-2</c:v>
                </c:pt>
                <c:pt idx="24">
                  <c:v>7.2552870320882479E-2</c:v>
                </c:pt>
                <c:pt idx="25">
                  <c:v>8.4097667143669452E-2</c:v>
                </c:pt>
                <c:pt idx="26">
                  <c:v>0.11030056050546579</c:v>
                </c:pt>
                <c:pt idx="27">
                  <c:v>7.3701712911715345E-2</c:v>
                </c:pt>
                <c:pt idx="28">
                  <c:v>5.9764426403478961E-2</c:v>
                </c:pt>
                <c:pt idx="29">
                  <c:v>6.5493619895096167E-2</c:v>
                </c:pt>
                <c:pt idx="30">
                  <c:v>6.4811233983947697E-2</c:v>
                </c:pt>
                <c:pt idx="31">
                  <c:v>6.9043174829814591E-2</c:v>
                </c:pt>
                <c:pt idx="32">
                  <c:v>5.720109817203349E-2</c:v>
                </c:pt>
                <c:pt idx="33">
                  <c:v>1.6248951734750113E-2</c:v>
                </c:pt>
                <c:pt idx="34">
                  <c:v>5.033445300482161E-3</c:v>
                </c:pt>
                <c:pt idx="35">
                  <c:v>-1.9963524497086552E-2</c:v>
                </c:pt>
                <c:pt idx="36">
                  <c:v>-1.8979437066893777E-2</c:v>
                </c:pt>
                <c:pt idx="37">
                  <c:v>6.4569346677456974E-3</c:v>
                </c:pt>
                <c:pt idx="38">
                  <c:v>1.0435251525826047E-2</c:v>
                </c:pt>
                <c:pt idx="39">
                  <c:v>1.3947983003658593E-2</c:v>
                </c:pt>
                <c:pt idx="40">
                  <c:v>2.3308233294452214E-2</c:v>
                </c:pt>
                <c:pt idx="41">
                  <c:v>3.5474519106078913E-2</c:v>
                </c:pt>
                <c:pt idx="42">
                  <c:v>3.6557674966354592E-2</c:v>
                </c:pt>
                <c:pt idx="43">
                  <c:v>3.3154953479642008E-2</c:v>
                </c:pt>
                <c:pt idx="44">
                  <c:v>1.9872606087336913E-2</c:v>
                </c:pt>
                <c:pt idx="45">
                  <c:v>4.4357647859842038E-2</c:v>
                </c:pt>
                <c:pt idx="46">
                  <c:v>4.9052693931526836E-2</c:v>
                </c:pt>
                <c:pt idx="47">
                  <c:v>6.1811146027872674E-2</c:v>
                </c:pt>
                <c:pt idx="48">
                  <c:v>7.3202292159394791E-2</c:v>
                </c:pt>
                <c:pt idx="49">
                  <c:v>0.10153511683438281</c:v>
                </c:pt>
                <c:pt idx="50">
                  <c:v>0.11236246454661641</c:v>
                </c:pt>
                <c:pt idx="51">
                  <c:v>0.12930326563635472</c:v>
                </c:pt>
                <c:pt idx="52">
                  <c:v>0.14585421029508217</c:v>
                </c:pt>
                <c:pt idx="53">
                  <c:v>0.15632053770511006</c:v>
                </c:pt>
                <c:pt idx="54">
                  <c:v>0.16783864290857756</c:v>
                </c:pt>
                <c:pt idx="55">
                  <c:v>0.16632905342328855</c:v>
                </c:pt>
                <c:pt idx="56">
                  <c:v>0.16025443101765086</c:v>
                </c:pt>
                <c:pt idx="57">
                  <c:v>0.1827227868462975</c:v>
                </c:pt>
                <c:pt idx="58">
                  <c:v>0.17363239896339175</c:v>
                </c:pt>
                <c:pt idx="59">
                  <c:v>0.16895079707153965</c:v>
                </c:pt>
                <c:pt idx="60">
                  <c:v>0.14013310154950417</c:v>
                </c:pt>
                <c:pt idx="61">
                  <c:v>0.13721881716353662</c:v>
                </c:pt>
                <c:pt idx="62">
                  <c:v>0.10197703625861765</c:v>
                </c:pt>
                <c:pt idx="63">
                  <c:v>0.13640510961724006</c:v>
                </c:pt>
                <c:pt idx="64">
                  <c:v>0.14985473403206104</c:v>
                </c:pt>
              </c:numCache>
            </c:numRef>
          </c:val>
          <c:smooth val="0"/>
          <c:extLst>
            <c:ext xmlns:c16="http://schemas.microsoft.com/office/drawing/2014/chart" uri="{C3380CC4-5D6E-409C-BE32-E72D297353CC}">
              <c16:uniqueId val="{00000003-2FEE-4C62-B531-9FBC3BD6BCFE}"/>
            </c:ext>
          </c:extLst>
        </c:ser>
        <c:dLbls>
          <c:showLegendKey val="0"/>
          <c:showVal val="0"/>
          <c:showCatName val="0"/>
          <c:showSerName val="0"/>
          <c:showPercent val="0"/>
          <c:showBubbleSize val="0"/>
        </c:dLbls>
        <c:smooth val="0"/>
        <c:axId val="86956672"/>
        <c:axId val="86958464"/>
      </c:lineChart>
      <c:catAx>
        <c:axId val="86956672"/>
        <c:scaling>
          <c:orientation val="minMax"/>
        </c:scaling>
        <c:delete val="0"/>
        <c:axPos val="b"/>
        <c:majorGridlines/>
        <c:numFmt formatCode="General" sourceLinked="1"/>
        <c:majorTickMark val="out"/>
        <c:minorTickMark val="none"/>
        <c:tickLblPos val="nextTo"/>
        <c:txPr>
          <a:bodyPr/>
          <a:lstStyle/>
          <a:p>
            <a:pPr>
              <a:defRPr sz="1400"/>
            </a:pPr>
            <a:endParaRPr lang="en-US"/>
          </a:p>
        </c:txPr>
        <c:crossAx val="86958464"/>
        <c:crossesAt val="-5.000000000000001E-2"/>
        <c:auto val="1"/>
        <c:lblAlgn val="ctr"/>
        <c:lblOffset val="100"/>
        <c:tickLblSkip val="4"/>
        <c:tickMarkSkip val="2"/>
        <c:noMultiLvlLbl val="0"/>
      </c:catAx>
      <c:valAx>
        <c:axId val="86958464"/>
        <c:scaling>
          <c:orientation val="minMax"/>
        </c:scaling>
        <c:delete val="0"/>
        <c:axPos val="l"/>
        <c:majorGridlines/>
        <c:minorGridlines/>
        <c:numFmt formatCode="0%" sourceLinked="0"/>
        <c:majorTickMark val="out"/>
        <c:minorTickMark val="none"/>
        <c:tickLblPos val="nextTo"/>
        <c:txPr>
          <a:bodyPr/>
          <a:lstStyle/>
          <a:p>
            <a:pPr>
              <a:defRPr sz="1400"/>
            </a:pPr>
            <a:endParaRPr lang="en-US"/>
          </a:p>
        </c:txPr>
        <c:crossAx val="86956672"/>
        <c:crossesAt val="1"/>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6.8.II.1'!$C$26</c:f>
              <c:strCache>
                <c:ptCount val="1"/>
                <c:pt idx="0">
                  <c:v>dcorpstar</c:v>
                </c:pt>
              </c:strCache>
            </c:strRef>
          </c:tx>
          <c:spPr>
            <a:ln w="31750">
              <a:solidFill>
                <a:schemeClr val="tx1"/>
              </a:solidFill>
            </a:ln>
          </c:spPr>
          <c:marker>
            <c:symbol val="none"/>
          </c:marker>
          <c:cat>
            <c:numRef>
              <c:f>'Appndx 6.8.II.1'!$D$18:$CL$18</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6.8.II.1'!$D$26:$CL$26</c:f>
              <c:numCache>
                <c:formatCode>0.00%</c:formatCode>
                <c:ptCount val="87"/>
                <c:pt idx="1">
                  <c:v>4.775530475274864E-2</c:v>
                </c:pt>
                <c:pt idx="2">
                  <c:v>4.781740470852016E-2</c:v>
                </c:pt>
                <c:pt idx="3">
                  <c:v>4.7760460216130951E-2</c:v>
                </c:pt>
                <c:pt idx="4">
                  <c:v>4.9541095201228728E-2</c:v>
                </c:pt>
                <c:pt idx="5">
                  <c:v>4.9484184717893877E-2</c:v>
                </c:pt>
                <c:pt idx="6">
                  <c:v>5.06350081450457E-2</c:v>
                </c:pt>
                <c:pt idx="7">
                  <c:v>4.7626058300829693E-2</c:v>
                </c:pt>
                <c:pt idx="8">
                  <c:v>4.4776957550883012E-2</c:v>
                </c:pt>
                <c:pt idx="9">
                  <c:v>4.5691420699778093E-2</c:v>
                </c:pt>
                <c:pt idx="10">
                  <c:v>4.6173338805279546E-2</c:v>
                </c:pt>
                <c:pt idx="11">
                  <c:v>4.356791337006951E-2</c:v>
                </c:pt>
                <c:pt idx="12">
                  <c:v>4.6711004531157667E-2</c:v>
                </c:pt>
                <c:pt idx="13">
                  <c:v>4.7724687620226483E-2</c:v>
                </c:pt>
                <c:pt idx="14">
                  <c:v>4.7666010730131617E-2</c:v>
                </c:pt>
                <c:pt idx="15">
                  <c:v>4.6400364641930293E-2</c:v>
                </c:pt>
                <c:pt idx="16">
                  <c:v>4.6209090580060078E-2</c:v>
                </c:pt>
                <c:pt idx="17">
                  <c:v>4.8551243131343312E-2</c:v>
                </c:pt>
                <c:pt idx="18">
                  <c:v>4.805695742453385E-2</c:v>
                </c:pt>
                <c:pt idx="19">
                  <c:v>4.9844551137118331E-2</c:v>
                </c:pt>
                <c:pt idx="20">
                  <c:v>4.722179132260991E-2</c:v>
                </c:pt>
                <c:pt idx="21">
                  <c:v>4.4890561829081278E-2</c:v>
                </c:pt>
                <c:pt idx="22">
                  <c:v>4.8663487555552283E-2</c:v>
                </c:pt>
                <c:pt idx="23">
                  <c:v>5.186185886683653E-2</c:v>
                </c:pt>
                <c:pt idx="24">
                  <c:v>5.4046451919362255E-2</c:v>
                </c:pt>
                <c:pt idx="25">
                  <c:v>5.1749161266229554E-2</c:v>
                </c:pt>
                <c:pt idx="26">
                  <c:v>5.4315871849150016E-2</c:v>
                </c:pt>
                <c:pt idx="27">
                  <c:v>5.4686557349924052E-2</c:v>
                </c:pt>
                <c:pt idx="28">
                  <c:v>5.5489854653546264E-2</c:v>
                </c:pt>
                <c:pt idx="29">
                  <c:v>5.6367722417040529E-2</c:v>
                </c:pt>
                <c:pt idx="30">
                  <c:v>5.4277160664420038E-2</c:v>
                </c:pt>
                <c:pt idx="31">
                  <c:v>5.5282878733243654E-2</c:v>
                </c:pt>
                <c:pt idx="32">
                  <c:v>5.7089229317195213E-2</c:v>
                </c:pt>
                <c:pt idx="33">
                  <c:v>5.8678061713841753E-2</c:v>
                </c:pt>
                <c:pt idx="34">
                  <c:v>5.8874999672196247E-2</c:v>
                </c:pt>
                <c:pt idx="35">
                  <c:v>5.8797220006677246E-2</c:v>
                </c:pt>
                <c:pt idx="36">
                  <c:v>5.884602968823896E-2</c:v>
                </c:pt>
                <c:pt idx="37">
                  <c:v>5.9339621908614699E-2</c:v>
                </c:pt>
                <c:pt idx="38">
                  <c:v>6.0012607308286461E-2</c:v>
                </c:pt>
                <c:pt idx="39">
                  <c:v>6.0491000890141138E-2</c:v>
                </c:pt>
                <c:pt idx="40">
                  <c:v>6.1889436322316152E-2</c:v>
                </c:pt>
                <c:pt idx="41">
                  <c:v>6.2913717038401776E-2</c:v>
                </c:pt>
                <c:pt idx="42">
                  <c:v>6.3377248724566071E-2</c:v>
                </c:pt>
                <c:pt idx="43">
                  <c:v>6.3451812082607487E-2</c:v>
                </c:pt>
                <c:pt idx="44">
                  <c:v>6.4011777118760188E-2</c:v>
                </c:pt>
                <c:pt idx="45">
                  <c:v>6.3938606788237706E-2</c:v>
                </c:pt>
                <c:pt idx="46">
                  <c:v>6.348854584066034E-2</c:v>
                </c:pt>
                <c:pt idx="47">
                  <c:v>6.3923525242360821E-2</c:v>
                </c:pt>
                <c:pt idx="48">
                  <c:v>6.3933180308977225E-2</c:v>
                </c:pt>
                <c:pt idx="49">
                  <c:v>6.1201460476166786E-2</c:v>
                </c:pt>
                <c:pt idx="50">
                  <c:v>6.496802669149522E-2</c:v>
                </c:pt>
                <c:pt idx="51">
                  <c:v>6.5504089074271146E-2</c:v>
                </c:pt>
                <c:pt idx="52">
                  <c:v>6.6768858261923247E-2</c:v>
                </c:pt>
                <c:pt idx="53">
                  <c:v>6.7409974540737258E-2</c:v>
                </c:pt>
                <c:pt idx="54">
                  <c:v>6.7780688324620114E-2</c:v>
                </c:pt>
                <c:pt idx="55">
                  <c:v>6.7906469246860696E-2</c:v>
                </c:pt>
                <c:pt idx="56">
                  <c:v>6.9339812539959536E-2</c:v>
                </c:pt>
                <c:pt idx="57">
                  <c:v>7.1857790045396649E-2</c:v>
                </c:pt>
                <c:pt idx="58">
                  <c:v>7.2239766902068722E-2</c:v>
                </c:pt>
                <c:pt idx="59">
                  <c:v>7.2628546193948235E-2</c:v>
                </c:pt>
                <c:pt idx="60">
                  <c:v>7.3963709189541635E-2</c:v>
                </c:pt>
                <c:pt idx="61">
                  <c:v>7.4835182389830182E-2</c:v>
                </c:pt>
                <c:pt idx="62">
                  <c:v>7.4815663869798099E-2</c:v>
                </c:pt>
                <c:pt idx="63">
                  <c:v>7.5537330630151028E-2</c:v>
                </c:pt>
                <c:pt idx="64">
                  <c:v>7.6179671296006349E-2</c:v>
                </c:pt>
                <c:pt idx="65">
                  <c:v>7.679192697226031E-2</c:v>
                </c:pt>
                <c:pt idx="66">
                  <c:v>7.8243122480981128E-2</c:v>
                </c:pt>
                <c:pt idx="67">
                  <c:v>7.7581256709050556E-2</c:v>
                </c:pt>
                <c:pt idx="68">
                  <c:v>7.786664927654828E-2</c:v>
                </c:pt>
                <c:pt idx="69">
                  <c:v>7.8483689438927029E-2</c:v>
                </c:pt>
                <c:pt idx="70">
                  <c:v>8.0122564624024714E-2</c:v>
                </c:pt>
                <c:pt idx="71">
                  <c:v>8.1149574109317904E-2</c:v>
                </c:pt>
                <c:pt idx="72">
                  <c:v>8.2369075892617744E-2</c:v>
                </c:pt>
                <c:pt idx="73">
                  <c:v>8.3588984537018352E-2</c:v>
                </c:pt>
                <c:pt idx="74">
                  <c:v>8.5380363385917604E-2</c:v>
                </c:pt>
                <c:pt idx="75">
                  <c:v>8.7252103623465721E-2</c:v>
                </c:pt>
                <c:pt idx="76">
                  <c:v>8.6924692477156409E-2</c:v>
                </c:pt>
                <c:pt idx="77">
                  <c:v>8.5426858096803879E-2</c:v>
                </c:pt>
                <c:pt idx="78">
                  <c:v>8.4787040452854859E-2</c:v>
                </c:pt>
                <c:pt idx="79">
                  <c:v>8.23276383047052E-2</c:v>
                </c:pt>
                <c:pt idx="80">
                  <c:v>8.0919229114421842E-2</c:v>
                </c:pt>
                <c:pt idx="81">
                  <c:v>8.058085428813605E-2</c:v>
                </c:pt>
                <c:pt idx="82">
                  <c:v>8.1403011481933643E-2</c:v>
                </c:pt>
                <c:pt idx="83">
                  <c:v>7.9984825483645272E-2</c:v>
                </c:pt>
                <c:pt idx="84">
                  <c:v>8.125050016128349E-2</c:v>
                </c:pt>
                <c:pt idx="85">
                  <c:v>7.922613555008734E-2</c:v>
                </c:pt>
                <c:pt idx="86">
                  <c:v>7.9192264222240266E-2</c:v>
                </c:pt>
              </c:numCache>
            </c:numRef>
          </c:val>
          <c:smooth val="0"/>
          <c:extLst>
            <c:ext xmlns:c16="http://schemas.microsoft.com/office/drawing/2014/chart" uri="{C3380CC4-5D6E-409C-BE32-E72D297353CC}">
              <c16:uniqueId val="{00000000-90D0-41D2-9CA7-320FD5C60DA7}"/>
            </c:ext>
          </c:extLst>
        </c:ser>
        <c:ser>
          <c:idx val="1"/>
          <c:order val="1"/>
          <c:tx>
            <c:strRef>
              <c:f>'Appndx 6.8.II.1'!$C$37</c:f>
              <c:strCache>
                <c:ptCount val="1"/>
                <c:pt idx="0">
                  <c:v>dcorpWhelanLiu</c:v>
                </c:pt>
              </c:strCache>
            </c:strRef>
          </c:tx>
          <c:spPr>
            <a:ln w="28575">
              <a:solidFill>
                <a:schemeClr val="tx1"/>
              </a:solidFill>
              <a:prstDash val="sysDash"/>
            </a:ln>
          </c:spPr>
          <c:marker>
            <c:symbol val="none"/>
          </c:marker>
          <c:cat>
            <c:numRef>
              <c:f>'Appndx 6.8.II.1'!$D$18:$CL$18</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6.8.II.1'!$D$37:$CL$37</c:f>
              <c:numCache>
                <c:formatCode>0.00%</c:formatCode>
                <c:ptCount val="87"/>
                <c:pt idx="1">
                  <c:v>4.7910295616717641E-2</c:v>
                </c:pt>
                <c:pt idx="2">
                  <c:v>4.7524752475247525E-2</c:v>
                </c:pt>
                <c:pt idx="3">
                  <c:v>4.78515625E-2</c:v>
                </c:pt>
                <c:pt idx="4">
                  <c:v>4.775549188156638E-2</c:v>
                </c:pt>
                <c:pt idx="5">
                  <c:v>4.633204633204633E-2</c:v>
                </c:pt>
                <c:pt idx="6">
                  <c:v>4.5685279187817257E-2</c:v>
                </c:pt>
                <c:pt idx="7">
                  <c:v>4.5248868778280542E-2</c:v>
                </c:pt>
                <c:pt idx="8">
                  <c:v>4.6116504854368925E-2</c:v>
                </c:pt>
                <c:pt idx="9">
                  <c:v>4.6875E-2</c:v>
                </c:pt>
                <c:pt idx="10">
                  <c:v>4.6318289786223273E-2</c:v>
                </c:pt>
                <c:pt idx="11">
                  <c:v>4.7789725209080043E-2</c:v>
                </c:pt>
                <c:pt idx="12">
                  <c:v>4.7826086956521741E-2</c:v>
                </c:pt>
                <c:pt idx="13">
                  <c:v>4.7268907563025209E-2</c:v>
                </c:pt>
                <c:pt idx="14">
                  <c:v>4.7923322683706068E-2</c:v>
                </c:pt>
                <c:pt idx="15">
                  <c:v>4.8728813559322029E-2</c:v>
                </c:pt>
                <c:pt idx="16">
                  <c:v>5.0949050949050952E-2</c:v>
                </c:pt>
                <c:pt idx="17">
                  <c:v>5.1739518287243533E-2</c:v>
                </c:pt>
                <c:pt idx="18">
                  <c:v>4.8780487804878044E-2</c:v>
                </c:pt>
                <c:pt idx="19">
                  <c:v>5.029337803855826E-2</c:v>
                </c:pt>
                <c:pt idx="20">
                  <c:v>5.0748752079866885E-2</c:v>
                </c:pt>
                <c:pt idx="21">
                  <c:v>5.2591463414634151E-2</c:v>
                </c:pt>
                <c:pt idx="22">
                  <c:v>5.5834378920953574E-2</c:v>
                </c:pt>
                <c:pt idx="23">
                  <c:v>5.4708048395581278E-2</c:v>
                </c:pt>
                <c:pt idx="24">
                  <c:v>5.3820278712157617E-2</c:v>
                </c:pt>
                <c:pt idx="25">
                  <c:v>5.6550424128180968E-2</c:v>
                </c:pt>
                <c:pt idx="26">
                  <c:v>5.7118857622847539E-2</c:v>
                </c:pt>
                <c:pt idx="27">
                  <c:v>5.6092843326885883E-2</c:v>
                </c:pt>
                <c:pt idx="28">
                  <c:v>5.6307129798903108E-2</c:v>
                </c:pt>
                <c:pt idx="29">
                  <c:v>5.6445993031358881E-2</c:v>
                </c:pt>
                <c:pt idx="30">
                  <c:v>5.7907213003725026E-2</c:v>
                </c:pt>
                <c:pt idx="31">
                  <c:v>5.9076923076923075E-2</c:v>
                </c:pt>
                <c:pt idx="32">
                  <c:v>5.905184363737178E-2</c:v>
                </c:pt>
                <c:pt idx="33">
                  <c:v>5.8671491341431896E-2</c:v>
                </c:pt>
                <c:pt idx="34">
                  <c:v>6.0091277890466532E-2</c:v>
                </c:pt>
                <c:pt idx="35">
                  <c:v>5.8309037900874633E-2</c:v>
                </c:pt>
                <c:pt idx="36">
                  <c:v>5.8823529411764705E-2</c:v>
                </c:pt>
                <c:pt idx="37">
                  <c:v>5.9493376713920521E-2</c:v>
                </c:pt>
                <c:pt idx="38">
                  <c:v>6.0108059432687981E-2</c:v>
                </c:pt>
                <c:pt idx="39">
                  <c:v>6.1531747763473706E-2</c:v>
                </c:pt>
                <c:pt idx="40">
                  <c:v>6.3029551560239719E-2</c:v>
                </c:pt>
                <c:pt idx="41">
                  <c:v>6.4746810977966765E-2</c:v>
                </c:pt>
                <c:pt idx="42">
                  <c:v>6.5495207667731634E-2</c:v>
                </c:pt>
                <c:pt idx="43">
                  <c:v>6.663392272429601E-2</c:v>
                </c:pt>
                <c:pt idx="44">
                  <c:v>6.7201903062741597E-2</c:v>
                </c:pt>
                <c:pt idx="45">
                  <c:v>6.7602212926730534E-2</c:v>
                </c:pt>
                <c:pt idx="46">
                  <c:v>6.7304155939683696E-2</c:v>
                </c:pt>
                <c:pt idx="47">
                  <c:v>6.6800714924039314E-2</c:v>
                </c:pt>
                <c:pt idx="48">
                  <c:v>6.8915860933964207E-2</c:v>
                </c:pt>
                <c:pt idx="49">
                  <c:v>7.189721159103335E-2</c:v>
                </c:pt>
                <c:pt idx="50">
                  <c:v>7.0187165775401059E-2</c:v>
                </c:pt>
                <c:pt idx="51">
                  <c:v>7.0014711782800582E-2</c:v>
                </c:pt>
                <c:pt idx="52">
                  <c:v>7.1845723324005351E-2</c:v>
                </c:pt>
                <c:pt idx="53">
                  <c:v>7.3446636428220122E-2</c:v>
                </c:pt>
                <c:pt idx="54">
                  <c:v>7.4609656497718002E-2</c:v>
                </c:pt>
                <c:pt idx="55">
                  <c:v>7.5009376172021511E-2</c:v>
                </c:pt>
                <c:pt idx="56">
                  <c:v>7.5438215268723754E-2</c:v>
                </c:pt>
                <c:pt idx="57">
                  <c:v>7.4104885930950617E-2</c:v>
                </c:pt>
                <c:pt idx="58">
                  <c:v>7.2530585186524443E-2</c:v>
                </c:pt>
                <c:pt idx="59">
                  <c:v>7.4136971861915493E-2</c:v>
                </c:pt>
                <c:pt idx="60">
                  <c:v>7.5171346451470264E-2</c:v>
                </c:pt>
                <c:pt idx="61">
                  <c:v>7.5956327075642135E-2</c:v>
                </c:pt>
                <c:pt idx="62">
                  <c:v>7.6872947840689779E-2</c:v>
                </c:pt>
                <c:pt idx="63">
                  <c:v>7.8401943967981697E-2</c:v>
                </c:pt>
                <c:pt idx="64">
                  <c:v>7.8670819422348715E-2</c:v>
                </c:pt>
                <c:pt idx="65">
                  <c:v>7.8972970686519178E-2</c:v>
                </c:pt>
                <c:pt idx="66">
                  <c:v>7.8588452063848097E-2</c:v>
                </c:pt>
                <c:pt idx="67">
                  <c:v>7.8803549391784689E-2</c:v>
                </c:pt>
                <c:pt idx="68">
                  <c:v>7.9687618469937063E-2</c:v>
                </c:pt>
                <c:pt idx="69">
                  <c:v>8.059523162982675E-2</c:v>
                </c:pt>
                <c:pt idx="70">
                  <c:v>8.1938220093064784E-2</c:v>
                </c:pt>
                <c:pt idx="71">
                  <c:v>8.2269019531376955E-2</c:v>
                </c:pt>
                <c:pt idx="72">
                  <c:v>8.3648897200884101E-2</c:v>
                </c:pt>
                <c:pt idx="73">
                  <c:v>8.4708293682746502E-2</c:v>
                </c:pt>
                <c:pt idx="74">
                  <c:v>8.6580026601640422E-2</c:v>
                </c:pt>
                <c:pt idx="75">
                  <c:v>8.9261411222780571E-2</c:v>
                </c:pt>
                <c:pt idx="76">
                  <c:v>8.8692907992269504E-2</c:v>
                </c:pt>
                <c:pt idx="77">
                  <c:v>8.7172506863976915E-2</c:v>
                </c:pt>
                <c:pt idx="78">
                  <c:v>8.6251220853867994E-2</c:v>
                </c:pt>
                <c:pt idx="79">
                  <c:v>8.7428422129809058E-2</c:v>
                </c:pt>
                <c:pt idx="80">
                  <c:v>8.6361572228669456E-2</c:v>
                </c:pt>
                <c:pt idx="81">
                  <c:v>8.5287371265659398E-2</c:v>
                </c:pt>
                <c:pt idx="82">
                  <c:v>8.3596606135326504E-2</c:v>
                </c:pt>
                <c:pt idx="83">
                  <c:v>8.3497053045186648E-2</c:v>
                </c:pt>
                <c:pt idx="84">
                  <c:v>7.8428984624752632E-2</c:v>
                </c:pt>
                <c:pt idx="85">
                  <c:v>8.0815953769967794E-2</c:v>
                </c:pt>
                <c:pt idx="86">
                  <c:v>8.1718560017237929E-2</c:v>
                </c:pt>
              </c:numCache>
            </c:numRef>
          </c:val>
          <c:smooth val="0"/>
          <c:extLst>
            <c:ext xmlns:c16="http://schemas.microsoft.com/office/drawing/2014/chart" uri="{C3380CC4-5D6E-409C-BE32-E72D297353CC}">
              <c16:uniqueId val="{00000001-90D0-41D2-9CA7-320FD5C60DA7}"/>
            </c:ext>
          </c:extLst>
        </c:ser>
        <c:dLbls>
          <c:showLegendKey val="0"/>
          <c:showVal val="0"/>
          <c:showCatName val="0"/>
          <c:showSerName val="0"/>
          <c:showPercent val="0"/>
          <c:showBubbleSize val="0"/>
        </c:dLbls>
        <c:smooth val="0"/>
        <c:axId val="86613376"/>
        <c:axId val="86615168"/>
      </c:lineChart>
      <c:catAx>
        <c:axId val="86613376"/>
        <c:scaling>
          <c:orientation val="minMax"/>
        </c:scaling>
        <c:delete val="0"/>
        <c:axPos val="b"/>
        <c:numFmt formatCode="General" sourceLinked="1"/>
        <c:majorTickMark val="out"/>
        <c:minorTickMark val="none"/>
        <c:tickLblPos val="nextTo"/>
        <c:txPr>
          <a:bodyPr/>
          <a:lstStyle/>
          <a:p>
            <a:pPr>
              <a:defRPr sz="1400"/>
            </a:pPr>
            <a:endParaRPr lang="en-US"/>
          </a:p>
        </c:txPr>
        <c:crossAx val="86615168"/>
        <c:crosses val="autoZero"/>
        <c:auto val="1"/>
        <c:lblAlgn val="ctr"/>
        <c:lblOffset val="100"/>
        <c:tickLblSkip val="10"/>
        <c:tickMarkSkip val="2"/>
        <c:noMultiLvlLbl val="0"/>
      </c:catAx>
      <c:valAx>
        <c:axId val="86615168"/>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6613376"/>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6.8.II.2'!$C$12</c:f>
              <c:strCache>
                <c:ptCount val="1"/>
                <c:pt idx="0">
                  <c:v>KNCcorpbea</c:v>
                </c:pt>
              </c:strCache>
            </c:strRef>
          </c:tx>
          <c:spPr>
            <a:ln w="38100">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6.8.II.2'!$D$12:$CL$12</c:f>
              <c:numCache>
                <c:formatCode>0.0</c:formatCode>
                <c:ptCount val="87"/>
                <c:pt idx="0">
                  <c:v>98.1</c:v>
                </c:pt>
                <c:pt idx="1">
                  <c:v>101.0183856502242</c:v>
                </c:pt>
                <c:pt idx="2">
                  <c:v>102.49925882971768</c:v>
                </c:pt>
                <c:pt idx="3">
                  <c:v>104.7900247718437</c:v>
                </c:pt>
                <c:pt idx="4">
                  <c:v>103.708792215535</c:v>
                </c:pt>
                <c:pt idx="5">
                  <c:v>98.697510347294951</c:v>
                </c:pt>
                <c:pt idx="6">
                  <c:v>88.540499545236173</c:v>
                </c:pt>
                <c:pt idx="7">
                  <c:v>82.514764234995681</c:v>
                </c:pt>
                <c:pt idx="8">
                  <c:v>83.377983104170582</c:v>
                </c:pt>
                <c:pt idx="9">
                  <c:v>84.329442870283771</c:v>
                </c:pt>
                <c:pt idx="10">
                  <c:v>83.888180925207479</c:v>
                </c:pt>
                <c:pt idx="11">
                  <c:v>92.108108568649001</c:v>
                </c:pt>
                <c:pt idx="12">
                  <c:v>95.301737652225057</c:v>
                </c:pt>
                <c:pt idx="13">
                  <c:v>93.986778477851558</c:v>
                </c:pt>
                <c:pt idx="14">
                  <c:v>94.389981744804373</c:v>
                </c:pt>
                <c:pt idx="15">
                  <c:v>100.1271191385587</c:v>
                </c:pt>
                <c:pt idx="16">
                  <c:v>112.09641298920137</c:v>
                </c:pt>
                <c:pt idx="17">
                  <c:v>118.85777381507322</c:v>
                </c:pt>
                <c:pt idx="18">
                  <c:v>119.34931875046212</c:v>
                </c:pt>
                <c:pt idx="19">
                  <c:v>120.22152321319321</c:v>
                </c:pt>
                <c:pt idx="20">
                  <c:v>131.1996878155243</c:v>
                </c:pt>
                <c:pt idx="21">
                  <c:v>158.80679353617552</c:v>
                </c:pt>
                <c:pt idx="22">
                  <c:v>189.04116128281086</c:v>
                </c:pt>
                <c:pt idx="23">
                  <c:v>206.87370626777658</c:v>
                </c:pt>
                <c:pt idx="24">
                  <c:v>211.07398212509025</c:v>
                </c:pt>
                <c:pt idx="25">
                  <c:v>236.52100377753229</c:v>
                </c:pt>
                <c:pt idx="26">
                  <c:v>256.91692685714355</c:v>
                </c:pt>
                <c:pt idx="27">
                  <c:v>271.81244408967194</c:v>
                </c:pt>
                <c:pt idx="28">
                  <c:v>285.31081993684836</c:v>
                </c:pt>
                <c:pt idx="29">
                  <c:v>293.70234186346772</c:v>
                </c:pt>
                <c:pt idx="30">
                  <c:v>322.93764787479887</c:v>
                </c:pt>
                <c:pt idx="31">
                  <c:v>358.22258143301286</c:v>
                </c:pt>
                <c:pt idx="32">
                  <c:v>384.28385845799278</c:v>
                </c:pt>
                <c:pt idx="33">
                  <c:v>391.89432187692648</c:v>
                </c:pt>
                <c:pt idx="34">
                  <c:v>409.14090028312654</c:v>
                </c:pt>
                <c:pt idx="35">
                  <c:v>417.48726914484911</c:v>
                </c:pt>
                <c:pt idx="36">
                  <c:v>427.9695647057481</c:v>
                </c:pt>
                <c:pt idx="37">
                  <c:v>441.91712146768356</c:v>
                </c:pt>
                <c:pt idx="38">
                  <c:v>456.45722530905874</c:v>
                </c:pt>
                <c:pt idx="39">
                  <c:v>482.32395500404419</c:v>
                </c:pt>
                <c:pt idx="40">
                  <c:v>515.90857111993796</c:v>
                </c:pt>
                <c:pt idx="41">
                  <c:v>561.33697553753257</c:v>
                </c:pt>
                <c:pt idx="42">
                  <c:v>608.23101263008812</c:v>
                </c:pt>
                <c:pt idx="43">
                  <c:v>669.20500133816745</c:v>
                </c:pt>
                <c:pt idx="44">
                  <c:v>736.78401826374488</c:v>
                </c:pt>
                <c:pt idx="45">
                  <c:v>810.5926363043061</c:v>
                </c:pt>
                <c:pt idx="46">
                  <c:v>889.35234294382008</c:v>
                </c:pt>
                <c:pt idx="47">
                  <c:v>966.17260563347395</c:v>
                </c:pt>
                <c:pt idx="48">
                  <c:v>1089.6873794007995</c:v>
                </c:pt>
                <c:pt idx="49">
                  <c:v>1332.9789357460609</c:v>
                </c:pt>
                <c:pt idx="50">
                  <c:v>1480.5044033577967</c:v>
                </c:pt>
                <c:pt idx="51">
                  <c:v>1627.3950991459658</c:v>
                </c:pt>
                <c:pt idx="52">
                  <c:v>1811.6150211170527</c:v>
                </c:pt>
                <c:pt idx="53">
                  <c:v>2058.9907680984452</c:v>
                </c:pt>
                <c:pt idx="54">
                  <c:v>2372.3154328539517</c:v>
                </c:pt>
                <c:pt idx="55">
                  <c:v>2727.1098920262507</c:v>
                </c:pt>
                <c:pt idx="56">
                  <c:v>3085.6295752163214</c:v>
                </c:pt>
                <c:pt idx="57">
                  <c:v>3280.5613982554005</c:v>
                </c:pt>
                <c:pt idx="58">
                  <c:v>3379.5270368824099</c:v>
                </c:pt>
                <c:pt idx="59">
                  <c:v>3582.7686909099193</c:v>
                </c:pt>
                <c:pt idx="60">
                  <c:v>3784.4445483118338</c:v>
                </c:pt>
                <c:pt idx="61">
                  <c:v>3955.9887672421273</c:v>
                </c:pt>
                <c:pt idx="62">
                  <c:v>4163.9621786770704</c:v>
                </c:pt>
                <c:pt idx="63">
                  <c:v>4428.6100015091433</c:v>
                </c:pt>
                <c:pt idx="64">
                  <c:v>4696.5274073326709</c:v>
                </c:pt>
                <c:pt idx="65">
                  <c:v>4961.1194210611939</c:v>
                </c:pt>
                <c:pt idx="66">
                  <c:v>5075.5288516619039</c:v>
                </c:pt>
                <c:pt idx="67">
                  <c:v>5250.8241190748104</c:v>
                </c:pt>
                <c:pt idx="68">
                  <c:v>5500.592856221755</c:v>
                </c:pt>
                <c:pt idx="69">
                  <c:v>5805.9604432530487</c:v>
                </c:pt>
                <c:pt idx="70">
                  <c:v>6136.5991056054554</c:v>
                </c:pt>
                <c:pt idx="71">
                  <c:v>6451.600519091945</c:v>
                </c:pt>
                <c:pt idx="72">
                  <c:v>6812.1739171366289</c:v>
                </c:pt>
                <c:pt idx="73">
                  <c:v>7197.3455872759259</c:v>
                </c:pt>
                <c:pt idx="74">
                  <c:v>7621.6277461780001</c:v>
                </c:pt>
                <c:pt idx="75">
                  <c:v>8154.6271204174855</c:v>
                </c:pt>
                <c:pt idx="76">
                  <c:v>8588.950335181662</c:v>
                </c:pt>
                <c:pt idx="77">
                  <c:v>8900.8402688504684</c:v>
                </c:pt>
                <c:pt idx="78">
                  <c:v>9178.6398047285984</c:v>
                </c:pt>
                <c:pt idx="79">
                  <c:v>9904.847948333394</c:v>
                </c:pt>
                <c:pt idx="80">
                  <c:v>10780.814988175061</c:v>
                </c:pt>
                <c:pt idx="81">
                  <c:v>11684.026829024126</c:v>
                </c:pt>
                <c:pt idx="82">
                  <c:v>12317.435287381324</c:v>
                </c:pt>
                <c:pt idx="83">
                  <c:v>13141.338779693097</c:v>
                </c:pt>
                <c:pt idx="84">
                  <c:v>12704.129066712618</c:v>
                </c:pt>
                <c:pt idx="85">
                  <c:v>12996.264490139092</c:v>
                </c:pt>
                <c:pt idx="86">
                  <c:v>13531.219575411427</c:v>
                </c:pt>
              </c:numCache>
            </c:numRef>
          </c:val>
          <c:smooth val="0"/>
          <c:extLst>
            <c:ext xmlns:c16="http://schemas.microsoft.com/office/drawing/2014/chart" uri="{C3380CC4-5D6E-409C-BE32-E72D297353CC}">
              <c16:uniqueId val="{00000000-C000-4E3C-BAF8-EC44B0E96F4D}"/>
            </c:ext>
          </c:extLst>
        </c:ser>
        <c:ser>
          <c:idx val="1"/>
          <c:order val="1"/>
          <c:tx>
            <c:strRef>
              <c:f>'Appndx 6.8.II.2'!$C$13</c:f>
              <c:strCache>
                <c:ptCount val="1"/>
                <c:pt idx="0">
                  <c:v>KNCcorp1'</c:v>
                </c:pt>
              </c:strCache>
            </c:strRef>
          </c:tx>
          <c:spPr>
            <a:ln w="31750">
              <a:solidFill>
                <a:schemeClr val="tx1"/>
              </a:solidFill>
              <a:prstDash val="dash"/>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6.8.II.2'!$D$13:$CL$13</c:f>
              <c:numCache>
                <c:formatCode>0.0</c:formatCode>
                <c:ptCount val="87"/>
                <c:pt idx="0">
                  <c:v>77.769000000000005</c:v>
                </c:pt>
                <c:pt idx="1">
                  <c:v>81.595465174641049</c:v>
                </c:pt>
                <c:pt idx="2">
                  <c:v>84.118280062114735</c:v>
                </c:pt>
                <c:pt idx="3">
                  <c:v>87.253543147125058</c:v>
                </c:pt>
                <c:pt idx="4">
                  <c:v>87.64183904737861</c:v>
                </c:pt>
                <c:pt idx="5">
                  <c:v>84.398435557131876</c:v>
                </c:pt>
                <c:pt idx="6">
                  <c:v>76.2924608506288</c:v>
                </c:pt>
                <c:pt idx="7">
                  <c:v>71.432279525744136</c:v>
                </c:pt>
                <c:pt idx="8">
                  <c:v>72.475040281505457</c:v>
                </c:pt>
                <c:pt idx="9">
                  <c:v>73.655148348806009</c:v>
                </c:pt>
                <c:pt idx="10">
                  <c:v>73.674791884765327</c:v>
                </c:pt>
                <c:pt idx="11">
                  <c:v>81.393118189652895</c:v>
                </c:pt>
                <c:pt idx="12">
                  <c:v>84.843415698076257</c:v>
                </c:pt>
                <c:pt idx="13">
                  <c:v>84.122688987971443</c:v>
                </c:pt>
                <c:pt idx="14">
                  <c:v>84.945363602768452</c:v>
                </c:pt>
                <c:pt idx="15">
                  <c:v>90.6687790920043</c:v>
                </c:pt>
                <c:pt idx="16">
                  <c:v>102.14976428600539</c:v>
                </c:pt>
                <c:pt idx="17">
                  <c:v>108.77258091389854</c:v>
                </c:pt>
                <c:pt idx="18">
                  <c:v>109.60424699799069</c:v>
                </c:pt>
                <c:pt idx="19">
                  <c:v>110.87881421900948</c:v>
                </c:pt>
                <c:pt idx="20">
                  <c:v>121.63330960140186</c:v>
                </c:pt>
                <c:pt idx="21">
                  <c:v>148.10242880213488</c:v>
                </c:pt>
                <c:pt idx="22">
                  <c:v>177.35710814832896</c:v>
                </c:pt>
                <c:pt idx="23">
                  <c:v>195.1876416278055</c:v>
                </c:pt>
                <c:pt idx="24">
                  <c:v>200.06576850119629</c:v>
                </c:pt>
                <c:pt idx="25">
                  <c:v>225.11397241642078</c:v>
                </c:pt>
                <c:pt idx="26">
                  <c:v>245.57278904920742</c:v>
                </c:pt>
                <c:pt idx="27">
                  <c:v>260.81291233442727</c:v>
                </c:pt>
                <c:pt idx="28">
                  <c:v>274.7686350634624</c:v>
                </c:pt>
                <c:pt idx="29">
                  <c:v>283.74058250624608</c:v>
                </c:pt>
                <c:pt idx="30">
                  <c:v>312.88650453735102</c:v>
                </c:pt>
                <c:pt idx="31">
                  <c:v>348.07542231795543</c:v>
                </c:pt>
                <c:pt idx="32">
                  <c:v>374.38706861905035</c:v>
                </c:pt>
                <c:pt idx="33">
                  <c:v>382.57929963290468</c:v>
                </c:pt>
                <c:pt idx="34">
                  <c:v>400.19319381240575</c:v>
                </c:pt>
                <c:pt idx="35">
                  <c:v>409.13558593046338</c:v>
                </c:pt>
                <c:pt idx="36">
                  <c:v>420.1123503111782</c:v>
                </c:pt>
                <c:pt idx="37">
                  <c:v>434.50700047258152</c:v>
                </c:pt>
                <c:pt idx="38">
                  <c:v>449.48072625378961</c:v>
                </c:pt>
                <c:pt idx="39">
                  <c:v>475.65670155458702</c:v>
                </c:pt>
                <c:pt idx="40">
                  <c:v>509.53872881071021</c:v>
                </c:pt>
                <c:pt idx="41">
                  <c:v>555.19396444100357</c:v>
                </c:pt>
                <c:pt idx="42">
                  <c:v>602.28505042711936</c:v>
                </c:pt>
                <c:pt idx="43">
                  <c:v>663.35705170435483</c:v>
                </c:pt>
                <c:pt idx="44">
                  <c:v>731.03762035709917</c:v>
                </c:pt>
                <c:pt idx="45">
                  <c:v>804.90544584559484</c:v>
                </c:pt>
                <c:pt idx="46">
                  <c:v>883.70612850584757</c:v>
                </c:pt>
                <c:pt idx="47">
                  <c:v>960.6494269680768</c:v>
                </c:pt>
                <c:pt idx="48">
                  <c:v>1084.1143822534202</c:v>
                </c:pt>
                <c:pt idx="49">
                  <c:v>1326.8326678280309</c:v>
                </c:pt>
                <c:pt idx="50">
                  <c:v>1474.2957705025356</c:v>
                </c:pt>
                <c:pt idx="51">
                  <c:v>1621.1936344168278</c:v>
                </c:pt>
                <c:pt idx="52">
                  <c:v>1805.387567919852</c:v>
                </c:pt>
                <c:pt idx="53">
                  <c:v>2052.6630228432177</c:v>
                </c:pt>
                <c:pt idx="54">
                  <c:v>2365.8222722057571</c:v>
                </c:pt>
                <c:pt idx="55">
                  <c:v>2720.4246051988362</c:v>
                </c:pt>
                <c:pt idx="56">
                  <c:v>3078.8606467764976</c:v>
                </c:pt>
                <c:pt idx="57">
                  <c:v>3274.0824064103826</c:v>
                </c:pt>
                <c:pt idx="58">
                  <c:v>3373.4918873917541</c:v>
                </c:pt>
                <c:pt idx="59">
                  <c:v>3577.0556248255957</c:v>
                </c:pt>
                <c:pt idx="60">
                  <c:v>3779.0676614125887</c:v>
                </c:pt>
                <c:pt idx="61">
                  <c:v>3950.9397349911192</c:v>
                </c:pt>
                <c:pt idx="62">
                  <c:v>4159.1624419380487</c:v>
                </c:pt>
                <c:pt idx="63">
                  <c:v>4424.0045523362614</c:v>
                </c:pt>
                <c:pt idx="64">
                  <c:v>4692.1336700264119</c:v>
                </c:pt>
                <c:pt idx="65">
                  <c:v>4956.9478793495327</c:v>
                </c:pt>
                <c:pt idx="66">
                  <c:v>5071.6667336668397</c:v>
                </c:pt>
                <c:pt idx="67">
                  <c:v>5247.2055020177477</c:v>
                </c:pt>
                <c:pt idx="68">
                  <c:v>5497.1779741034561</c:v>
                </c:pt>
                <c:pt idx="69">
                  <c:v>5802.7289096214245</c:v>
                </c:pt>
                <c:pt idx="70">
                  <c:v>6133.559128383522</c:v>
                </c:pt>
                <c:pt idx="71">
                  <c:v>6448.7687018149099</c:v>
                </c:pt>
                <c:pt idx="72">
                  <c:v>6809.5349784855607</c:v>
                </c:pt>
                <c:pt idx="73">
                  <c:v>7194.8948515646316</c:v>
                </c:pt>
                <c:pt idx="74">
                  <c:v>7619.3547604093201</c:v>
                </c:pt>
                <c:pt idx="75">
                  <c:v>8152.5046805264819</c:v>
                </c:pt>
                <c:pt idx="76">
                  <c:v>8586.9729661450147</c:v>
                </c:pt>
                <c:pt idx="77">
                  <c:v>8898.9948656294837</c:v>
                </c:pt>
                <c:pt idx="78">
                  <c:v>9176.9217016725379</c:v>
                </c:pt>
                <c:pt idx="79">
                  <c:v>9903.1736075897788</c:v>
                </c:pt>
                <c:pt idx="80">
                  <c:v>10779.172635853365</c:v>
                </c:pt>
                <c:pt idx="81">
                  <c:v>11682.428623110332</c:v>
                </c:pt>
                <c:pt idx="82">
                  <c:v>12315.927618659171</c:v>
                </c:pt>
                <c:pt idx="83">
                  <c:v>13139.890793363138</c:v>
                </c:pt>
                <c:pt idx="84">
                  <c:v>12702.844927443679</c:v>
                </c:pt>
                <c:pt idx="85">
                  <c:v>12995.058361192147</c:v>
                </c:pt>
                <c:pt idx="86">
                  <c:v>13530.073533118904</c:v>
                </c:pt>
              </c:numCache>
            </c:numRef>
          </c:val>
          <c:smooth val="0"/>
          <c:extLst>
            <c:ext xmlns:c16="http://schemas.microsoft.com/office/drawing/2014/chart" uri="{C3380CC4-5D6E-409C-BE32-E72D297353CC}">
              <c16:uniqueId val="{00000001-C000-4E3C-BAF8-EC44B0E96F4D}"/>
            </c:ext>
          </c:extLst>
        </c:ser>
        <c:ser>
          <c:idx val="2"/>
          <c:order val="2"/>
          <c:tx>
            <c:strRef>
              <c:f>'Appndx 6.8.II.2'!$C$14</c:f>
              <c:strCache>
                <c:ptCount val="1"/>
                <c:pt idx="0">
                  <c:v>KNCcorp2'</c:v>
                </c:pt>
              </c:strCache>
            </c:strRef>
          </c:tx>
          <c:spPr>
            <a:ln>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6.8.II.2'!$D$14:$CL$14</c:f>
              <c:numCache>
                <c:formatCode>0.0</c:formatCode>
                <c:ptCount val="87"/>
                <c:pt idx="0">
                  <c:v>67.099999999999994</c:v>
                </c:pt>
                <c:pt idx="1">
                  <c:v>71.402993650663035</c:v>
                </c:pt>
                <c:pt idx="2">
                  <c:v>74.472583221253188</c:v>
                </c:pt>
                <c:pt idx="3">
                  <c:v>78.051008965130876</c:v>
                </c:pt>
                <c:pt idx="4">
                  <c:v>79.210462167192645</c:v>
                </c:pt>
                <c:pt idx="5">
                  <c:v>76.894779616142728</c:v>
                </c:pt>
                <c:pt idx="6">
                  <c:v>69.865117147280884</c:v>
                </c:pt>
                <c:pt idx="7">
                  <c:v>65.616577919182461</c:v>
                </c:pt>
                <c:pt idx="8">
                  <c:v>66.753555997652484</c:v>
                </c:pt>
                <c:pt idx="9">
                  <c:v>68.053650722046541</c:v>
                </c:pt>
                <c:pt idx="10">
                  <c:v>68.315161385897696</c:v>
                </c:pt>
                <c:pt idx="11">
                  <c:v>75.770264795648174</c:v>
                </c:pt>
                <c:pt idx="12">
                  <c:v>79.35525294519573</c:v>
                </c:pt>
                <c:pt idx="13">
                  <c:v>78.946358715602585</c:v>
                </c:pt>
                <c:pt idx="14">
                  <c:v>79.98915726971147</c:v>
                </c:pt>
                <c:pt idx="15">
                  <c:v>85.705371981843001</c:v>
                </c:pt>
                <c:pt idx="16">
                  <c:v>96.93010981675161</c:v>
                </c:pt>
                <c:pt idx="17">
                  <c:v>103.48022327961426</c:v>
                </c:pt>
                <c:pt idx="18">
                  <c:v>104.49037308489648</c:v>
                </c:pt>
                <c:pt idx="19">
                  <c:v>105.97608625388494</c:v>
                </c:pt>
                <c:pt idx="20">
                  <c:v>116.61320782743731</c:v>
                </c:pt>
                <c:pt idx="21">
                  <c:v>142.4851513761607</c:v>
                </c:pt>
                <c:pt idx="22">
                  <c:v>171.22572440469662</c:v>
                </c:pt>
                <c:pt idx="23">
                  <c:v>189.05520231621961</c:v>
                </c:pt>
                <c:pt idx="24">
                  <c:v>194.28904177091613</c:v>
                </c:pt>
                <c:pt idx="25">
                  <c:v>219.12796004163843</c:v>
                </c:pt>
                <c:pt idx="26">
                  <c:v>239.61978101847248</c:v>
                </c:pt>
                <c:pt idx="27">
                  <c:v>255.04074154613812</c:v>
                </c:pt>
                <c:pt idx="28">
                  <c:v>269.23646397428064</c:v>
                </c:pt>
                <c:pt idx="29">
                  <c:v>278.51299849256264</c:v>
                </c:pt>
                <c:pt idx="30">
                  <c:v>307.61201492704009</c:v>
                </c:pt>
                <c:pt idx="31">
                  <c:v>342.75054697495466</c:v>
                </c:pt>
                <c:pt idx="32">
                  <c:v>369.19357834352644</c:v>
                </c:pt>
                <c:pt idx="33">
                  <c:v>377.6911007090215</c:v>
                </c:pt>
                <c:pt idx="34">
                  <c:v>395.49774940061485</c:v>
                </c:pt>
                <c:pt idx="35">
                  <c:v>404.75291374442816</c:v>
                </c:pt>
                <c:pt idx="36">
                  <c:v>415.98915812310747</c:v>
                </c:pt>
                <c:pt idx="37">
                  <c:v>430.61842731352669</c:v>
                </c:pt>
                <c:pt idx="38">
                  <c:v>445.81970277138998</c:v>
                </c:pt>
                <c:pt idx="39">
                  <c:v>472.1579593848827</c:v>
                </c:pt>
                <c:pt idx="40">
                  <c:v>506.19605763874864</c:v>
                </c:pt>
                <c:pt idx="41">
                  <c:v>551.97032638144594</c:v>
                </c:pt>
                <c:pt idx="42">
                  <c:v>599.16481675718319</c:v>
                </c:pt>
                <c:pt idx="43">
                  <c:v>660.28825161369787</c:v>
                </c:pt>
                <c:pt idx="44">
                  <c:v>728.02211107245978</c:v>
                </c:pt>
                <c:pt idx="45">
                  <c:v>801.92100656548109</c:v>
                </c:pt>
                <c:pt idx="46">
                  <c:v>880.74319201286971</c:v>
                </c:pt>
                <c:pt idx="47">
                  <c:v>957.75105535914827</c:v>
                </c:pt>
                <c:pt idx="48">
                  <c:v>1081.1898676419701</c:v>
                </c:pt>
                <c:pt idx="49">
                  <c:v>1323.607320702092</c:v>
                </c:pt>
                <c:pt idx="50">
                  <c:v>1471.0376964317677</c:v>
                </c:pt>
                <c:pt idx="51">
                  <c:v>1617.9393219287469</c:v>
                </c:pt>
                <c:pt idx="52">
                  <c:v>1802.1196175897685</c:v>
                </c:pt>
                <c:pt idx="53">
                  <c:v>2049.3424427375653</c:v>
                </c:pt>
                <c:pt idx="54">
                  <c:v>2362.4148878687552</c:v>
                </c:pt>
                <c:pt idx="55">
                  <c:v>2716.9163997410778</c:v>
                </c:pt>
                <c:pt idx="56">
                  <c:v>3075.3085491165457</c:v>
                </c:pt>
                <c:pt idx="57">
                  <c:v>3270.6824573673202</c:v>
                </c:pt>
                <c:pt idx="58">
                  <c:v>3370.3248513425774</c:v>
                </c:pt>
                <c:pt idx="59">
                  <c:v>3574.0576069192634</c:v>
                </c:pt>
                <c:pt idx="60">
                  <c:v>3776.2460586223647</c:v>
                </c:pt>
                <c:pt idx="61">
                  <c:v>3948.2901788902877</c:v>
                </c:pt>
                <c:pt idx="62">
                  <c:v>4156.6437074307141</c:v>
                </c:pt>
                <c:pt idx="63">
                  <c:v>4421.5877731701867</c:v>
                </c:pt>
                <c:pt idx="64">
                  <c:v>4689.8279898670262</c:v>
                </c:pt>
                <c:pt idx="65">
                  <c:v>4954.7587996917828</c:v>
                </c:pt>
                <c:pt idx="66">
                  <c:v>5069.6400287881161</c:v>
                </c:pt>
                <c:pt idx="67">
                  <c:v>5245.3065779421095</c:v>
                </c:pt>
                <c:pt idx="68">
                  <c:v>5495.3859630208672</c:v>
                </c:pt>
                <c:pt idx="69">
                  <c:v>5801.0331134325606</c:v>
                </c:pt>
                <c:pt idx="70">
                  <c:v>6131.9638543202291</c:v>
                </c:pt>
                <c:pt idx="71">
                  <c:v>6447.282662833617</c:v>
                </c:pt>
                <c:pt idx="72">
                  <c:v>6808.1501554828437</c:v>
                </c:pt>
                <c:pt idx="73">
                  <c:v>7193.6087909033849</c:v>
                </c:pt>
                <c:pt idx="74">
                  <c:v>7618.1619767210577</c:v>
                </c:pt>
                <c:pt idx="75">
                  <c:v>8151.3908980663409</c:v>
                </c:pt>
                <c:pt idx="76">
                  <c:v>8585.9353118116305</c:v>
                </c:pt>
                <c:pt idx="77">
                  <c:v>8898.0264623554322</c:v>
                </c:pt>
                <c:pt idx="78">
                  <c:v>9176.0201010869696</c:v>
                </c:pt>
                <c:pt idx="79">
                  <c:v>9902.2949719400949</c:v>
                </c:pt>
                <c:pt idx="80">
                  <c:v>10778.310786612294</c:v>
                </c:pt>
                <c:pt idx="81">
                  <c:v>11681.589940365051</c:v>
                </c:pt>
                <c:pt idx="82">
                  <c:v>12315.136446675662</c:v>
                </c:pt>
                <c:pt idx="83">
                  <c:v>13139.130940618346</c:v>
                </c:pt>
                <c:pt idx="84">
                  <c:v>12702.171055924307</c:v>
                </c:pt>
                <c:pt idx="85">
                  <c:v>12994.425426770084</c:v>
                </c:pt>
                <c:pt idx="86">
                  <c:v>13529.47213007828</c:v>
                </c:pt>
              </c:numCache>
            </c:numRef>
          </c:val>
          <c:smooth val="0"/>
          <c:extLst>
            <c:ext xmlns:c16="http://schemas.microsoft.com/office/drawing/2014/chart" uri="{C3380CC4-5D6E-409C-BE32-E72D297353CC}">
              <c16:uniqueId val="{00000002-C000-4E3C-BAF8-EC44B0E96F4D}"/>
            </c:ext>
          </c:extLst>
        </c:ser>
        <c:dLbls>
          <c:showLegendKey val="0"/>
          <c:showVal val="0"/>
          <c:showCatName val="0"/>
          <c:showSerName val="0"/>
          <c:showPercent val="0"/>
          <c:showBubbleSize val="0"/>
        </c:dLbls>
        <c:smooth val="0"/>
        <c:axId val="86787200"/>
        <c:axId val="86788736"/>
      </c:lineChart>
      <c:catAx>
        <c:axId val="86787200"/>
        <c:scaling>
          <c:orientation val="minMax"/>
        </c:scaling>
        <c:delete val="0"/>
        <c:axPos val="b"/>
        <c:numFmt formatCode="General" sourceLinked="1"/>
        <c:majorTickMark val="out"/>
        <c:minorTickMark val="none"/>
        <c:tickLblPos val="nextTo"/>
        <c:txPr>
          <a:bodyPr/>
          <a:lstStyle/>
          <a:p>
            <a:pPr>
              <a:defRPr sz="1400" b="1"/>
            </a:pPr>
            <a:endParaRPr lang="en-US"/>
          </a:p>
        </c:txPr>
        <c:crossAx val="86788736"/>
        <c:crosses val="autoZero"/>
        <c:auto val="1"/>
        <c:lblAlgn val="ctr"/>
        <c:lblOffset val="100"/>
        <c:tickLblSkip val="6"/>
        <c:tickMarkSkip val="2"/>
        <c:noMultiLvlLbl val="0"/>
      </c:catAx>
      <c:valAx>
        <c:axId val="86788736"/>
        <c:scaling>
          <c:logBase val="10"/>
          <c:orientation val="minMax"/>
        </c:scaling>
        <c:delete val="0"/>
        <c:axPos val="l"/>
        <c:majorGridlines/>
        <c:numFmt formatCode="0" sourceLinked="0"/>
        <c:majorTickMark val="out"/>
        <c:minorTickMark val="none"/>
        <c:tickLblPos val="nextTo"/>
        <c:txPr>
          <a:bodyPr/>
          <a:lstStyle/>
          <a:p>
            <a:pPr>
              <a:defRPr sz="1400" b="1"/>
            </a:pPr>
            <a:endParaRPr lang="en-US"/>
          </a:p>
        </c:txPr>
        <c:crossAx val="86787200"/>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6.8.II.3'!$C$33</c:f>
              <c:strCache>
                <c:ptCount val="1"/>
                <c:pt idx="0">
                  <c:v>dcorpnew</c:v>
                </c:pt>
              </c:strCache>
            </c:strRef>
          </c:tx>
          <c:spPr>
            <a:ln w="22225">
              <a:solidFill>
                <a:schemeClr val="tx1"/>
              </a:solidFill>
            </a:ln>
          </c:spPr>
          <c:marker>
            <c:symbol val="none"/>
          </c:marker>
          <c:cat>
            <c:numRef>
              <c:f>'Appndx 6.8.II.3'!$D$27:$CL$27</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6.8.II.3'!$D$33:$CL$33</c:f>
              <c:numCache>
                <c:formatCode>0.00%</c:formatCode>
                <c:ptCount val="87"/>
                <c:pt idx="1">
                  <c:v>6.6049929709174782E-2</c:v>
                </c:pt>
                <c:pt idx="2">
                  <c:v>6.5824524109211247E-2</c:v>
                </c:pt>
                <c:pt idx="3">
                  <c:v>6.6445845763565894E-2</c:v>
                </c:pt>
                <c:pt idx="4">
                  <c:v>6.8551620797895396E-2</c:v>
                </c:pt>
                <c:pt idx="5">
                  <c:v>6.970828750457933E-2</c:v>
                </c:pt>
                <c:pt idx="6">
                  <c:v>7.121587016761978E-2</c:v>
                </c:pt>
                <c:pt idx="7">
                  <c:v>6.906157557055527E-2</c:v>
                </c:pt>
                <c:pt idx="8">
                  <c:v>6.7209523185601402E-2</c:v>
                </c:pt>
                <c:pt idx="9">
                  <c:v>6.9225173996983025E-2</c:v>
                </c:pt>
                <c:pt idx="10">
                  <c:v>7.0204756415016903E-2</c:v>
                </c:pt>
                <c:pt idx="11">
                  <c:v>6.8334579143431273E-2</c:v>
                </c:pt>
                <c:pt idx="12">
                  <c:v>7.2803417724872962E-2</c:v>
                </c:pt>
                <c:pt idx="13">
                  <c:v>7.3941651547819162E-2</c:v>
                </c:pt>
                <c:pt idx="14">
                  <c:v>7.329074778531619E-2</c:v>
                </c:pt>
                <c:pt idx="15">
                  <c:v>7.3017324143840351E-2</c:v>
                </c:pt>
                <c:pt idx="16">
                  <c:v>7.3403490015436917E-2</c:v>
                </c:pt>
                <c:pt idx="17">
                  <c:v>7.4947950543224895E-2</c:v>
                </c:pt>
                <c:pt idx="18">
                  <c:v>7.5103563276306434E-2</c:v>
                </c:pt>
                <c:pt idx="19">
                  <c:v>7.6272507468479522E-2</c:v>
                </c:pt>
                <c:pt idx="20">
                  <c:v>7.2847077395107943E-2</c:v>
                </c:pt>
                <c:pt idx="21">
                  <c:v>7.1996327156450601E-2</c:v>
                </c:pt>
                <c:pt idx="22">
                  <c:v>7.3508986391594464E-2</c:v>
                </c:pt>
                <c:pt idx="23">
                  <c:v>7.642112974974527E-2</c:v>
                </c:pt>
                <c:pt idx="24">
                  <c:v>7.6315702967042362E-2</c:v>
                </c:pt>
                <c:pt idx="25">
                  <c:v>7.4391667382168972E-2</c:v>
                </c:pt>
                <c:pt idx="26">
                  <c:v>7.8050561427527282E-2</c:v>
                </c:pt>
                <c:pt idx="27">
                  <c:v>7.857565674264036E-2</c:v>
                </c:pt>
                <c:pt idx="28">
                  <c:v>7.9630793282467333E-2</c:v>
                </c:pt>
                <c:pt idx="29">
                  <c:v>7.9876950995476259E-2</c:v>
                </c:pt>
                <c:pt idx="30">
                  <c:v>7.7949714542413562E-2</c:v>
                </c:pt>
                <c:pt idx="31">
                  <c:v>7.9390857539786225E-2</c:v>
                </c:pt>
                <c:pt idx="32">
                  <c:v>8.0915146831279788E-2</c:v>
                </c:pt>
                <c:pt idx="33">
                  <c:v>8.0202068868963708E-2</c:v>
                </c:pt>
                <c:pt idx="34">
                  <c:v>8.0987916407248076E-2</c:v>
                </c:pt>
                <c:pt idx="35">
                  <c:v>8.2450784201881108E-2</c:v>
                </c:pt>
                <c:pt idx="36">
                  <c:v>8.2476284806088818E-2</c:v>
                </c:pt>
                <c:pt idx="37">
                  <c:v>8.2795051098936492E-2</c:v>
                </c:pt>
                <c:pt idx="38">
                  <c:v>8.3399965781208479E-2</c:v>
                </c:pt>
                <c:pt idx="39">
                  <c:v>8.3859896412534982E-2</c:v>
                </c:pt>
                <c:pt idx="40">
                  <c:v>8.4132710438443378E-2</c:v>
                </c:pt>
                <c:pt idx="41">
                  <c:v>8.3569527585901721E-2</c:v>
                </c:pt>
                <c:pt idx="42">
                  <c:v>8.3385994171420785E-2</c:v>
                </c:pt>
                <c:pt idx="43">
                  <c:v>8.3120595054895857E-2</c:v>
                </c:pt>
                <c:pt idx="44">
                  <c:v>8.2238699330592774E-2</c:v>
                </c:pt>
                <c:pt idx="45">
                  <c:v>8.0884933299328735E-2</c:v>
                </c:pt>
                <c:pt idx="46">
                  <c:v>8.0348810557192327E-2</c:v>
                </c:pt>
                <c:pt idx="47">
                  <c:v>8.076126099468349E-2</c:v>
                </c:pt>
                <c:pt idx="48">
                  <c:v>7.8403592123954494E-2</c:v>
                </c:pt>
                <c:pt idx="49">
                  <c:v>7.670800418793923E-2</c:v>
                </c:pt>
                <c:pt idx="50">
                  <c:v>8.0202523438716922E-2</c:v>
                </c:pt>
                <c:pt idx="51">
                  <c:v>8.179460308954585E-2</c:v>
                </c:pt>
                <c:pt idx="52">
                  <c:v>8.3151396046815249E-2</c:v>
                </c:pt>
                <c:pt idx="53">
                  <c:v>8.4245850262998384E-2</c:v>
                </c:pt>
                <c:pt idx="54">
                  <c:v>8.546240944679255E-2</c:v>
                </c:pt>
                <c:pt idx="55">
                  <c:v>8.4359849720818128E-2</c:v>
                </c:pt>
                <c:pt idx="56">
                  <c:v>8.7185367070587091E-2</c:v>
                </c:pt>
                <c:pt idx="57">
                  <c:v>9.0476816243933611E-2</c:v>
                </c:pt>
                <c:pt idx="58">
                  <c:v>8.9846638564901049E-2</c:v>
                </c:pt>
                <c:pt idx="59">
                  <c:v>9.0707526613913972E-2</c:v>
                </c:pt>
                <c:pt idx="60">
                  <c:v>9.1427092017891495E-2</c:v>
                </c:pt>
                <c:pt idx="61">
                  <c:v>9.1145877688815991E-2</c:v>
                </c:pt>
                <c:pt idx="62">
                  <c:v>9.0834375252056565E-2</c:v>
                </c:pt>
                <c:pt idx="63">
                  <c:v>9.1016288977030235E-2</c:v>
                </c:pt>
                <c:pt idx="64">
                  <c:v>9.2807440816164918E-2</c:v>
                </c:pt>
                <c:pt idx="65">
                  <c:v>9.0586018584727257E-2</c:v>
                </c:pt>
                <c:pt idx="66">
                  <c:v>9.0945937876831917E-2</c:v>
                </c:pt>
                <c:pt idx="67">
                  <c:v>9.1305857168936577E-2</c:v>
                </c:pt>
                <c:pt idx="68">
                  <c:v>9.1665776461041237E-2</c:v>
                </c:pt>
                <c:pt idx="69">
                  <c:v>9.2025695753145897E-2</c:v>
                </c:pt>
                <c:pt idx="70">
                  <c:v>9.2385615045250558E-2</c:v>
                </c:pt>
                <c:pt idx="71">
                  <c:v>9.2745534337355218E-2</c:v>
                </c:pt>
                <c:pt idx="72">
                  <c:v>9.3105453629459878E-2</c:v>
                </c:pt>
                <c:pt idx="73">
                  <c:v>9.3465372921564538E-2</c:v>
                </c:pt>
                <c:pt idx="74">
                  <c:v>9.3825292213669198E-2</c:v>
                </c:pt>
                <c:pt idx="75">
                  <c:v>9.4185211505773969E-2</c:v>
                </c:pt>
                <c:pt idx="76">
                  <c:v>9.4545130797878629E-2</c:v>
                </c:pt>
                <c:pt idx="77">
                  <c:v>9.4905050089983289E-2</c:v>
                </c:pt>
                <c:pt idx="78">
                  <c:v>9.526496938208795E-2</c:v>
                </c:pt>
                <c:pt idx="79">
                  <c:v>9.562488867419261E-2</c:v>
                </c:pt>
                <c:pt idx="80">
                  <c:v>9.598480796629727E-2</c:v>
                </c:pt>
                <c:pt idx="81">
                  <c:v>9.634472725840193E-2</c:v>
                </c:pt>
                <c:pt idx="82">
                  <c:v>9.670464655050659E-2</c:v>
                </c:pt>
                <c:pt idx="83">
                  <c:v>9.706456584261125E-2</c:v>
                </c:pt>
                <c:pt idx="84">
                  <c:v>9.742448513471591E-2</c:v>
                </c:pt>
                <c:pt idx="85">
                  <c:v>9.778440442682057E-2</c:v>
                </c:pt>
                <c:pt idx="86">
                  <c:v>9.814432371892523E-2</c:v>
                </c:pt>
              </c:numCache>
            </c:numRef>
          </c:val>
          <c:smooth val="0"/>
          <c:extLst>
            <c:ext xmlns:c16="http://schemas.microsoft.com/office/drawing/2014/chart" uri="{C3380CC4-5D6E-409C-BE32-E72D297353CC}">
              <c16:uniqueId val="{00000000-4A43-496D-900F-E432A492C650}"/>
            </c:ext>
          </c:extLst>
        </c:ser>
        <c:ser>
          <c:idx val="1"/>
          <c:order val="1"/>
          <c:tx>
            <c:strRef>
              <c:f>'Appndx 6.8.II.3'!$C$43</c:f>
              <c:strCache>
                <c:ptCount val="1"/>
                <c:pt idx="0">
                  <c:v>ρ corpnew</c:v>
                </c:pt>
              </c:strCache>
            </c:strRef>
          </c:tx>
          <c:spPr>
            <a:ln w="31750">
              <a:solidFill>
                <a:schemeClr val="tx1"/>
              </a:solidFill>
              <a:prstDash val="dash"/>
            </a:ln>
          </c:spPr>
          <c:marker>
            <c:symbol val="none"/>
          </c:marker>
          <c:cat>
            <c:numRef>
              <c:f>'Appndx 6.8.II.3'!$D$27:$CL$27</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6.8.II.3'!$D$43:$CL$43</c:f>
              <c:numCache>
                <c:formatCode>0.00%</c:formatCode>
                <c:ptCount val="87"/>
                <c:pt idx="1">
                  <c:v>2.173881735212212E-2</c:v>
                </c:pt>
                <c:pt idx="2">
                  <c:v>2.3220979458267146E-2</c:v>
                </c:pt>
                <c:pt idx="3">
                  <c:v>2.3317883617391191E-2</c:v>
                </c:pt>
                <c:pt idx="4">
                  <c:v>2.3830121952977092E-2</c:v>
                </c:pt>
                <c:pt idx="5">
                  <c:v>2.5078571627239674E-2</c:v>
                </c:pt>
                <c:pt idx="6">
                  <c:v>2.6354820343160387E-2</c:v>
                </c:pt>
                <c:pt idx="7">
                  <c:v>2.6141564884613135E-2</c:v>
                </c:pt>
                <c:pt idx="8">
                  <c:v>2.6509966521794392E-2</c:v>
                </c:pt>
                <c:pt idx="9">
                  <c:v>2.8018921130113263E-2</c:v>
                </c:pt>
                <c:pt idx="10">
                  <c:v>2.9425659624302238E-2</c:v>
                </c:pt>
                <c:pt idx="11">
                  <c:v>2.888995370425354E-2</c:v>
                </c:pt>
                <c:pt idx="12">
                  <c:v>3.125344777875666E-2</c:v>
                </c:pt>
                <c:pt idx="13">
                  <c:v>3.2591030044232208E-2</c:v>
                </c:pt>
                <c:pt idx="14">
                  <c:v>3.2672530353105154E-2</c:v>
                </c:pt>
                <c:pt idx="15">
                  <c:v>3.2228658033566594E-2</c:v>
                </c:pt>
                <c:pt idx="16">
                  <c:v>3.2413783346711994E-2</c:v>
                </c:pt>
                <c:pt idx="17">
                  <c:v>3.3235190575232942E-2</c:v>
                </c:pt>
                <c:pt idx="18">
                  <c:v>3.3871045734622657E-2</c:v>
                </c:pt>
                <c:pt idx="19">
                  <c:v>3.4684952284561782E-2</c:v>
                </c:pt>
                <c:pt idx="20">
                  <c:v>3.3668091527991981E-2</c:v>
                </c:pt>
                <c:pt idx="21">
                  <c:v>3.1951826248717799E-2</c:v>
                </c:pt>
                <c:pt idx="22">
                  <c:v>3.2311952411090195E-2</c:v>
                </c:pt>
                <c:pt idx="23">
                  <c:v>3.368184955999165E-2</c:v>
                </c:pt>
                <c:pt idx="24">
                  <c:v>3.3406428479668848E-2</c:v>
                </c:pt>
                <c:pt idx="25">
                  <c:v>3.1551458867176814E-2</c:v>
                </c:pt>
                <c:pt idx="26">
                  <c:v>3.2781997532363195E-2</c:v>
                </c:pt>
                <c:pt idx="27">
                  <c:v>3.19942784567252E-2</c:v>
                </c:pt>
                <c:pt idx="28">
                  <c:v>3.2310638155613532E-2</c:v>
                </c:pt>
                <c:pt idx="29">
                  <c:v>3.3043627574278277E-2</c:v>
                </c:pt>
                <c:pt idx="30">
                  <c:v>3.2124908037106208E-2</c:v>
                </c:pt>
                <c:pt idx="31">
                  <c:v>3.2855964289669519E-2</c:v>
                </c:pt>
                <c:pt idx="32">
                  <c:v>3.3633313524109754E-2</c:v>
                </c:pt>
                <c:pt idx="33">
                  <c:v>3.3169960610180772E-2</c:v>
                </c:pt>
                <c:pt idx="34">
                  <c:v>3.360862559915373E-2</c:v>
                </c:pt>
                <c:pt idx="35">
                  <c:v>3.4431557913868427E-2</c:v>
                </c:pt>
                <c:pt idx="36">
                  <c:v>3.4387434888909711E-2</c:v>
                </c:pt>
                <c:pt idx="37">
                  <c:v>3.4548297033788804E-2</c:v>
                </c:pt>
                <c:pt idx="38">
                  <c:v>3.4683231626111054E-2</c:v>
                </c:pt>
                <c:pt idx="39">
                  <c:v>3.5045491519169955E-2</c:v>
                </c:pt>
                <c:pt idx="40">
                  <c:v>3.4895001259998983E-2</c:v>
                </c:pt>
                <c:pt idx="41">
                  <c:v>3.4447204906748317E-2</c:v>
                </c:pt>
                <c:pt idx="42">
                  <c:v>3.3611957723605194E-2</c:v>
                </c:pt>
                <c:pt idx="43">
                  <c:v>3.3193144482118749E-2</c:v>
                </c:pt>
                <c:pt idx="44">
                  <c:v>3.2342716063355675E-2</c:v>
                </c:pt>
                <c:pt idx="45">
                  <c:v>3.1081685341950202E-2</c:v>
                </c:pt>
                <c:pt idx="46">
                  <c:v>3.0336114764955509E-2</c:v>
                </c:pt>
                <c:pt idx="47">
                  <c:v>3.1162214710801099E-2</c:v>
                </c:pt>
                <c:pt idx="48">
                  <c:v>2.9144751586026415E-2</c:v>
                </c:pt>
                <c:pt idx="49">
                  <c:v>2.7988980955260499E-2</c:v>
                </c:pt>
                <c:pt idx="50">
                  <c:v>2.9510326695687955E-2</c:v>
                </c:pt>
                <c:pt idx="51">
                  <c:v>2.9831840379571574E-2</c:v>
                </c:pt>
                <c:pt idx="52">
                  <c:v>3.0429316472086812E-2</c:v>
                </c:pt>
                <c:pt idx="53">
                  <c:v>3.0403445703022801E-2</c:v>
                </c:pt>
                <c:pt idx="54">
                  <c:v>3.1106350926664632E-2</c:v>
                </c:pt>
                <c:pt idx="55">
                  <c:v>3.0867931837313945E-2</c:v>
                </c:pt>
                <c:pt idx="56">
                  <c:v>3.1855944974915153E-2</c:v>
                </c:pt>
                <c:pt idx="57">
                  <c:v>3.3712956480541435E-2</c:v>
                </c:pt>
                <c:pt idx="58">
                  <c:v>3.4064060557756001E-2</c:v>
                </c:pt>
                <c:pt idx="59">
                  <c:v>3.442437996475111E-2</c:v>
                </c:pt>
                <c:pt idx="60">
                  <c:v>3.497736148805488E-2</c:v>
                </c:pt>
                <c:pt idx="61">
                  <c:v>3.5243354788499333E-2</c:v>
                </c:pt>
                <c:pt idx="62">
                  <c:v>3.5378887687871126E-2</c:v>
                </c:pt>
                <c:pt idx="63">
                  <c:v>3.563032832287049E-2</c:v>
                </c:pt>
                <c:pt idx="64">
                  <c:v>3.6908592846382801E-2</c:v>
                </c:pt>
                <c:pt idx="65">
                  <c:v>3.495169836130585E-2</c:v>
                </c:pt>
                <c:pt idx="66">
                  <c:v>3.505443442475778E-2</c:v>
                </c:pt>
                <c:pt idx="67">
                  <c:v>3.5157170488209738E-2</c:v>
                </c:pt>
                <c:pt idx="68">
                  <c:v>3.5259906551661696E-2</c:v>
                </c:pt>
                <c:pt idx="69">
                  <c:v>3.5362642615113626E-2</c:v>
                </c:pt>
                <c:pt idx="70">
                  <c:v>3.5465378678565584E-2</c:v>
                </c:pt>
                <c:pt idx="71">
                  <c:v>3.5568114742017543E-2</c:v>
                </c:pt>
                <c:pt idx="72">
                  <c:v>3.5670850805469473E-2</c:v>
                </c:pt>
                <c:pt idx="73">
                  <c:v>3.5773586868921431E-2</c:v>
                </c:pt>
                <c:pt idx="74">
                  <c:v>3.5876322932373389E-2</c:v>
                </c:pt>
                <c:pt idx="75">
                  <c:v>3.5979058995825319E-2</c:v>
                </c:pt>
                <c:pt idx="76">
                  <c:v>3.6081795059277277E-2</c:v>
                </c:pt>
                <c:pt idx="77">
                  <c:v>3.6184531122729208E-2</c:v>
                </c:pt>
                <c:pt idx="78">
                  <c:v>3.6287267186181166E-2</c:v>
                </c:pt>
                <c:pt idx="79">
                  <c:v>3.6390003249633124E-2</c:v>
                </c:pt>
                <c:pt idx="80">
                  <c:v>3.6492739313085054E-2</c:v>
                </c:pt>
                <c:pt idx="81">
                  <c:v>3.6595475376537012E-2</c:v>
                </c:pt>
                <c:pt idx="82">
                  <c:v>3.669821143998897E-2</c:v>
                </c:pt>
                <c:pt idx="83">
                  <c:v>3.6800947503440901E-2</c:v>
                </c:pt>
                <c:pt idx="84">
                  <c:v>3.6903683566892859E-2</c:v>
                </c:pt>
                <c:pt idx="85">
                  <c:v>3.7006419630344817E-2</c:v>
                </c:pt>
                <c:pt idx="86">
                  <c:v>3.7109155693796747E-2</c:v>
                </c:pt>
              </c:numCache>
            </c:numRef>
          </c:val>
          <c:smooth val="0"/>
          <c:extLst>
            <c:ext xmlns:c16="http://schemas.microsoft.com/office/drawing/2014/chart" uri="{C3380CC4-5D6E-409C-BE32-E72D297353CC}">
              <c16:uniqueId val="{00000001-4A43-496D-900F-E432A492C650}"/>
            </c:ext>
          </c:extLst>
        </c:ser>
        <c:ser>
          <c:idx val="2"/>
          <c:order val="2"/>
          <c:tx>
            <c:strRef>
              <c:f>'Appndx 6.8.II.1'!$C$26</c:f>
              <c:strCache>
                <c:ptCount val="1"/>
                <c:pt idx="0">
                  <c:v>dcorpstar</c:v>
                </c:pt>
              </c:strCache>
            </c:strRef>
          </c:tx>
          <c:spPr>
            <a:ln w="38100">
              <a:solidFill>
                <a:schemeClr val="tx1"/>
              </a:solidFill>
            </a:ln>
          </c:spPr>
          <c:marker>
            <c:symbol val="none"/>
          </c:marker>
          <c:cat>
            <c:numRef>
              <c:f>'Appndx 6.8.II.3'!$D$27:$CL$27</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6.8.II.1'!$D$26:$CL$26</c:f>
              <c:numCache>
                <c:formatCode>0.00%</c:formatCode>
                <c:ptCount val="87"/>
                <c:pt idx="1">
                  <c:v>4.775530475274864E-2</c:v>
                </c:pt>
                <c:pt idx="2">
                  <c:v>4.781740470852016E-2</c:v>
                </c:pt>
                <c:pt idx="3">
                  <c:v>4.7760460216130951E-2</c:v>
                </c:pt>
                <c:pt idx="4">
                  <c:v>4.9541095201228728E-2</c:v>
                </c:pt>
                <c:pt idx="5">
                  <c:v>4.9484184717893877E-2</c:v>
                </c:pt>
                <c:pt idx="6">
                  <c:v>5.06350081450457E-2</c:v>
                </c:pt>
                <c:pt idx="7">
                  <c:v>4.7626058300829693E-2</c:v>
                </c:pt>
                <c:pt idx="8">
                  <c:v>4.4776957550883012E-2</c:v>
                </c:pt>
                <c:pt idx="9">
                  <c:v>4.5691420699778093E-2</c:v>
                </c:pt>
                <c:pt idx="10">
                  <c:v>4.6173338805279546E-2</c:v>
                </c:pt>
                <c:pt idx="11">
                  <c:v>4.356791337006951E-2</c:v>
                </c:pt>
                <c:pt idx="12">
                  <c:v>4.6711004531157667E-2</c:v>
                </c:pt>
                <c:pt idx="13">
                  <c:v>4.7724687620226483E-2</c:v>
                </c:pt>
                <c:pt idx="14">
                  <c:v>4.7666010730131617E-2</c:v>
                </c:pt>
                <c:pt idx="15">
                  <c:v>4.6400364641930293E-2</c:v>
                </c:pt>
                <c:pt idx="16">
                  <c:v>4.6209090580060078E-2</c:v>
                </c:pt>
                <c:pt idx="17">
                  <c:v>4.8551243131343312E-2</c:v>
                </c:pt>
                <c:pt idx="18">
                  <c:v>4.805695742453385E-2</c:v>
                </c:pt>
                <c:pt idx="19">
                  <c:v>4.9844551137118331E-2</c:v>
                </c:pt>
                <c:pt idx="20">
                  <c:v>4.722179132260991E-2</c:v>
                </c:pt>
                <c:pt idx="21">
                  <c:v>4.4890561829081278E-2</c:v>
                </c:pt>
                <c:pt idx="22">
                  <c:v>4.8663487555552283E-2</c:v>
                </c:pt>
                <c:pt idx="23">
                  <c:v>5.186185886683653E-2</c:v>
                </c:pt>
                <c:pt idx="24">
                  <c:v>5.4046451919362255E-2</c:v>
                </c:pt>
                <c:pt idx="25">
                  <c:v>5.1749161266229554E-2</c:v>
                </c:pt>
                <c:pt idx="26">
                  <c:v>5.4315871849150016E-2</c:v>
                </c:pt>
                <c:pt idx="27">
                  <c:v>5.4686557349924052E-2</c:v>
                </c:pt>
                <c:pt idx="28">
                  <c:v>5.5489854653546264E-2</c:v>
                </c:pt>
                <c:pt idx="29">
                  <c:v>5.6367722417040529E-2</c:v>
                </c:pt>
                <c:pt idx="30">
                  <c:v>5.4277160664420038E-2</c:v>
                </c:pt>
                <c:pt idx="31">
                  <c:v>5.5282878733243654E-2</c:v>
                </c:pt>
                <c:pt idx="32">
                  <c:v>5.7089229317195213E-2</c:v>
                </c:pt>
                <c:pt idx="33">
                  <c:v>5.8678061713841753E-2</c:v>
                </c:pt>
                <c:pt idx="34">
                  <c:v>5.8874999672196247E-2</c:v>
                </c:pt>
                <c:pt idx="35">
                  <c:v>5.8797220006677246E-2</c:v>
                </c:pt>
                <c:pt idx="36">
                  <c:v>5.884602968823896E-2</c:v>
                </c:pt>
                <c:pt idx="37">
                  <c:v>5.9339621908614699E-2</c:v>
                </c:pt>
                <c:pt idx="38">
                  <c:v>6.0012607308286461E-2</c:v>
                </c:pt>
                <c:pt idx="39">
                  <c:v>6.0491000890141138E-2</c:v>
                </c:pt>
                <c:pt idx="40">
                  <c:v>6.1889436322316152E-2</c:v>
                </c:pt>
                <c:pt idx="41">
                  <c:v>6.2913717038401776E-2</c:v>
                </c:pt>
                <c:pt idx="42">
                  <c:v>6.3377248724566071E-2</c:v>
                </c:pt>
                <c:pt idx="43">
                  <c:v>6.3451812082607487E-2</c:v>
                </c:pt>
                <c:pt idx="44">
                  <c:v>6.4011777118760188E-2</c:v>
                </c:pt>
                <c:pt idx="45">
                  <c:v>6.3938606788237706E-2</c:v>
                </c:pt>
                <c:pt idx="46">
                  <c:v>6.348854584066034E-2</c:v>
                </c:pt>
                <c:pt idx="47">
                  <c:v>6.3923525242360821E-2</c:v>
                </c:pt>
                <c:pt idx="48">
                  <c:v>6.3933180308977225E-2</c:v>
                </c:pt>
                <c:pt idx="49">
                  <c:v>6.1201460476166786E-2</c:v>
                </c:pt>
                <c:pt idx="50">
                  <c:v>6.496802669149522E-2</c:v>
                </c:pt>
                <c:pt idx="51">
                  <c:v>6.5504089074271146E-2</c:v>
                </c:pt>
                <c:pt idx="52">
                  <c:v>6.6768858261923247E-2</c:v>
                </c:pt>
                <c:pt idx="53">
                  <c:v>6.7409974540737258E-2</c:v>
                </c:pt>
                <c:pt idx="54">
                  <c:v>6.7780688324620114E-2</c:v>
                </c:pt>
                <c:pt idx="55">
                  <c:v>6.7906469246860696E-2</c:v>
                </c:pt>
                <c:pt idx="56">
                  <c:v>6.9339812539959536E-2</c:v>
                </c:pt>
                <c:pt idx="57">
                  <c:v>7.1857790045396649E-2</c:v>
                </c:pt>
                <c:pt idx="58">
                  <c:v>7.2239766902068722E-2</c:v>
                </c:pt>
                <c:pt idx="59">
                  <c:v>7.2628546193948235E-2</c:v>
                </c:pt>
                <c:pt idx="60">
                  <c:v>7.3963709189541635E-2</c:v>
                </c:pt>
                <c:pt idx="61">
                  <c:v>7.4835182389830182E-2</c:v>
                </c:pt>
                <c:pt idx="62">
                  <c:v>7.4815663869798099E-2</c:v>
                </c:pt>
                <c:pt idx="63">
                  <c:v>7.5537330630151028E-2</c:v>
                </c:pt>
                <c:pt idx="64">
                  <c:v>7.6179671296006349E-2</c:v>
                </c:pt>
                <c:pt idx="65">
                  <c:v>7.679192697226031E-2</c:v>
                </c:pt>
                <c:pt idx="66">
                  <c:v>7.8243122480981128E-2</c:v>
                </c:pt>
                <c:pt idx="67">
                  <c:v>7.7581256709050556E-2</c:v>
                </c:pt>
                <c:pt idx="68">
                  <c:v>7.786664927654828E-2</c:v>
                </c:pt>
                <c:pt idx="69">
                  <c:v>7.8483689438927029E-2</c:v>
                </c:pt>
                <c:pt idx="70">
                  <c:v>8.0122564624024714E-2</c:v>
                </c:pt>
                <c:pt idx="71">
                  <c:v>8.1149574109317904E-2</c:v>
                </c:pt>
                <c:pt idx="72">
                  <c:v>8.2369075892617744E-2</c:v>
                </c:pt>
                <c:pt idx="73">
                  <c:v>8.3588984537018352E-2</c:v>
                </c:pt>
                <c:pt idx="74">
                  <c:v>8.5380363385917604E-2</c:v>
                </c:pt>
                <c:pt idx="75">
                  <c:v>8.7252103623465721E-2</c:v>
                </c:pt>
                <c:pt idx="76">
                  <c:v>8.6924692477156409E-2</c:v>
                </c:pt>
                <c:pt idx="77">
                  <c:v>8.5426858096803879E-2</c:v>
                </c:pt>
                <c:pt idx="78">
                  <c:v>8.4787040452854859E-2</c:v>
                </c:pt>
                <c:pt idx="79">
                  <c:v>8.23276383047052E-2</c:v>
                </c:pt>
                <c:pt idx="80">
                  <c:v>8.0919229114421842E-2</c:v>
                </c:pt>
                <c:pt idx="81">
                  <c:v>8.058085428813605E-2</c:v>
                </c:pt>
                <c:pt idx="82">
                  <c:v>8.1403011481933643E-2</c:v>
                </c:pt>
                <c:pt idx="83">
                  <c:v>7.9984825483645272E-2</c:v>
                </c:pt>
                <c:pt idx="84">
                  <c:v>8.125050016128349E-2</c:v>
                </c:pt>
                <c:pt idx="85">
                  <c:v>7.922613555008734E-2</c:v>
                </c:pt>
                <c:pt idx="86">
                  <c:v>7.9192264222240266E-2</c:v>
                </c:pt>
              </c:numCache>
            </c:numRef>
          </c:val>
          <c:smooth val="0"/>
          <c:extLst>
            <c:ext xmlns:c16="http://schemas.microsoft.com/office/drawing/2014/chart" uri="{C3380CC4-5D6E-409C-BE32-E72D297353CC}">
              <c16:uniqueId val="{00000002-4A43-496D-900F-E432A492C650}"/>
            </c:ext>
          </c:extLst>
        </c:ser>
        <c:dLbls>
          <c:showLegendKey val="0"/>
          <c:showVal val="0"/>
          <c:showCatName val="0"/>
          <c:showSerName val="0"/>
          <c:showPercent val="0"/>
          <c:showBubbleSize val="0"/>
        </c:dLbls>
        <c:smooth val="0"/>
        <c:axId val="87055360"/>
        <c:axId val="87065344"/>
      </c:lineChart>
      <c:catAx>
        <c:axId val="87055360"/>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065344"/>
        <c:crosses val="autoZero"/>
        <c:auto val="1"/>
        <c:lblAlgn val="ctr"/>
        <c:lblOffset val="100"/>
        <c:tickLblSkip val="6"/>
        <c:tickMarkSkip val="2"/>
        <c:noMultiLvlLbl val="0"/>
      </c:catAx>
      <c:valAx>
        <c:axId val="87065344"/>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7055360"/>
        <c:crosses val="autoZero"/>
        <c:crossBetween val="between"/>
        <c:majorUnit val="1.0000000000000002E-2"/>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6.8.II.3'!$C$36</c:f>
              <c:strCache>
                <c:ptCount val="1"/>
                <c:pt idx="0">
                  <c:v>KNCcorpnew</c:v>
                </c:pt>
              </c:strCache>
            </c:strRef>
          </c:tx>
          <c:spPr>
            <a:ln w="28575">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6.8.II.3'!$D$36:$CL$36</c:f>
              <c:numCache>
                <c:formatCode>0.00</c:formatCode>
                <c:ptCount val="87"/>
                <c:pt idx="0" formatCode="General">
                  <c:v>98.1</c:v>
                </c:pt>
                <c:pt idx="1">
                  <c:v>99.217858195936429</c:v>
                </c:pt>
                <c:pt idx="2">
                  <c:v>99.019627296985533</c:v>
                </c:pt>
                <c:pt idx="3">
                  <c:v>99.616512529043263</c:v>
                </c:pt>
                <c:pt idx="4">
                  <c:v>97.143306198933473</c:v>
                </c:pt>
                <c:pt idx="5">
                  <c:v>91.014948588541444</c:v>
                </c:pt>
                <c:pt idx="6">
                  <c:v>80.269853676411216</c:v>
                </c:pt>
                <c:pt idx="7">
                  <c:v>73.396430554841146</c:v>
                </c:pt>
                <c:pt idx="8">
                  <c:v>72.711645021547469</c:v>
                </c:pt>
                <c:pt idx="9">
                  <c:v>72.131287345782155</c:v>
                </c:pt>
                <c:pt idx="10">
                  <c:v>70.477870924469187</c:v>
                </c:pt>
                <c:pt idx="11">
                  <c:v>76.124545364773908</c:v>
                </c:pt>
                <c:pt idx="12">
                  <c:v>77.667357737124263</c:v>
                </c:pt>
                <c:pt idx="13">
                  <c:v>75.337612010267563</c:v>
                </c:pt>
                <c:pt idx="14">
                  <c:v>74.592945052020639</c:v>
                </c:pt>
                <c:pt idx="15">
                  <c:v>78.21624970067333</c:v>
                </c:pt>
                <c:pt idx="16">
                  <c:v>86.709115931619351</c:v>
                </c:pt>
                <c:pt idx="17">
                  <c:v>90.677724954009676</c:v>
                </c:pt>
                <c:pt idx="18">
                  <c:v>89.630187375613019</c:v>
                </c:pt>
                <c:pt idx="19">
                  <c:v>89.339388351482427</c:v>
                </c:pt>
                <c:pt idx="20">
                  <c:v>97.117881838007477</c:v>
                </c:pt>
                <c:pt idx="21">
                  <c:v>117.58667447330498</c:v>
                </c:pt>
                <c:pt idx="22">
                  <c:v>140.69647873779036</c:v>
                </c:pt>
                <c:pt idx="23">
                  <c:v>154.87566462906798</c:v>
                </c:pt>
                <c:pt idx="24">
                  <c:v>158.65755876192284</c:v>
                </c:pt>
                <c:pt idx="25">
                  <c:v>178.27987389261469</c:v>
                </c:pt>
                <c:pt idx="26">
                  <c:v>194.54713301645211</c:v>
                </c:pt>
                <c:pt idx="27">
                  <c:v>206.57021645538194</c:v>
                </c:pt>
                <c:pt idx="28">
                  <c:v>217.72103683250782</c:v>
                </c:pt>
                <c:pt idx="29">
                  <c:v>224.7083169767935</c:v>
                </c:pt>
                <c:pt idx="30">
                  <c:v>247.64937746986703</c:v>
                </c:pt>
                <c:pt idx="31">
                  <c:v>275.83503582089088</c:v>
                </c:pt>
                <c:pt idx="32">
                  <c:v>297.13117321445196</c:v>
                </c:pt>
                <c:pt idx="33">
                  <c:v>303.47003604050599</c:v>
                </c:pt>
                <c:pt idx="34">
                  <c:v>317.35417634019149</c:v>
                </c:pt>
                <c:pt idx="35">
                  <c:v>324.37039656524973</c:v>
                </c:pt>
                <c:pt idx="36">
                  <c:v>332.70373477863131</c:v>
                </c:pt>
                <c:pt idx="37">
                  <c:v>344.24820522851928</c:v>
                </c:pt>
                <c:pt idx="38">
                  <c:v>356.43979064551581</c:v>
                </c:pt>
                <c:pt idx="39">
                  <c:v>378.26705429792287</c:v>
                </c:pt>
                <c:pt idx="40">
                  <c:v>407.92451710566718</c:v>
                </c:pt>
                <c:pt idx="41">
                  <c:v>448.52673565370759</c:v>
                </c:pt>
                <c:pt idx="42">
                  <c:v>489.76500986934911</c:v>
                </c:pt>
                <c:pt idx="43">
                  <c:v>542.5755977050926</c:v>
                </c:pt>
                <c:pt idx="44">
                  <c:v>601.97123839362325</c:v>
                </c:pt>
                <c:pt idx="45">
                  <c:v>666.38316885386689</c:v>
                </c:pt>
                <c:pt idx="46">
                  <c:v>734.27126512481334</c:v>
                </c:pt>
                <c:pt idx="47">
                  <c:v>801.5509317069542</c:v>
                </c:pt>
                <c:pt idx="48">
                  <c:v>911.07810442664447</c:v>
                </c:pt>
                <c:pt idx="49">
                  <c:v>1119.4002091383829</c:v>
                </c:pt>
                <c:pt idx="50">
                  <c:v>1246.3350626177721</c:v>
                </c:pt>
                <c:pt idx="51">
                  <c:v>1371.7945796442411</c:v>
                </c:pt>
                <c:pt idx="52">
                  <c:v>1530.7610776651879</c:v>
                </c:pt>
                <c:pt idx="53">
                  <c:v>1745.534123388127</c:v>
                </c:pt>
                <c:pt idx="54">
                  <c:v>2016.6909991822536</c:v>
                </c:pt>
                <c:pt idx="55">
                  <c:v>2324.3107808387954</c:v>
                </c:pt>
                <c:pt idx="56">
                  <c:v>2632.6642857672027</c:v>
                </c:pt>
                <c:pt idx="57">
                  <c:v>2796.4476801585879</c:v>
                </c:pt>
                <c:pt idx="58">
                  <c:v>2879.1425462791017</c:v>
                </c:pt>
                <c:pt idx="59">
                  <c:v>3055.9556510066691</c:v>
                </c:pt>
                <c:pt idx="60">
                  <c:v>3234.3925764121927</c:v>
                </c:pt>
                <c:pt idx="61">
                  <c:v>3385.930564230764</c:v>
                </c:pt>
                <c:pt idx="62">
                  <c:v>3566.3208582436987</c:v>
                </c:pt>
                <c:pt idx="63">
                  <c:v>3797.8640814398691</c:v>
                </c:pt>
                <c:pt idx="64">
                  <c:v>4029.5617163650886</c:v>
                </c:pt>
                <c:pt idx="65">
                  <c:v>4270.7199937880623</c:v>
                </c:pt>
                <c:pt idx="66">
                  <c:v>4381.8501341100437</c:v>
                </c:pt>
                <c:pt idx="67">
                  <c:v>4539.7942040172484</c:v>
                </c:pt>
                <c:pt idx="68">
                  <c:v>4765.4850593252513</c:v>
                </c:pt>
                <c:pt idx="69">
                  <c:v>5044.0508583870978</c:v>
                </c:pt>
                <c:pt idx="70">
                  <c:v>5356.5962667691019</c:v>
                </c:pt>
                <c:pt idx="71">
                  <c:v>5662.0359922931439</c:v>
                </c:pt>
                <c:pt idx="72">
                  <c:v>6014.6533336805433</c:v>
                </c:pt>
                <c:pt idx="73">
                  <c:v>6396.5038121419111</c:v>
                </c:pt>
                <c:pt idx="74">
                  <c:v>6824.093381728645</c:v>
                </c:pt>
                <c:pt idx="75">
                  <c:v>7361.5138565113502</c:v>
                </c:pt>
                <c:pt idx="76">
                  <c:v>7792.8080402407068</c:v>
                </c:pt>
                <c:pt idx="77">
                  <c:v>8082.4599303635523</c:v>
                </c:pt>
                <c:pt idx="78">
                  <c:v>8330.5633259191945</c:v>
                </c:pt>
                <c:pt idx="79">
                  <c:v>8960.7362777544949</c:v>
                </c:pt>
                <c:pt idx="80">
                  <c:v>9710.6624352242743</c:v>
                </c:pt>
                <c:pt idx="81">
                  <c:v>10480.62144776589</c:v>
                </c:pt>
                <c:pt idx="82">
                  <c:v>11017.509730425731</c:v>
                </c:pt>
                <c:pt idx="83">
                  <c:v>11696.432675412227</c:v>
                </c:pt>
                <c:pt idx="84">
                  <c:v>11240.112971330878</c:v>
                </c:pt>
                <c:pt idx="85">
                  <c:v>11408.403152251991</c:v>
                </c:pt>
                <c:pt idx="86">
                  <c:v>11799.351856005873</c:v>
                </c:pt>
              </c:numCache>
            </c:numRef>
          </c:val>
          <c:smooth val="0"/>
          <c:extLst>
            <c:ext xmlns:c16="http://schemas.microsoft.com/office/drawing/2014/chart" uri="{C3380CC4-5D6E-409C-BE32-E72D297353CC}">
              <c16:uniqueId val="{00000000-4CEC-46E9-AF16-935E9DCEF1D1}"/>
            </c:ext>
          </c:extLst>
        </c:ser>
        <c:ser>
          <c:idx val="1"/>
          <c:order val="1"/>
          <c:tx>
            <c:strRef>
              <c:f>'Appndx 6.8.II.3'!$C$44</c:f>
              <c:strCache>
                <c:ptCount val="1"/>
                <c:pt idx="0">
                  <c:v>KGCcorpnew</c:v>
                </c:pt>
              </c:strCache>
            </c:strRef>
          </c:tx>
          <c:spPr>
            <a:ln w="38100">
              <a:solidFill>
                <a:schemeClr val="tx1"/>
              </a:solidFill>
              <a:prstDash val="solid"/>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6.8.II.3'!$D$44:$CL$44</c:f>
              <c:numCache>
                <c:formatCode>General</c:formatCode>
                <c:ptCount val="87"/>
                <c:pt idx="0">
                  <c:v>98.1</c:v>
                </c:pt>
                <c:pt idx="1">
                  <c:v>103.57888634048325</c:v>
                </c:pt>
                <c:pt idx="2">
                  <c:v>107.45447964918465</c:v>
                </c:pt>
                <c:pt idx="3">
                  <c:v>112.14905682068812</c:v>
                </c:pt>
                <c:pt idx="4">
                  <c:v>113.23068259542862</c:v>
                </c:pt>
                <c:pt idx="5">
                  <c:v>109.75912023967132</c:v>
                </c:pt>
                <c:pt idx="6">
                  <c:v>100.41991283187753</c:v>
                </c:pt>
                <c:pt idx="7">
                  <c:v>95.313486597636384</c:v>
                </c:pt>
                <c:pt idx="8">
                  <c:v>97.762536722701824</c:v>
                </c:pt>
                <c:pt idx="9">
                  <c:v>100.18479698993251</c:v>
                </c:pt>
                <c:pt idx="10">
                  <c:v>100.74204665214876</c:v>
                </c:pt>
                <c:pt idx="11">
                  <c:v>111.41167890536339</c:v>
                </c:pt>
                <c:pt idx="12">
                  <c:v>115.90617095297895</c:v>
                </c:pt>
                <c:pt idx="13">
                  <c:v>115.15781883209442</c:v>
                </c:pt>
                <c:pt idx="14">
                  <c:v>116.39665875055979</c:v>
                </c:pt>
                <c:pt idx="15">
                  <c:v>123.89808519809283</c:v>
                </c:pt>
                <c:pt idx="16">
                  <c:v>138.97914700396248</c:v>
                </c:pt>
                <c:pt idx="17">
                  <c:v>148.38334434956755</c:v>
                </c:pt>
                <c:pt idx="18">
                  <c:v>150.01578974825117</c:v>
                </c:pt>
                <c:pt idx="19">
                  <c:v>151.91646815507062</c:v>
                </c:pt>
                <c:pt idx="20">
                  <c:v>165.8662435600788</c:v>
                </c:pt>
                <c:pt idx="21">
                  <c:v>200.11143392440735</c:v>
                </c:pt>
                <c:pt idx="22">
                  <c:v>237.88039792077836</c:v>
                </c:pt>
                <c:pt idx="23">
                  <c:v>260.28335749358502</c:v>
                </c:pt>
                <c:pt idx="24">
                  <c:v>266.73537553463984</c:v>
                </c:pt>
                <c:pt idx="25">
                  <c:v>300.08624575034855</c:v>
                </c:pt>
                <c:pt idx="26">
                  <c:v>326.92719075812226</c:v>
                </c:pt>
                <c:pt idx="27">
                  <c:v>347.30547256703608</c:v>
                </c:pt>
                <c:pt idx="28">
                  <c:v>365.8337780451572</c:v>
                </c:pt>
                <c:pt idx="29">
                  <c:v>378.33650358434903</c:v>
                </c:pt>
                <c:pt idx="30">
                  <c:v>417.27273423603208</c:v>
                </c:pt>
                <c:pt idx="31">
                  <c:v>463.4592103751736</c:v>
                </c:pt>
                <c:pt idx="32">
                  <c:v>498.16847553344473</c:v>
                </c:pt>
                <c:pt idx="33">
                  <c:v>511.79031555819751</c:v>
                </c:pt>
                <c:pt idx="34">
                  <c:v>537.50730465597451</c:v>
                </c:pt>
                <c:pt idx="35">
                  <c:v>550.29093197993814</c:v>
                </c:pt>
                <c:pt idx="36">
                  <c:v>566.364665405496</c:v>
                </c:pt>
                <c:pt idx="37">
                  <c:v>586.51453749537325</c:v>
                </c:pt>
                <c:pt idx="38">
                  <c:v>607.47283456323885</c:v>
                </c:pt>
                <c:pt idx="39">
                  <c:v>642.36893247503258</c:v>
                </c:pt>
                <c:pt idx="40">
                  <c:v>686.47413076543762</c:v>
                </c:pt>
                <c:pt idx="41">
                  <c:v>745.93956380455052</c:v>
                </c:pt>
                <c:pt idx="42">
                  <c:v>809.85721587579587</c:v>
                </c:pt>
                <c:pt idx="43">
                  <c:v>893.24175799915008</c:v>
                </c:pt>
                <c:pt idx="44">
                  <c:v>986.62820727459837</c:v>
                </c:pt>
                <c:pt idx="45">
                  <c:v>1092.1376336457031</c:v>
                </c:pt>
                <c:pt idx="46">
                  <c:v>1207.2518478232798</c:v>
                </c:pt>
                <c:pt idx="47">
                  <c:v>1318.4761572915809</c:v>
                </c:pt>
                <c:pt idx="48">
                  <c:v>1494.6111201780454</c:v>
                </c:pt>
                <c:pt idx="49">
                  <c:v>1837.8704097417888</c:v>
                </c:pt>
                <c:pt idx="50">
                  <c:v>2060.920662518738</c:v>
                </c:pt>
                <c:pt idx="51">
                  <c:v>2285.7213574476286</c:v>
                </c:pt>
                <c:pt idx="52">
                  <c:v>2562.0779353140197</c:v>
                </c:pt>
                <c:pt idx="53">
                  <c:v>2924.8440665358517</c:v>
                </c:pt>
                <c:pt idx="54">
                  <c:v>3378.8771902393978</c:v>
                </c:pt>
                <c:pt idx="55">
                  <c:v>3901.6938305492677</c:v>
                </c:pt>
                <c:pt idx="56">
                  <c:v>4434.0223244620893</c:v>
                </c:pt>
                <c:pt idx="57">
                  <c:v>4745.6219650864896</c:v>
                </c:pt>
                <c:pt idx="58">
                  <c:v>4926.120654737414</c:v>
                </c:pt>
                <c:pt idx="59">
                  <c:v>5238.9308486310838</c:v>
                </c:pt>
                <c:pt idx="60">
                  <c:v>5550.7332424766573</c:v>
                </c:pt>
                <c:pt idx="61">
                  <c:v>5837.6344139645826</c:v>
                </c:pt>
                <c:pt idx="62">
                  <c:v>6189.2497521983096</c:v>
                </c:pt>
                <c:pt idx="63">
                  <c:v>6628.2775811120755</c:v>
                </c:pt>
                <c:pt idx="64">
                  <c:v>7063.8882251810937</c:v>
                </c:pt>
                <c:pt idx="65">
                  <c:v>7512.709526494662</c:v>
                </c:pt>
                <c:pt idx="66">
                  <c:v>7763.7511046242798</c:v>
                </c:pt>
                <c:pt idx="67">
                  <c:v>8104.1171292335221</c:v>
                </c:pt>
                <c:pt idx="68">
                  <c:v>8546.605005696425</c:v>
                </c:pt>
                <c:pt idx="69">
                  <c:v>9066.8829048279858</c:v>
                </c:pt>
                <c:pt idx="70">
                  <c:v>9618.3000068525398</c:v>
                </c:pt>
                <c:pt idx="71">
                  <c:v>10139.358840857944</c:v>
                </c:pt>
                <c:pt idx="72">
                  <c:v>10729.601375992072</c:v>
                </c:pt>
                <c:pt idx="73">
                  <c:v>11355.301358675688</c:v>
                </c:pt>
                <c:pt idx="74">
                  <c:v>12048.04196614783</c:v>
                </c:pt>
                <c:pt idx="75">
                  <c:v>12919.833757105986</c:v>
                </c:pt>
                <c:pt idx="76">
                  <c:v>13698.694432673914</c:v>
                </c:pt>
                <c:pt idx="77">
                  <c:v>14357.909595323243</c:v>
                </c:pt>
                <c:pt idx="78">
                  <c:v>14967.64858230883</c:v>
                </c:pt>
                <c:pt idx="79">
                  <c:v>16276.581924738161</c:v>
                </c:pt>
                <c:pt idx="80">
                  <c:v>17802.561780235526</c:v>
                </c:pt>
                <c:pt idx="81">
                  <c:v>19345.817633501916</c:v>
                </c:pt>
                <c:pt idx="82">
                  <c:v>20433.34760866933</c:v>
                </c:pt>
                <c:pt idx="83">
                  <c:v>21857.113597314688</c:v>
                </c:pt>
                <c:pt idx="84">
                  <c:v>21369.302972332294</c:v>
                </c:pt>
                <c:pt idx="85">
                  <c:v>22055.347086788079</c:v>
                </c:pt>
                <c:pt idx="86">
                  <c:v>23096.765403907255</c:v>
                </c:pt>
              </c:numCache>
            </c:numRef>
          </c:val>
          <c:smooth val="0"/>
          <c:extLst>
            <c:ext xmlns:c16="http://schemas.microsoft.com/office/drawing/2014/chart" uri="{C3380CC4-5D6E-409C-BE32-E72D297353CC}">
              <c16:uniqueId val="{00000001-4CEC-46E9-AF16-935E9DCEF1D1}"/>
            </c:ext>
          </c:extLst>
        </c:ser>
        <c:ser>
          <c:idx val="2"/>
          <c:order val="2"/>
          <c:tx>
            <c:strRef>
              <c:f>'Appndx 6.8.II.2'!$C$12</c:f>
              <c:strCache>
                <c:ptCount val="1"/>
                <c:pt idx="0">
                  <c:v>KNCcorpbea</c:v>
                </c:pt>
              </c:strCache>
            </c:strRef>
          </c:tx>
          <c:spPr>
            <a:ln>
              <a:solidFill>
                <a:schemeClr val="tx1"/>
              </a:solidFill>
              <a:prstDash val="dash"/>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6.8.II.2'!$D$12:$CL$12</c:f>
              <c:numCache>
                <c:formatCode>0.0</c:formatCode>
                <c:ptCount val="87"/>
                <c:pt idx="0">
                  <c:v>98.1</c:v>
                </c:pt>
                <c:pt idx="1">
                  <c:v>101.0183856502242</c:v>
                </c:pt>
                <c:pt idx="2">
                  <c:v>102.49925882971768</c:v>
                </c:pt>
                <c:pt idx="3">
                  <c:v>104.7900247718437</c:v>
                </c:pt>
                <c:pt idx="4">
                  <c:v>103.708792215535</c:v>
                </c:pt>
                <c:pt idx="5">
                  <c:v>98.697510347294951</c:v>
                </c:pt>
                <c:pt idx="6">
                  <c:v>88.540499545236173</c:v>
                </c:pt>
                <c:pt idx="7">
                  <c:v>82.514764234995681</c:v>
                </c:pt>
                <c:pt idx="8">
                  <c:v>83.377983104170582</c:v>
                </c:pt>
                <c:pt idx="9">
                  <c:v>84.329442870283771</c:v>
                </c:pt>
                <c:pt idx="10">
                  <c:v>83.888180925207479</c:v>
                </c:pt>
                <c:pt idx="11">
                  <c:v>92.108108568649001</c:v>
                </c:pt>
                <c:pt idx="12">
                  <c:v>95.301737652225057</c:v>
                </c:pt>
                <c:pt idx="13">
                  <c:v>93.986778477851558</c:v>
                </c:pt>
                <c:pt idx="14">
                  <c:v>94.389981744804373</c:v>
                </c:pt>
                <c:pt idx="15">
                  <c:v>100.1271191385587</c:v>
                </c:pt>
                <c:pt idx="16">
                  <c:v>112.09641298920137</c:v>
                </c:pt>
                <c:pt idx="17">
                  <c:v>118.85777381507322</c:v>
                </c:pt>
                <c:pt idx="18">
                  <c:v>119.34931875046212</c:v>
                </c:pt>
                <c:pt idx="19">
                  <c:v>120.22152321319321</c:v>
                </c:pt>
                <c:pt idx="20">
                  <c:v>131.1996878155243</c:v>
                </c:pt>
                <c:pt idx="21">
                  <c:v>158.80679353617552</c:v>
                </c:pt>
                <c:pt idx="22">
                  <c:v>189.04116128281086</c:v>
                </c:pt>
                <c:pt idx="23">
                  <c:v>206.87370626777658</c:v>
                </c:pt>
                <c:pt idx="24">
                  <c:v>211.07398212509025</c:v>
                </c:pt>
                <c:pt idx="25">
                  <c:v>236.52100377753229</c:v>
                </c:pt>
                <c:pt idx="26">
                  <c:v>256.91692685714355</c:v>
                </c:pt>
                <c:pt idx="27">
                  <c:v>271.81244408967194</c:v>
                </c:pt>
                <c:pt idx="28">
                  <c:v>285.31081993684836</c:v>
                </c:pt>
                <c:pt idx="29">
                  <c:v>293.70234186346772</c:v>
                </c:pt>
                <c:pt idx="30">
                  <c:v>322.93764787479887</c:v>
                </c:pt>
                <c:pt idx="31">
                  <c:v>358.22258143301286</c:v>
                </c:pt>
                <c:pt idx="32">
                  <c:v>384.28385845799278</c:v>
                </c:pt>
                <c:pt idx="33">
                  <c:v>391.89432187692648</c:v>
                </c:pt>
                <c:pt idx="34">
                  <c:v>409.14090028312654</c:v>
                </c:pt>
                <c:pt idx="35">
                  <c:v>417.48726914484911</c:v>
                </c:pt>
                <c:pt idx="36">
                  <c:v>427.9695647057481</c:v>
                </c:pt>
                <c:pt idx="37">
                  <c:v>441.91712146768356</c:v>
                </c:pt>
                <c:pt idx="38">
                  <c:v>456.45722530905874</c:v>
                </c:pt>
                <c:pt idx="39">
                  <c:v>482.32395500404419</c:v>
                </c:pt>
                <c:pt idx="40">
                  <c:v>515.90857111993796</c:v>
                </c:pt>
                <c:pt idx="41">
                  <c:v>561.33697553753257</c:v>
                </c:pt>
                <c:pt idx="42">
                  <c:v>608.23101263008812</c:v>
                </c:pt>
                <c:pt idx="43">
                  <c:v>669.20500133816745</c:v>
                </c:pt>
                <c:pt idx="44">
                  <c:v>736.78401826374488</c:v>
                </c:pt>
                <c:pt idx="45">
                  <c:v>810.5926363043061</c:v>
                </c:pt>
                <c:pt idx="46">
                  <c:v>889.35234294382008</c:v>
                </c:pt>
                <c:pt idx="47">
                  <c:v>966.17260563347395</c:v>
                </c:pt>
                <c:pt idx="48">
                  <c:v>1089.6873794007995</c:v>
                </c:pt>
                <c:pt idx="49">
                  <c:v>1332.9789357460609</c:v>
                </c:pt>
                <c:pt idx="50">
                  <c:v>1480.5044033577967</c:v>
                </c:pt>
                <c:pt idx="51">
                  <c:v>1627.3950991459658</c:v>
                </c:pt>
                <c:pt idx="52">
                  <c:v>1811.6150211170527</c:v>
                </c:pt>
                <c:pt idx="53">
                  <c:v>2058.9907680984452</c:v>
                </c:pt>
                <c:pt idx="54">
                  <c:v>2372.3154328539517</c:v>
                </c:pt>
                <c:pt idx="55">
                  <c:v>2727.1098920262507</c:v>
                </c:pt>
                <c:pt idx="56">
                  <c:v>3085.6295752163214</c:v>
                </c:pt>
                <c:pt idx="57">
                  <c:v>3280.5613982554005</c:v>
                </c:pt>
                <c:pt idx="58">
                  <c:v>3379.5270368824099</c:v>
                </c:pt>
                <c:pt idx="59">
                  <c:v>3582.7686909099193</c:v>
                </c:pt>
                <c:pt idx="60">
                  <c:v>3784.4445483118338</c:v>
                </c:pt>
                <c:pt idx="61">
                  <c:v>3955.9887672421273</c:v>
                </c:pt>
                <c:pt idx="62">
                  <c:v>4163.9621786770704</c:v>
                </c:pt>
                <c:pt idx="63">
                  <c:v>4428.6100015091433</c:v>
                </c:pt>
                <c:pt idx="64">
                  <c:v>4696.5274073326709</c:v>
                </c:pt>
                <c:pt idx="65">
                  <c:v>4961.1194210611939</c:v>
                </c:pt>
                <c:pt idx="66">
                  <c:v>5075.5288516619039</c:v>
                </c:pt>
                <c:pt idx="67">
                  <c:v>5250.8241190748104</c:v>
                </c:pt>
                <c:pt idx="68">
                  <c:v>5500.592856221755</c:v>
                </c:pt>
                <c:pt idx="69">
                  <c:v>5805.9604432530487</c:v>
                </c:pt>
                <c:pt idx="70">
                  <c:v>6136.5991056054554</c:v>
                </c:pt>
                <c:pt idx="71">
                  <c:v>6451.600519091945</c:v>
                </c:pt>
                <c:pt idx="72">
                  <c:v>6812.1739171366289</c:v>
                </c:pt>
                <c:pt idx="73">
                  <c:v>7197.3455872759259</c:v>
                </c:pt>
                <c:pt idx="74">
                  <c:v>7621.6277461780001</c:v>
                </c:pt>
                <c:pt idx="75">
                  <c:v>8154.6271204174855</c:v>
                </c:pt>
                <c:pt idx="76">
                  <c:v>8588.950335181662</c:v>
                </c:pt>
                <c:pt idx="77">
                  <c:v>8900.8402688504684</c:v>
                </c:pt>
                <c:pt idx="78">
                  <c:v>9178.6398047285984</c:v>
                </c:pt>
                <c:pt idx="79">
                  <c:v>9904.847948333394</c:v>
                </c:pt>
                <c:pt idx="80">
                  <c:v>10780.814988175061</c:v>
                </c:pt>
                <c:pt idx="81">
                  <c:v>11684.026829024126</c:v>
                </c:pt>
                <c:pt idx="82">
                  <c:v>12317.435287381324</c:v>
                </c:pt>
                <c:pt idx="83">
                  <c:v>13141.338779693097</c:v>
                </c:pt>
                <c:pt idx="84">
                  <c:v>12704.129066712618</c:v>
                </c:pt>
                <c:pt idx="85">
                  <c:v>12996.264490139092</c:v>
                </c:pt>
                <c:pt idx="86">
                  <c:v>13531.219575411427</c:v>
                </c:pt>
              </c:numCache>
            </c:numRef>
          </c:val>
          <c:smooth val="0"/>
          <c:extLst>
            <c:ext xmlns:c16="http://schemas.microsoft.com/office/drawing/2014/chart" uri="{C3380CC4-5D6E-409C-BE32-E72D297353CC}">
              <c16:uniqueId val="{00000002-4CEC-46E9-AF16-935E9DCEF1D1}"/>
            </c:ext>
          </c:extLst>
        </c:ser>
        <c:dLbls>
          <c:showLegendKey val="0"/>
          <c:showVal val="0"/>
          <c:showCatName val="0"/>
          <c:showSerName val="0"/>
          <c:showPercent val="0"/>
          <c:showBubbleSize val="0"/>
        </c:dLbls>
        <c:smooth val="0"/>
        <c:axId val="86763392"/>
        <c:axId val="86764928"/>
      </c:lineChart>
      <c:catAx>
        <c:axId val="86763392"/>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764928"/>
        <c:crosses val="autoZero"/>
        <c:auto val="1"/>
        <c:lblAlgn val="ctr"/>
        <c:lblOffset val="100"/>
        <c:tickLblSkip val="6"/>
        <c:tickMarkSkip val="2"/>
        <c:noMultiLvlLbl val="0"/>
      </c:catAx>
      <c:valAx>
        <c:axId val="86764928"/>
        <c:scaling>
          <c:logBase val="10"/>
          <c:orientation val="minMax"/>
        </c:scaling>
        <c:delete val="0"/>
        <c:axPos val="l"/>
        <c:majorGridlines/>
        <c:numFmt formatCode="0" sourceLinked="0"/>
        <c:majorTickMark val="out"/>
        <c:minorTickMark val="none"/>
        <c:tickLblPos val="nextTo"/>
        <c:txPr>
          <a:bodyPr/>
          <a:lstStyle/>
          <a:p>
            <a:pPr>
              <a:defRPr sz="1400" b="1"/>
            </a:pPr>
            <a:endParaRPr lang="en-US"/>
          </a:p>
        </c:txPr>
        <c:crossAx val="86763392"/>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6.8.II.3'!$C$47</c:f>
              <c:strCache>
                <c:ptCount val="1"/>
                <c:pt idx="0">
                  <c:v>KGCcorpnew/KNCbea</c:v>
                </c:pt>
              </c:strCache>
            </c:strRef>
          </c:tx>
          <c:spPr>
            <a:ln w="28575">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6.8.II.3'!$D$47:$CL$47</c:f>
              <c:numCache>
                <c:formatCode>_(* #,##0.00_);_(* \(#,##0.00\);_(* "-"??_);_(@_)</c:formatCode>
                <c:ptCount val="87"/>
                <c:pt idx="0">
                  <c:v>1</c:v>
                </c:pt>
                <c:pt idx="1">
                  <c:v>1.0255335281235964</c:v>
                </c:pt>
                <c:pt idx="2">
                  <c:v>1.0493601528240688</c:v>
                </c:pt>
                <c:pt idx="3">
                  <c:v>1.0711466745051397</c:v>
                </c:pt>
                <c:pt idx="4">
                  <c:v>1.0929602567126315</c:v>
                </c:pt>
                <c:pt idx="5">
                  <c:v>1.1143057892352417</c:v>
                </c:pt>
                <c:pt idx="6">
                  <c:v>1.1359718646139991</c:v>
                </c:pt>
                <c:pt idx="7">
                  <c:v>1.1567170703596648</c:v>
                </c:pt>
                <c:pt idx="8">
                  <c:v>1.1750304894555508</c:v>
                </c:pt>
                <c:pt idx="9">
                  <c:v>1.1898431946547803</c:v>
                </c:pt>
                <c:pt idx="10">
                  <c:v>1.2036086816266278</c:v>
                </c:pt>
                <c:pt idx="11">
                  <c:v>1.2109965098409063</c:v>
                </c:pt>
                <c:pt idx="12">
                  <c:v>1.2175017957245688</c:v>
                </c:pt>
                <c:pt idx="13">
                  <c:v>1.226387846987161</c:v>
                </c:pt>
                <c:pt idx="14">
                  <c:v>1.2330154528660995</c:v>
                </c:pt>
                <c:pt idx="15">
                  <c:v>1.2377431088720563</c:v>
                </c:pt>
                <c:pt idx="16">
                  <c:v>1.239778296199487</c:v>
                </c:pt>
                <c:pt idx="17">
                  <c:v>1.2479675723260517</c:v>
                </c:pt>
                <c:pt idx="18">
                  <c:v>1.2574668042602781</c:v>
                </c:pt>
                <c:pt idx="19">
                  <c:v>1.2638641277460119</c:v>
                </c:pt>
                <c:pt idx="20">
                  <c:v>1.2642244173786494</c:v>
                </c:pt>
                <c:pt idx="21">
                  <c:v>1.2554042278821038</c:v>
                </c:pt>
                <c:pt idx="22">
                  <c:v>1.2513434924817379</c:v>
                </c:pt>
                <c:pt idx="23">
                  <c:v>1.2507609682536522</c:v>
                </c:pt>
                <c:pt idx="24">
                  <c:v>1.2569998847061257</c:v>
                </c:pt>
                <c:pt idx="25">
                  <c:v>1.2603370254109558</c:v>
                </c:pt>
                <c:pt idx="26">
                  <c:v>1.2647086683099507</c:v>
                </c:pt>
                <c:pt idx="27">
                  <c:v>1.2698554755650313</c:v>
                </c:pt>
                <c:pt idx="28">
                  <c:v>1.2746821534674466</c:v>
                </c:pt>
                <c:pt idx="29">
                  <c:v>1.2811937134586828</c:v>
                </c:pt>
                <c:pt idx="30">
                  <c:v>1.2839161053416372</c:v>
                </c:pt>
                <c:pt idx="31">
                  <c:v>1.2848883015668799</c:v>
                </c:pt>
                <c:pt idx="32">
                  <c:v>1.2875897532526357</c:v>
                </c:pt>
                <c:pt idx="33">
                  <c:v>1.2976427879264643</c:v>
                </c:pt>
                <c:pt idx="34">
                  <c:v>1.3058972416325911</c:v>
                </c:pt>
                <c:pt idx="35">
                  <c:v>1.3105285353177856</c:v>
                </c:pt>
                <c:pt idx="36">
                  <c:v>1.3162088436102626</c:v>
                </c:pt>
                <c:pt idx="37">
                  <c:v>1.3203839205208763</c:v>
                </c:pt>
                <c:pt idx="38">
                  <c:v>1.3254916748052341</c:v>
                </c:pt>
                <c:pt idx="39">
                  <c:v>1.3274828114797119</c:v>
                </c:pt>
                <c:pt idx="40">
                  <c:v>1.3267764413711589</c:v>
                </c:pt>
                <c:pt idx="41">
                  <c:v>1.3239963858795714</c:v>
                </c:pt>
                <c:pt idx="42">
                  <c:v>1.3258959002550688</c:v>
                </c:pt>
                <c:pt idx="43">
                  <c:v>1.3280430538197294</c:v>
                </c:pt>
                <c:pt idx="44">
                  <c:v>1.3313023981576013</c:v>
                </c:pt>
                <c:pt idx="45">
                  <c:v>1.3388962040525967</c:v>
                </c:pt>
                <c:pt idx="46">
                  <c:v>1.3485833867552277</c:v>
                </c:pt>
                <c:pt idx="47">
                  <c:v>1.3561779029948373</c:v>
                </c:pt>
                <c:pt idx="48">
                  <c:v>1.3619565520120698</c:v>
                </c:pt>
                <c:pt idx="49">
                  <c:v>1.3650255568492191</c:v>
                </c:pt>
                <c:pt idx="50">
                  <c:v>1.3781735071009349</c:v>
                </c:pt>
                <c:pt idx="51">
                  <c:v>1.3905106201774113</c:v>
                </c:pt>
                <c:pt idx="52">
                  <c:v>1.400119096843554</c:v>
                </c:pt>
                <c:pt idx="53">
                  <c:v>1.4051616942281295</c:v>
                </c:pt>
                <c:pt idx="54">
                  <c:v>1.4080415011207226</c:v>
                </c:pt>
                <c:pt idx="55">
                  <c:v>1.4130428185387758</c:v>
                </c:pt>
                <c:pt idx="56">
                  <c:v>1.4187509437372696</c:v>
                </c:pt>
                <c:pt idx="57">
                  <c:v>1.4300072214447326</c:v>
                </c:pt>
                <c:pt idx="58">
                  <c:v>1.442368358486052</c:v>
                </c:pt>
                <c:pt idx="59">
                  <c:v>1.4478584038887585</c:v>
                </c:pt>
                <c:pt idx="60">
                  <c:v>1.4533378478979544</c:v>
                </c:pt>
                <c:pt idx="61">
                  <c:v>1.4631762824183729</c:v>
                </c:pt>
                <c:pt idx="62">
                  <c:v>1.4744734496374854</c:v>
                </c:pt>
                <c:pt idx="63">
                  <c:v>1.4851951827538319</c:v>
                </c:pt>
                <c:pt idx="64">
                  <c:v>1.4939909955545649</c:v>
                </c:pt>
                <c:pt idx="65">
                  <c:v>1.5046182785232944</c:v>
                </c:pt>
                <c:pt idx="66">
                  <c:v>1.5207833548068166</c:v>
                </c:pt>
                <c:pt idx="67">
                  <c:v>1.5361507940771706</c:v>
                </c:pt>
                <c:pt idx="68">
                  <c:v>1.547204874399686</c:v>
                </c:pt>
                <c:pt idx="69">
                  <c:v>1.5568404170449333</c:v>
                </c:pt>
                <c:pt idx="70">
                  <c:v>1.5628838852901337</c:v>
                </c:pt>
                <c:pt idx="71">
                  <c:v>1.5671585095376968</c:v>
                </c:pt>
                <c:pt idx="72">
                  <c:v>1.5708368898312088</c:v>
                </c:pt>
                <c:pt idx="73">
                  <c:v>1.5732793946291963</c:v>
                </c:pt>
                <c:pt idx="74">
                  <c:v>1.5766386576303169</c:v>
                </c:pt>
                <c:pt idx="75">
                  <c:v>1.5803304739958883</c:v>
                </c:pt>
                <c:pt idx="76">
                  <c:v>1.59368682031201</c:v>
                </c:pt>
                <c:pt idx="77">
                  <c:v>1.6118537439881497</c:v>
                </c:pt>
                <c:pt idx="78">
                  <c:v>1.6294333190695236</c:v>
                </c:pt>
                <c:pt idx="79">
                  <c:v>1.6425230258578294</c:v>
                </c:pt>
                <c:pt idx="80">
                  <c:v>1.6532379094411864</c:v>
                </c:pt>
                <c:pt idx="81">
                  <c:v>1.6563341838116694</c:v>
                </c:pt>
                <c:pt idx="82">
                  <c:v>1.6588471649701515</c:v>
                </c:pt>
                <c:pt idx="83">
                  <c:v>1.6636560813909795</c:v>
                </c:pt>
                <c:pt idx="84">
                  <c:v>1.6823970785274642</c:v>
                </c:pt>
                <c:pt idx="85">
                  <c:v>1.6972701804432671</c:v>
                </c:pt>
                <c:pt idx="86">
                  <c:v>1.7069770748150335</c:v>
                </c:pt>
              </c:numCache>
            </c:numRef>
          </c:val>
          <c:smooth val="0"/>
          <c:extLst>
            <c:ext xmlns:c16="http://schemas.microsoft.com/office/drawing/2014/chart" uri="{C3380CC4-5D6E-409C-BE32-E72D297353CC}">
              <c16:uniqueId val="{00000000-A4FF-4B06-A66D-026C94929212}"/>
            </c:ext>
          </c:extLst>
        </c:ser>
        <c:ser>
          <c:idx val="2"/>
          <c:order val="1"/>
          <c:tx>
            <c:strRef>
              <c:f>'Appndx 6.8.II.3'!$C$46</c:f>
              <c:strCache>
                <c:ptCount val="1"/>
                <c:pt idx="0">
                  <c:v>KNCorpnew/KNCbea</c:v>
                </c:pt>
              </c:strCache>
            </c:strRef>
          </c:tx>
          <c:spPr>
            <a:ln>
              <a:solidFill>
                <a:schemeClr val="tx1"/>
              </a:solidFill>
              <a:prstDash val="dash"/>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6.8.II.3'!$D$46:$CL$46</c:f>
              <c:numCache>
                <c:formatCode>_(* #,##0.00_);_(* \(#,##0.00\);_(* "-"??_);_(@_)</c:formatCode>
                <c:ptCount val="87"/>
                <c:pt idx="0">
                  <c:v>1</c:v>
                </c:pt>
                <c:pt idx="1">
                  <c:v>0.98235503164293492</c:v>
                </c:pt>
                <c:pt idx="2">
                  <c:v>0.96698854782212429</c:v>
                </c:pt>
                <c:pt idx="3">
                  <c:v>0.95144711107013624</c:v>
                </c:pt>
                <c:pt idx="4">
                  <c:v>0.93767670076190612</c:v>
                </c:pt>
                <c:pt idx="5">
                  <c:v>0.9240096303405223</c:v>
                </c:pt>
                <c:pt idx="6">
                  <c:v>0.90803001896392777</c:v>
                </c:pt>
                <c:pt idx="7">
                  <c:v>0.8907333805199168</c:v>
                </c:pt>
                <c:pt idx="8">
                  <c:v>0.87393804112436857</c:v>
                </c:pt>
                <c:pt idx="9">
                  <c:v>0.85666612049622515</c:v>
                </c:pt>
                <c:pt idx="10">
                  <c:v>0.84202952120034869</c:v>
                </c:pt>
                <c:pt idx="11">
                  <c:v>0.82744071048667289</c:v>
                </c:pt>
                <c:pt idx="12">
                  <c:v>0.81583358967567499</c:v>
                </c:pt>
                <c:pt idx="13">
                  <c:v>0.80231748679731163</c:v>
                </c:pt>
                <c:pt idx="14">
                  <c:v>0.79017950266971015</c:v>
                </c:pt>
                <c:pt idx="15">
                  <c:v>0.78138111589084247</c:v>
                </c:pt>
                <c:pt idx="16">
                  <c:v>0.7734979119680585</c:v>
                </c:pt>
                <c:pt idx="17">
                  <c:v>0.76263856142985431</c:v>
                </c:pt>
                <c:pt idx="18">
                  <c:v>0.75130081622475287</c:v>
                </c:pt>
                <c:pt idx="19">
                  <c:v>0.74325614269120155</c:v>
                </c:pt>
                <c:pt idx="20">
                  <c:v>0.74022775791164241</c:v>
                </c:pt>
                <c:pt idx="21">
                  <c:v>0.73768302680868869</c:v>
                </c:pt>
                <c:pt idx="22">
                  <c:v>0.74011824691104877</c:v>
                </c:pt>
                <c:pt idx="23">
                  <c:v>0.74423673536313306</c:v>
                </c:pt>
                <c:pt idx="24">
                  <c:v>0.74767935326071089</c:v>
                </c:pt>
                <c:pt idx="25">
                  <c:v>0.74876049513907894</c:v>
                </c:pt>
                <c:pt idx="26">
                  <c:v>0.75260012772321894</c:v>
                </c:pt>
                <c:pt idx="27">
                  <c:v>0.75528415522991565</c:v>
                </c:pt>
                <c:pt idx="28">
                  <c:v>0.75860988443382515</c:v>
                </c:pt>
                <c:pt idx="29">
                  <c:v>0.7609492616891077</c:v>
                </c:pt>
                <c:pt idx="30">
                  <c:v>0.76199808452266782</c:v>
                </c:pt>
                <c:pt idx="31">
                  <c:v>0.7647214744133376</c:v>
                </c:pt>
                <c:pt idx="32">
                  <c:v>0.76797925359124319</c:v>
                </c:pt>
                <c:pt idx="33">
                  <c:v>0.76944735304387935</c:v>
                </c:pt>
                <c:pt idx="34">
                  <c:v>0.7710256956758782</c:v>
                </c:pt>
                <c:pt idx="35">
                  <c:v>0.77249439524946362</c:v>
                </c:pt>
                <c:pt idx="36">
                  <c:v>0.77319018075443013</c:v>
                </c:pt>
                <c:pt idx="37">
                  <c:v>0.77498470335101144</c:v>
                </c:pt>
                <c:pt idx="38">
                  <c:v>0.77774337910869695</c:v>
                </c:pt>
                <c:pt idx="39">
                  <c:v>0.78170500991511238</c:v>
                </c:pt>
                <c:pt idx="40">
                  <c:v>0.78841228663638807</c:v>
                </c:pt>
                <c:pt idx="41">
                  <c:v>0.79610709203710972</c:v>
                </c:pt>
                <c:pt idx="42">
                  <c:v>0.80184186291641968</c:v>
                </c:pt>
                <c:pt idx="43">
                  <c:v>0.80668390976076809</c:v>
                </c:pt>
                <c:pt idx="44">
                  <c:v>0.81226722222861047</c:v>
                </c:pt>
                <c:pt idx="45">
                  <c:v>0.81694638819892962</c:v>
                </c:pt>
                <c:pt idx="46">
                  <c:v>0.82023152940662791</c:v>
                </c:pt>
                <c:pt idx="47">
                  <c:v>0.8244712319553118</c:v>
                </c:pt>
                <c:pt idx="48">
                  <c:v>0.83021514892167336</c:v>
                </c:pt>
                <c:pt idx="49">
                  <c:v>0.83140241320438413</c:v>
                </c:pt>
                <c:pt idx="50">
                  <c:v>0.83344594263593152</c:v>
                </c:pt>
                <c:pt idx="51">
                  <c:v>0.83452645069001163</c:v>
                </c:pt>
                <c:pt idx="52">
                  <c:v>0.83652717507251095</c:v>
                </c:pt>
                <c:pt idx="53">
                  <c:v>0.83859434224747875</c:v>
                </c:pt>
                <c:pt idx="54">
                  <c:v>0.8403929654466199</c:v>
                </c:pt>
                <c:pt idx="55">
                  <c:v>0.84177559787005485</c:v>
                </c:pt>
                <c:pt idx="56">
                  <c:v>0.8423717037619437</c:v>
                </c:pt>
                <c:pt idx="57">
                  <c:v>0.84265885619194481</c:v>
                </c:pt>
                <c:pt idx="58">
                  <c:v>0.84301307243261248</c:v>
                </c:pt>
                <c:pt idx="59">
                  <c:v>0.84455993008143626</c:v>
                </c:pt>
                <c:pt idx="60">
                  <c:v>0.84685481015164887</c:v>
                </c:pt>
                <c:pt idx="61">
                  <c:v>0.84866796105741393</c:v>
                </c:pt>
                <c:pt idx="62">
                  <c:v>0.84960950501326915</c:v>
                </c:pt>
                <c:pt idx="63">
                  <c:v>0.85098570020387398</c:v>
                </c:pt>
                <c:pt idx="64">
                  <c:v>0.85224011597755778</c:v>
                </c:pt>
                <c:pt idx="65">
                  <c:v>0.85532434635558308</c:v>
                </c:pt>
                <c:pt idx="66">
                  <c:v>0.85832797283305784</c:v>
                </c:pt>
                <c:pt idx="67">
                  <c:v>0.86052661384814011</c:v>
                </c:pt>
                <c:pt idx="68">
                  <c:v>0.86270299232883496</c:v>
                </c:pt>
                <c:pt idx="69">
                  <c:v>0.86609503226138806</c:v>
                </c:pt>
                <c:pt idx="70">
                  <c:v>0.87039684553136099</c:v>
                </c:pt>
                <c:pt idx="71">
                  <c:v>0.87513500862349403</c:v>
                </c:pt>
                <c:pt idx="72">
                  <c:v>0.88055828031338013</c:v>
                </c:pt>
                <c:pt idx="73">
                  <c:v>0.8862369502524261</c:v>
                </c:pt>
                <c:pt idx="74">
                  <c:v>0.89301892034765551</c:v>
                </c:pt>
                <c:pt idx="75">
                  <c:v>0.90044693305665169</c:v>
                </c:pt>
                <c:pt idx="76">
                  <c:v>0.90660431386298879</c:v>
                </c:pt>
                <c:pt idx="77">
                  <c:v>0.9073565488693548</c:v>
                </c:pt>
                <c:pt idx="78">
                  <c:v>0.90689578761993461</c:v>
                </c:pt>
                <c:pt idx="79">
                  <c:v>0.90425715502845705</c:v>
                </c:pt>
                <c:pt idx="80">
                  <c:v>0.90178230874179532</c:v>
                </c:pt>
                <c:pt idx="81">
                  <c:v>0.89732116266114359</c:v>
                </c:pt>
                <c:pt idx="82">
                  <c:v>0.89443810830064874</c:v>
                </c:pt>
                <c:pt idx="83">
                  <c:v>0.89027497909972797</c:v>
                </c:pt>
                <c:pt idx="84">
                  <c:v>0.88492981028766837</c:v>
                </c:pt>
                <c:pt idx="85">
                  <c:v>0.87793415359087545</c:v>
                </c:pt>
                <c:pt idx="86">
                  <c:v>0.87203652821753874</c:v>
                </c:pt>
              </c:numCache>
            </c:numRef>
          </c:val>
          <c:smooth val="0"/>
          <c:extLst>
            <c:ext xmlns:c16="http://schemas.microsoft.com/office/drawing/2014/chart" uri="{C3380CC4-5D6E-409C-BE32-E72D297353CC}">
              <c16:uniqueId val="{00000001-A4FF-4B06-A66D-026C94929212}"/>
            </c:ext>
          </c:extLst>
        </c:ser>
        <c:dLbls>
          <c:showLegendKey val="0"/>
          <c:showVal val="0"/>
          <c:showCatName val="0"/>
          <c:showSerName val="0"/>
          <c:showPercent val="0"/>
          <c:showBubbleSize val="0"/>
        </c:dLbls>
        <c:smooth val="0"/>
        <c:axId val="87254912"/>
        <c:axId val="87256448"/>
      </c:lineChart>
      <c:catAx>
        <c:axId val="87254912"/>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256448"/>
        <c:crosses val="autoZero"/>
        <c:auto val="1"/>
        <c:lblAlgn val="ctr"/>
        <c:lblOffset val="100"/>
        <c:tickLblSkip val="6"/>
        <c:tickMarkSkip val="2"/>
        <c:noMultiLvlLbl val="0"/>
      </c:catAx>
      <c:valAx>
        <c:axId val="87256448"/>
        <c:scaling>
          <c:orientation val="minMax"/>
        </c:scaling>
        <c:delete val="0"/>
        <c:axPos val="l"/>
        <c:majorGridlines/>
        <c:numFmt formatCode="0.0" sourceLinked="0"/>
        <c:majorTickMark val="out"/>
        <c:minorTickMark val="none"/>
        <c:tickLblPos val="nextTo"/>
        <c:txPr>
          <a:bodyPr/>
          <a:lstStyle/>
          <a:p>
            <a:pPr>
              <a:defRPr sz="1400" b="1"/>
            </a:pPr>
            <a:endParaRPr lang="en-US"/>
          </a:p>
        </c:txPr>
        <c:crossAx val="87254912"/>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6.8.II.4'!$C$23</c:f>
              <c:strCache>
                <c:ptCount val="1"/>
                <c:pt idx="0">
                  <c:v>KTHcorpirsIndx</c:v>
                </c:pt>
              </c:strCache>
            </c:strRef>
          </c:tx>
          <c:spPr>
            <a:ln w="28575">
              <a:solidFill>
                <a:schemeClr val="tx1"/>
              </a:solidFill>
              <a:prstDash val="dash"/>
            </a:ln>
          </c:spPr>
          <c:marker>
            <c:symbol val="none"/>
          </c:marker>
          <c:cat>
            <c:numRef>
              <c:f>'Appndx 6.8.II.2'!$D$10:$AW$10</c:f>
              <c:numCache>
                <c:formatCode>General</c:formatCode>
                <c:ptCount val="46"/>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numCache>
            </c:numRef>
          </c:cat>
          <c:val>
            <c:numRef>
              <c:f>'Appndx 6.8.II.4'!$D$23:$AW$23</c:f>
              <c:numCache>
                <c:formatCode>0.000</c:formatCode>
                <c:ptCount val="46"/>
                <c:pt idx="0">
                  <c:v>1</c:v>
                </c:pt>
                <c:pt idx="1">
                  <c:v>1.0447976878612717</c:v>
                </c:pt>
                <c:pt idx="2">
                  <c:v>1.124312145366746</c:v>
                </c:pt>
                <c:pt idx="3">
                  <c:v>1.1777288908696149</c:v>
                </c:pt>
                <c:pt idx="4">
                  <c:v>1.2475263431261716</c:v>
                </c:pt>
                <c:pt idx="5">
                  <c:v>1.2962506428748779</c:v>
                </c:pt>
                <c:pt idx="6">
                  <c:v>1.2245676416394793</c:v>
                </c:pt>
                <c:pt idx="7">
                  <c:v>1.1629658994330017</c:v>
                </c:pt>
                <c:pt idx="8">
                  <c:v>1.124451418870865</c:v>
                </c:pt>
                <c:pt idx="9">
                  <c:v>1.1008070632100482</c:v>
                </c:pt>
                <c:pt idx="10">
                  <c:v>1.0764770533751071</c:v>
                </c:pt>
                <c:pt idx="11">
                  <c:v>1.0485473591260137</c:v>
                </c:pt>
                <c:pt idx="12">
                  <c:v>1.0747629179397966</c:v>
                </c:pt>
                <c:pt idx="13">
                  <c:v>1.0638245911932203</c:v>
                </c:pt>
                <c:pt idx="14">
                  <c:v>1.0737558633715516</c:v>
                </c:pt>
                <c:pt idx="15">
                  <c:v>1.0736273032139032</c:v>
                </c:pt>
                <c:pt idx="16">
                  <c:v>1.0788125629057179</c:v>
                </c:pt>
                <c:pt idx="17">
                  <c:v>1.0688920040738574</c:v>
                </c:pt>
                <c:pt idx="18">
                  <c:v>1.0469939238877635</c:v>
                </c:pt>
                <c:pt idx="19">
                  <c:v>1.0191392230639649</c:v>
                </c:pt>
                <c:pt idx="20">
                  <c:v>0.98623853605247058</c:v>
                </c:pt>
                <c:pt idx="21">
                  <c:v>1.0748593380580327</c:v>
                </c:pt>
                <c:pt idx="22">
                  <c:v>1.2019731939327905</c:v>
                </c:pt>
                <c:pt idx="23">
                  <c:v>1.3461319840424186</c:v>
                </c:pt>
                <c:pt idx="24">
                  <c:v>1.4529119083158033</c:v>
                </c:pt>
                <c:pt idx="25">
                  <c:v>1.5501248141908603</c:v>
                </c:pt>
                <c:pt idx="26">
                  <c:v>1.7069039264429633</c:v>
                </c:pt>
                <c:pt idx="27">
                  <c:v>1.8164050407199037</c:v>
                </c:pt>
                <c:pt idx="28">
                  <c:v>1.9349589327645786</c:v>
                </c:pt>
                <c:pt idx="29">
                  <c:v>2.0509309083098168</c:v>
                </c:pt>
                <c:pt idx="30">
                  <c:v>2.2111061513931292</c:v>
                </c:pt>
                <c:pt idx="31">
                  <c:v>2.4197378605633806</c:v>
                </c:pt>
                <c:pt idx="32">
                  <c:v>2.6190168182647175</c:v>
                </c:pt>
                <c:pt idx="33">
                  <c:v>2.7813240172956979</c:v>
                </c:pt>
                <c:pt idx="34">
                  <c:v>2.9544409829156058</c:v>
                </c:pt>
                <c:pt idx="35">
                  <c:v>3.141313885403882</c:v>
                </c:pt>
                <c:pt idx="36">
                  <c:v>3.3239871560756469</c:v>
                </c:pt>
                <c:pt idx="37">
                  <c:v>3.5781768655850876</c:v>
                </c:pt>
                <c:pt idx="38">
                  <c:v>3.6642430399848172</c:v>
                </c:pt>
                <c:pt idx="39">
                  <c:v>3.9162745157078405</c:v>
                </c:pt>
                <c:pt idx="40">
                  <c:v>4.2349537198250378</c:v>
                </c:pt>
                <c:pt idx="41">
                  <c:v>4.62852992911884</c:v>
                </c:pt>
                <c:pt idx="42">
                  <c:v>5.0079109543389766</c:v>
                </c:pt>
                <c:pt idx="43">
                  <c:v>5.4087936659257911</c:v>
                </c:pt>
                <c:pt idx="44">
                  <c:v>6.0134656540781046</c:v>
                </c:pt>
                <c:pt idx="45">
                  <c:v>6.4222762420532309</c:v>
                </c:pt>
              </c:numCache>
            </c:numRef>
          </c:val>
          <c:smooth val="0"/>
          <c:extLst>
            <c:ext xmlns:c16="http://schemas.microsoft.com/office/drawing/2014/chart" uri="{C3380CC4-5D6E-409C-BE32-E72D297353CC}">
              <c16:uniqueId val="{00000000-6E40-40D3-A1D6-F03726A4666B}"/>
            </c:ext>
          </c:extLst>
        </c:ser>
        <c:ser>
          <c:idx val="2"/>
          <c:order val="1"/>
          <c:tx>
            <c:strRef>
              <c:f>'Appndx 6.8.II.4'!$C$24</c:f>
              <c:strCache>
                <c:ptCount val="1"/>
                <c:pt idx="0">
                  <c:v>KNHcorpbeaIndx</c:v>
                </c:pt>
              </c:strCache>
            </c:strRef>
          </c:tx>
          <c:spPr>
            <a:ln>
              <a:solidFill>
                <a:schemeClr val="tx1"/>
              </a:solidFill>
              <a:prstDash val="solid"/>
            </a:ln>
          </c:spPr>
          <c:marker>
            <c:symbol val="none"/>
          </c:marker>
          <c:cat>
            <c:numRef>
              <c:f>'Appndx 6.8.II.2'!$D$10:$AW$10</c:f>
              <c:numCache>
                <c:formatCode>General</c:formatCode>
                <c:ptCount val="46"/>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numCache>
            </c:numRef>
          </c:cat>
          <c:val>
            <c:numRef>
              <c:f>'Appndx 6.8.II.4'!$D$24:$AW$24</c:f>
              <c:numCache>
                <c:formatCode>0.000</c:formatCode>
                <c:ptCount val="46"/>
                <c:pt idx="0">
                  <c:v>1</c:v>
                </c:pt>
                <c:pt idx="1">
                  <c:v>1.0447976878612717</c:v>
                </c:pt>
                <c:pt idx="2">
                  <c:v>1.0823699421965316</c:v>
                </c:pt>
                <c:pt idx="3">
                  <c:v>1.121387283236994</c:v>
                </c:pt>
                <c:pt idx="4">
                  <c:v>1.1690751445086704</c:v>
                </c:pt>
                <c:pt idx="5">
                  <c:v>1.1965317919075145</c:v>
                </c:pt>
                <c:pt idx="6">
                  <c:v>1.1907514450867049</c:v>
                </c:pt>
                <c:pt idx="7">
                  <c:v>1.1647398843930634</c:v>
                </c:pt>
                <c:pt idx="8">
                  <c:v>1.1387283236994219</c:v>
                </c:pt>
                <c:pt idx="9">
                  <c:v>1.121387283236994</c:v>
                </c:pt>
                <c:pt idx="10">
                  <c:v>1.1127167630057804</c:v>
                </c:pt>
                <c:pt idx="11">
                  <c:v>1.1170520231213872</c:v>
                </c:pt>
                <c:pt idx="12">
                  <c:v>1.1372832369942196</c:v>
                </c:pt>
                <c:pt idx="13">
                  <c:v>1.1387283236994219</c:v>
                </c:pt>
                <c:pt idx="14">
                  <c:v>1.1445086705202312</c:v>
                </c:pt>
                <c:pt idx="15">
                  <c:v>1.1661849710982659</c:v>
                </c:pt>
                <c:pt idx="16">
                  <c:v>1.2023121387283238</c:v>
                </c:pt>
                <c:pt idx="17">
                  <c:v>1.2138728323699421</c:v>
                </c:pt>
                <c:pt idx="18">
                  <c:v>1.2153179190751444</c:v>
                </c:pt>
                <c:pt idx="19">
                  <c:v>1.2341040462427744</c:v>
                </c:pt>
                <c:pt idx="20">
                  <c:v>1.2832369942196531</c:v>
                </c:pt>
                <c:pt idx="21">
                  <c:v>1.3815028901734103</c:v>
                </c:pt>
                <c:pt idx="22">
                  <c:v>1.5216763005780345</c:v>
                </c:pt>
                <c:pt idx="23">
                  <c:v>1.6791907514450868</c:v>
                </c:pt>
                <c:pt idx="24">
                  <c:v>1.8020231213872833</c:v>
                </c:pt>
                <c:pt idx="25">
                  <c:v>1.9364161849710981</c:v>
                </c:pt>
                <c:pt idx="26">
                  <c:v>2.1156069364161851</c:v>
                </c:pt>
                <c:pt idx="27">
                  <c:v>2.297687861271676</c:v>
                </c:pt>
                <c:pt idx="28">
                  <c:v>2.495664739884393</c:v>
                </c:pt>
                <c:pt idx="29">
                  <c:v>2.6690751445086702</c:v>
                </c:pt>
                <c:pt idx="30">
                  <c:v>2.8656069364161847</c:v>
                </c:pt>
                <c:pt idx="31">
                  <c:v>3.1257225433526008</c:v>
                </c:pt>
                <c:pt idx="32">
                  <c:v>3.4060693641618496</c:v>
                </c:pt>
                <c:pt idx="33">
                  <c:v>3.5968208092485545</c:v>
                </c:pt>
                <c:pt idx="34">
                  <c:v>3.8121387283236987</c:v>
                </c:pt>
                <c:pt idx="35">
                  <c:v>4.0592485549132942</c:v>
                </c:pt>
                <c:pt idx="36">
                  <c:v>4.2846820809248554</c:v>
                </c:pt>
                <c:pt idx="37">
                  <c:v>4.5375722543352603</c:v>
                </c:pt>
                <c:pt idx="38">
                  <c:v>4.800578034682081</c:v>
                </c:pt>
                <c:pt idx="39">
                  <c:v>5.1228323699421967</c:v>
                </c:pt>
                <c:pt idx="40">
                  <c:v>5.5433526011560694</c:v>
                </c:pt>
                <c:pt idx="41">
                  <c:v>6.050578034682081</c:v>
                </c:pt>
                <c:pt idx="42">
                  <c:v>6.5332369942196529</c:v>
                </c:pt>
                <c:pt idx="43">
                  <c:v>7.0621387283237</c:v>
                </c:pt>
                <c:pt idx="44">
                  <c:v>7.6618497109826595</c:v>
                </c:pt>
                <c:pt idx="45">
                  <c:v>8.24421965317919</c:v>
                </c:pt>
              </c:numCache>
            </c:numRef>
          </c:val>
          <c:smooth val="0"/>
          <c:extLst>
            <c:ext xmlns:c16="http://schemas.microsoft.com/office/drawing/2014/chart" uri="{C3380CC4-5D6E-409C-BE32-E72D297353CC}">
              <c16:uniqueId val="{00000001-6E40-40D3-A1D6-F03726A4666B}"/>
            </c:ext>
          </c:extLst>
        </c:ser>
        <c:dLbls>
          <c:showLegendKey val="0"/>
          <c:showVal val="0"/>
          <c:showCatName val="0"/>
          <c:showSerName val="0"/>
          <c:showPercent val="0"/>
          <c:showBubbleSize val="0"/>
        </c:dLbls>
        <c:smooth val="0"/>
        <c:axId val="87406464"/>
        <c:axId val="87408000"/>
      </c:lineChart>
      <c:catAx>
        <c:axId val="8740646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408000"/>
        <c:crosses val="autoZero"/>
        <c:auto val="1"/>
        <c:lblAlgn val="ctr"/>
        <c:lblOffset val="100"/>
        <c:tickLblSkip val="6"/>
        <c:tickMarkSkip val="2"/>
        <c:noMultiLvlLbl val="0"/>
      </c:catAx>
      <c:valAx>
        <c:axId val="87408000"/>
        <c:scaling>
          <c:logBase val="10"/>
          <c:orientation val="minMax"/>
        </c:scaling>
        <c:delete val="0"/>
        <c:axPos val="l"/>
        <c:majorGridlines/>
        <c:numFmt formatCode="0.0" sourceLinked="0"/>
        <c:majorTickMark val="out"/>
        <c:minorTickMark val="none"/>
        <c:tickLblPos val="nextTo"/>
        <c:txPr>
          <a:bodyPr/>
          <a:lstStyle/>
          <a:p>
            <a:pPr>
              <a:defRPr sz="1400" b="1"/>
            </a:pPr>
            <a:endParaRPr lang="en-US"/>
          </a:p>
        </c:txPr>
        <c:crossAx val="87406464"/>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6.8.II.2'!$C$12</c:f>
              <c:strCache>
                <c:ptCount val="1"/>
                <c:pt idx="0">
                  <c:v>KNCcorpbea</c:v>
                </c:pt>
              </c:strCache>
            </c:strRef>
          </c:tx>
          <c:spPr>
            <a:ln w="38100">
              <a:solidFill>
                <a:schemeClr val="tx1"/>
              </a:solidFill>
            </a:ln>
          </c:spPr>
          <c:marker>
            <c:symbol val="none"/>
          </c:marker>
          <c:cat>
            <c:numRef>
              <c:f>'Appndx 6.8.II.5'!$Z$12:$CL$12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6.8.II.2'!$Z$12:$CL$12</c:f>
              <c:numCache>
                <c:formatCode>0.0</c:formatCode>
                <c:ptCount val="65"/>
                <c:pt idx="0">
                  <c:v>189.04116128281086</c:v>
                </c:pt>
                <c:pt idx="1">
                  <c:v>206.87370626777658</c:v>
                </c:pt>
                <c:pt idx="2">
                  <c:v>211.07398212509025</c:v>
                </c:pt>
                <c:pt idx="3">
                  <c:v>236.52100377753229</c:v>
                </c:pt>
                <c:pt idx="4">
                  <c:v>256.91692685714355</c:v>
                </c:pt>
                <c:pt idx="5">
                  <c:v>271.81244408967194</c:v>
                </c:pt>
                <c:pt idx="6">
                  <c:v>285.31081993684836</c:v>
                </c:pt>
                <c:pt idx="7">
                  <c:v>293.70234186346772</c:v>
                </c:pt>
                <c:pt idx="8">
                  <c:v>322.93764787479887</c:v>
                </c:pt>
                <c:pt idx="9">
                  <c:v>358.22258143301286</c:v>
                </c:pt>
                <c:pt idx="10">
                  <c:v>384.28385845799278</c:v>
                </c:pt>
                <c:pt idx="11">
                  <c:v>391.89432187692648</c:v>
                </c:pt>
                <c:pt idx="12">
                  <c:v>409.14090028312654</c:v>
                </c:pt>
                <c:pt idx="13">
                  <c:v>417.48726914484911</c:v>
                </c:pt>
                <c:pt idx="14">
                  <c:v>427.9695647057481</c:v>
                </c:pt>
                <c:pt idx="15">
                  <c:v>441.91712146768356</c:v>
                </c:pt>
                <c:pt idx="16">
                  <c:v>456.45722530905874</c:v>
                </c:pt>
                <c:pt idx="17">
                  <c:v>482.32395500404419</c:v>
                </c:pt>
                <c:pt idx="18">
                  <c:v>515.90857111993796</c:v>
                </c:pt>
                <c:pt idx="19">
                  <c:v>561.33697553753257</c:v>
                </c:pt>
                <c:pt idx="20">
                  <c:v>608.23101263008812</c:v>
                </c:pt>
                <c:pt idx="21">
                  <c:v>669.20500133816745</c:v>
                </c:pt>
                <c:pt idx="22">
                  <c:v>736.78401826374488</c:v>
                </c:pt>
                <c:pt idx="23">
                  <c:v>810.5926363043061</c:v>
                </c:pt>
                <c:pt idx="24">
                  <c:v>889.35234294382008</c:v>
                </c:pt>
                <c:pt idx="25">
                  <c:v>966.17260563347395</c:v>
                </c:pt>
                <c:pt idx="26">
                  <c:v>1089.6873794007995</c:v>
                </c:pt>
                <c:pt idx="27">
                  <c:v>1332.9789357460609</c:v>
                </c:pt>
                <c:pt idx="28">
                  <c:v>1480.5044033577967</c:v>
                </c:pt>
                <c:pt idx="29">
                  <c:v>1627.3950991459658</c:v>
                </c:pt>
                <c:pt idx="30">
                  <c:v>1811.6150211170527</c:v>
                </c:pt>
                <c:pt idx="31">
                  <c:v>2058.9907680984452</c:v>
                </c:pt>
                <c:pt idx="32">
                  <c:v>2372.3154328539517</c:v>
                </c:pt>
                <c:pt idx="33">
                  <c:v>2727.1098920262507</c:v>
                </c:pt>
                <c:pt idx="34">
                  <c:v>3085.6295752163214</c:v>
                </c:pt>
                <c:pt idx="35">
                  <c:v>3280.5613982554005</c:v>
                </c:pt>
                <c:pt idx="36">
                  <c:v>3379.5270368824099</c:v>
                </c:pt>
                <c:pt idx="37">
                  <c:v>3582.7686909099193</c:v>
                </c:pt>
                <c:pt idx="38">
                  <c:v>3784.4445483118338</c:v>
                </c:pt>
                <c:pt idx="39">
                  <c:v>3955.9887672421273</c:v>
                </c:pt>
                <c:pt idx="40">
                  <c:v>4163.9621786770704</c:v>
                </c:pt>
                <c:pt idx="41">
                  <c:v>4428.6100015091433</c:v>
                </c:pt>
                <c:pt idx="42">
                  <c:v>4696.5274073326709</c:v>
                </c:pt>
                <c:pt idx="43">
                  <c:v>4961.1194210611939</c:v>
                </c:pt>
                <c:pt idx="44">
                  <c:v>5075.5288516619039</c:v>
                </c:pt>
                <c:pt idx="45">
                  <c:v>5250.8241190748104</c:v>
                </c:pt>
                <c:pt idx="46">
                  <c:v>5500.592856221755</c:v>
                </c:pt>
                <c:pt idx="47">
                  <c:v>5805.9604432530487</c:v>
                </c:pt>
                <c:pt idx="48">
                  <c:v>6136.5991056054554</c:v>
                </c:pt>
                <c:pt idx="49">
                  <c:v>6451.600519091945</c:v>
                </c:pt>
                <c:pt idx="50">
                  <c:v>6812.1739171366289</c:v>
                </c:pt>
                <c:pt idx="51">
                  <c:v>7197.3455872759259</c:v>
                </c:pt>
                <c:pt idx="52">
                  <c:v>7621.6277461780001</c:v>
                </c:pt>
                <c:pt idx="53">
                  <c:v>8154.6271204174855</c:v>
                </c:pt>
                <c:pt idx="54">
                  <c:v>8588.950335181662</c:v>
                </c:pt>
                <c:pt idx="55">
                  <c:v>8900.8402688504684</c:v>
                </c:pt>
                <c:pt idx="56">
                  <c:v>9178.6398047285984</c:v>
                </c:pt>
                <c:pt idx="57">
                  <c:v>9904.847948333394</c:v>
                </c:pt>
                <c:pt idx="58">
                  <c:v>10780.814988175061</c:v>
                </c:pt>
                <c:pt idx="59">
                  <c:v>11684.026829024126</c:v>
                </c:pt>
                <c:pt idx="60">
                  <c:v>12317.435287381324</c:v>
                </c:pt>
                <c:pt idx="61">
                  <c:v>13141.338779693097</c:v>
                </c:pt>
                <c:pt idx="62">
                  <c:v>12704.129066712618</c:v>
                </c:pt>
                <c:pt idx="63">
                  <c:v>12996.264490139092</c:v>
                </c:pt>
                <c:pt idx="64">
                  <c:v>13531.219575411427</c:v>
                </c:pt>
              </c:numCache>
            </c:numRef>
          </c:val>
          <c:smooth val="0"/>
          <c:extLst>
            <c:ext xmlns:c16="http://schemas.microsoft.com/office/drawing/2014/chart" uri="{C3380CC4-5D6E-409C-BE32-E72D297353CC}">
              <c16:uniqueId val="{00000000-797C-4F66-BA28-8B7C8B4E808F}"/>
            </c:ext>
          </c:extLst>
        </c:ser>
        <c:ser>
          <c:idx val="1"/>
          <c:order val="1"/>
          <c:tx>
            <c:strRef>
              <c:f>'Appndx 6.8.II.5'!$C$16</c:f>
              <c:strCache>
                <c:ptCount val="1"/>
                <c:pt idx="0">
                  <c:v>KNCcorp</c:v>
                </c:pt>
              </c:strCache>
            </c:strRef>
          </c:tx>
          <c:spPr>
            <a:ln w="31750">
              <a:solidFill>
                <a:schemeClr val="tx1"/>
              </a:solidFill>
              <a:prstDash val="dash"/>
            </a:ln>
          </c:spPr>
          <c:marker>
            <c:symbol val="none"/>
          </c:marker>
          <c:cat>
            <c:numRef>
              <c:f>'Appndx 6.8.II.5'!$Z$12:$CL$12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6.8.II.5'!$Z$16:$CL$16</c:f>
              <c:numCache>
                <c:formatCode>0.00</c:formatCode>
                <c:ptCount val="65"/>
                <c:pt idx="0" formatCode="0.0">
                  <c:v>93.47745529215311</c:v>
                </c:pt>
                <c:pt idx="1">
                  <c:v>108.87181947236776</c:v>
                </c:pt>
                <c:pt idx="2">
                  <c:v>116.34235391433698</c:v>
                </c:pt>
                <c:pt idx="3">
                  <c:v>135.4786434270008</c:v>
                </c:pt>
                <c:pt idx="4">
                  <c:v>153.05018883522644</c:v>
                </c:pt>
                <c:pt idx="5">
                  <c:v>167.35066081076795</c:v>
                </c:pt>
                <c:pt idx="6">
                  <c:v>181.0929233081971</c:v>
                </c:pt>
                <c:pt idx="7">
                  <c:v>190.95914732811309</c:v>
                </c:pt>
                <c:pt idx="8">
                  <c:v>214.44974765048576</c:v>
                </c:pt>
                <c:pt idx="9">
                  <c:v>243.1735646598359</c:v>
                </c:pt>
                <c:pt idx="10">
                  <c:v>266.08052775897443</c:v>
                </c:pt>
                <c:pt idx="11">
                  <c:v>274.9129145816438</c:v>
                </c:pt>
                <c:pt idx="12">
                  <c:v>290.56766392670824</c:v>
                </c:pt>
                <c:pt idx="13">
                  <c:v>299.99651908411721</c:v>
                </c:pt>
                <c:pt idx="14">
                  <c:v>310.34867507386866</c:v>
                </c:pt>
                <c:pt idx="15">
                  <c:v>323.6909055065932</c:v>
                </c:pt>
                <c:pt idx="16">
                  <c:v>337.56699885843346</c:v>
                </c:pt>
                <c:pt idx="17">
                  <c:v>360.67945656384245</c:v>
                </c:pt>
                <c:pt idx="18">
                  <c:v>391.51987491684906</c:v>
                </c:pt>
                <c:pt idx="19">
                  <c:v>433.05498984237107</c:v>
                </c:pt>
                <c:pt idx="20">
                  <c:v>475.10946558557498</c:v>
                </c:pt>
                <c:pt idx="21">
                  <c:v>528.46434656210488</c:v>
                </c:pt>
                <c:pt idx="22">
                  <c:v>588.3750570199951</c:v>
                </c:pt>
                <c:pt idx="23">
                  <c:v>653.17068168341473</c:v>
                </c:pt>
                <c:pt idx="24">
                  <c:v>721.39012758012336</c:v>
                </c:pt>
                <c:pt idx="25">
                  <c:v>789.17713635347798</c:v>
                </c:pt>
                <c:pt idx="26">
                  <c:v>898.78570737628274</c:v>
                </c:pt>
                <c:pt idx="27">
                  <c:v>1106.0672695397259</c:v>
                </c:pt>
                <c:pt idx="28">
                  <c:v>1233.0862744879516</c:v>
                </c:pt>
                <c:pt idx="29">
                  <c:v>1358.7917794235582</c:v>
                </c:pt>
                <c:pt idx="30">
                  <c:v>1517.9330026892012</c:v>
                </c:pt>
                <c:pt idx="31">
                  <c:v>1732.7347669542085</c:v>
                </c:pt>
                <c:pt idx="32">
                  <c:v>2003.8061671874761</c:v>
                </c:pt>
                <c:pt idx="33">
                  <c:v>2311.2788732536965</c:v>
                </c:pt>
                <c:pt idx="34">
                  <c:v>2619.7223474076313</c:v>
                </c:pt>
                <c:pt idx="35">
                  <c:v>2784.3085913891855</c:v>
                </c:pt>
                <c:pt idx="36">
                  <c:v>2868.0496357503303</c:v>
                </c:pt>
                <c:pt idx="37">
                  <c:v>3045.6594598104448</c:v>
                </c:pt>
                <c:pt idx="38">
                  <c:v>3224.884995537328</c:v>
                </c:pt>
                <c:pt idx="39">
                  <c:v>3377.1601047951908</c:v>
                </c:pt>
                <c:pt idx="40">
                  <c:v>3558.1277941495446</c:v>
                </c:pt>
                <c:pt idx="41">
                  <c:v>3790.1342922340514</c:v>
                </c:pt>
                <c:pt idx="42">
                  <c:v>4022.3199966881789</c:v>
                </c:pt>
                <c:pt idx="43">
                  <c:v>4263.9472250641156</c:v>
                </c:pt>
                <c:pt idx="44">
                  <c:v>4375.6661478156238</c:v>
                </c:pt>
                <c:pt idx="45">
                  <c:v>4534.0863190006412</c:v>
                </c:pt>
                <c:pt idx="46">
                  <c:v>4760.1791447404858</c:v>
                </c:pt>
                <c:pt idx="47">
                  <c:v>5039.1036096115276</c:v>
                </c:pt>
                <c:pt idx="48">
                  <c:v>5352.0043204349904</c:v>
                </c:pt>
                <c:pt idx="49">
                  <c:v>5657.8124582900437</c:v>
                </c:pt>
                <c:pt idx="50">
                  <c:v>6010.7635198928601</c:v>
                </c:pt>
                <c:pt idx="51">
                  <c:v>6392.930342530286</c:v>
                </c:pt>
                <c:pt idx="52">
                  <c:v>6820.8096947881095</c:v>
                </c:pt>
                <c:pt idx="53">
                  <c:v>7358.470947300596</c:v>
                </c:pt>
                <c:pt idx="54">
                  <c:v>7789.9967768644001</c:v>
                </c:pt>
                <c:pt idx="55">
                  <c:v>8079.8634754946725</c:v>
                </c:pt>
                <c:pt idx="56">
                  <c:v>8328.1736557664899</c:v>
                </c:pt>
                <c:pt idx="57">
                  <c:v>8958.4412203934717</c:v>
                </c:pt>
                <c:pt idx="58">
                  <c:v>9708.4481269814714</c:v>
                </c:pt>
                <c:pt idx="59">
                  <c:v>10478.503604944661</c:v>
                </c:pt>
                <c:pt idx="60">
                  <c:v>11015.545141571272</c:v>
                </c:pt>
                <c:pt idx="61">
                  <c:v>11694.580884627594</c:v>
                </c:pt>
                <c:pt idx="62">
                  <c:v>11238.499630906794</c:v>
                </c:pt>
                <c:pt idx="63">
                  <c:v>11406.91836245093</c:v>
                </c:pt>
                <c:pt idx="64">
                  <c:v>11797.97007262885</c:v>
                </c:pt>
              </c:numCache>
            </c:numRef>
          </c:val>
          <c:smooth val="0"/>
          <c:extLst>
            <c:ext xmlns:c16="http://schemas.microsoft.com/office/drawing/2014/chart" uri="{C3380CC4-5D6E-409C-BE32-E72D297353CC}">
              <c16:uniqueId val="{00000001-797C-4F66-BA28-8B7C8B4E808F}"/>
            </c:ext>
          </c:extLst>
        </c:ser>
        <c:dLbls>
          <c:showLegendKey val="0"/>
          <c:showVal val="0"/>
          <c:showCatName val="0"/>
          <c:showSerName val="0"/>
          <c:showPercent val="0"/>
          <c:showBubbleSize val="0"/>
        </c:dLbls>
        <c:smooth val="0"/>
        <c:axId val="87454080"/>
        <c:axId val="87455616"/>
      </c:lineChart>
      <c:catAx>
        <c:axId val="87454080"/>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455616"/>
        <c:crosses val="autoZero"/>
        <c:auto val="1"/>
        <c:lblAlgn val="ctr"/>
        <c:lblOffset val="100"/>
        <c:tickLblSkip val="6"/>
        <c:tickMarkSkip val="2"/>
        <c:noMultiLvlLbl val="0"/>
      </c:catAx>
      <c:valAx>
        <c:axId val="87455616"/>
        <c:scaling>
          <c:logBase val="10"/>
          <c:orientation val="minMax"/>
        </c:scaling>
        <c:delete val="0"/>
        <c:axPos val="l"/>
        <c:majorGridlines/>
        <c:minorGridlines/>
        <c:numFmt formatCode="0" sourceLinked="0"/>
        <c:majorTickMark val="out"/>
        <c:minorTickMark val="none"/>
        <c:tickLblPos val="nextTo"/>
        <c:txPr>
          <a:bodyPr/>
          <a:lstStyle/>
          <a:p>
            <a:pPr>
              <a:defRPr sz="1400" b="1"/>
            </a:pPr>
            <a:endParaRPr lang="en-US"/>
          </a:p>
        </c:txPr>
        <c:crossAx val="87454080"/>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6.8.II.5'!$C$16</c:f>
              <c:strCache>
                <c:ptCount val="1"/>
                <c:pt idx="0">
                  <c:v>KNCcorp</c:v>
                </c:pt>
              </c:strCache>
            </c:strRef>
          </c:tx>
          <c:spPr>
            <a:ln w="38100">
              <a:solidFill>
                <a:schemeClr val="tx1"/>
              </a:solidFill>
            </a:ln>
          </c:spPr>
          <c:marker>
            <c:symbol val="none"/>
          </c:marker>
          <c:cat>
            <c:numRef>
              <c:f>'Appndx 6.8.II.5'!$D$12:$CL$12</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6.8.II.5'!$D$16:$CL$16</c:f>
              <c:numCache>
                <c:formatCode>0.0</c:formatCode>
                <c:ptCount val="87"/>
                <c:pt idx="0">
                  <c:v>77.77</c:v>
                </c:pt>
                <c:pt idx="1">
                  <c:v>81.253916184971089</c:v>
                </c:pt>
                <c:pt idx="2">
                  <c:v>87.437755545171825</c:v>
                </c:pt>
                <c:pt idx="3">
                  <c:v>91.591975842929941</c:v>
                </c:pt>
                <c:pt idx="4">
                  <c:v>97.020123704922355</c:v>
                </c:pt>
                <c:pt idx="5">
                  <c:v>100.80941249637925</c:v>
                </c:pt>
                <c:pt idx="6">
                  <c:v>95.234625490302292</c:v>
                </c:pt>
                <c:pt idx="7">
                  <c:v>90.443857998904534</c:v>
                </c:pt>
                <c:pt idx="8">
                  <c:v>87.448586845587158</c:v>
                </c:pt>
                <c:pt idx="9">
                  <c:v>85.609765305845443</c:v>
                </c:pt>
                <c:pt idx="10">
                  <c:v>83.717620440982074</c:v>
                </c:pt>
                <c:pt idx="11">
                  <c:v>81.545528119230084</c:v>
                </c:pt>
                <c:pt idx="12">
                  <c:v>83.584312128177984</c:v>
                </c:pt>
                <c:pt idx="13">
                  <c:v>82.733638457096731</c:v>
                </c:pt>
                <c:pt idx="14">
                  <c:v>83.505993494405558</c:v>
                </c:pt>
                <c:pt idx="15">
                  <c:v>83.495995370945252</c:v>
                </c:pt>
                <c:pt idx="16">
                  <c:v>83.899253017177685</c:v>
                </c:pt>
                <c:pt idx="17">
                  <c:v>83.127731156823884</c:v>
                </c:pt>
                <c:pt idx="18">
                  <c:v>81.424717460751367</c:v>
                </c:pt>
                <c:pt idx="19">
                  <c:v>79.25845737768455</c:v>
                </c:pt>
                <c:pt idx="20">
                  <c:v>76.699770948800634</c:v>
                </c:pt>
                <c:pt idx="21">
                  <c:v>83.591810720773196</c:v>
                </c:pt>
                <c:pt idx="22">
                  <c:v>93.47745529215311</c:v>
                </c:pt>
                <c:pt idx="23" formatCode="0.00">
                  <c:v>108.87181947236776</c:v>
                </c:pt>
                <c:pt idx="24" formatCode="0.00">
                  <c:v>116.34235391433698</c:v>
                </c:pt>
                <c:pt idx="25" formatCode="0.00">
                  <c:v>135.4786434270008</c:v>
                </c:pt>
                <c:pt idx="26" formatCode="0.00">
                  <c:v>153.05018883522644</c:v>
                </c:pt>
                <c:pt idx="27" formatCode="0.00">
                  <c:v>167.35066081076795</c:v>
                </c:pt>
                <c:pt idx="28" formatCode="0.00">
                  <c:v>181.0929233081971</c:v>
                </c:pt>
                <c:pt idx="29" formatCode="0.00">
                  <c:v>190.95914732811309</c:v>
                </c:pt>
                <c:pt idx="30" formatCode="0.00">
                  <c:v>214.44974765048576</c:v>
                </c:pt>
                <c:pt idx="31" formatCode="0.00">
                  <c:v>243.1735646598359</c:v>
                </c:pt>
                <c:pt idx="32" formatCode="0.00">
                  <c:v>266.08052775897443</c:v>
                </c:pt>
                <c:pt idx="33" formatCode="0.00">
                  <c:v>274.9129145816438</c:v>
                </c:pt>
                <c:pt idx="34" formatCode="0.00">
                  <c:v>290.56766392670824</c:v>
                </c:pt>
                <c:pt idx="35" formatCode="0.00">
                  <c:v>299.99651908411721</c:v>
                </c:pt>
                <c:pt idx="36" formatCode="0.00">
                  <c:v>310.34867507386866</c:v>
                </c:pt>
                <c:pt idx="37" formatCode="0.00">
                  <c:v>323.6909055065932</c:v>
                </c:pt>
                <c:pt idx="38" formatCode="0.00">
                  <c:v>337.56699885843346</c:v>
                </c:pt>
                <c:pt idx="39" formatCode="0.00">
                  <c:v>360.67945656384245</c:v>
                </c:pt>
                <c:pt idx="40" formatCode="0.00">
                  <c:v>391.51987491684906</c:v>
                </c:pt>
                <c:pt idx="41" formatCode="0.00">
                  <c:v>433.05498984237107</c:v>
                </c:pt>
                <c:pt idx="42" formatCode="0.00">
                  <c:v>475.10946558557498</c:v>
                </c:pt>
                <c:pt idx="43" formatCode="0.00">
                  <c:v>528.46434656210488</c:v>
                </c:pt>
                <c:pt idx="44" formatCode="0.00">
                  <c:v>588.3750570199951</c:v>
                </c:pt>
                <c:pt idx="45" formatCode="0.00">
                  <c:v>653.17068168341473</c:v>
                </c:pt>
                <c:pt idx="46" formatCode="0.00">
                  <c:v>721.39012758012336</c:v>
                </c:pt>
                <c:pt idx="47" formatCode="0.00">
                  <c:v>789.17713635347798</c:v>
                </c:pt>
                <c:pt idx="48" formatCode="0.00">
                  <c:v>898.78570737628274</c:v>
                </c:pt>
                <c:pt idx="49" formatCode="0.00">
                  <c:v>1106.0672695397259</c:v>
                </c:pt>
                <c:pt idx="50" formatCode="0.00">
                  <c:v>1233.0862744879516</c:v>
                </c:pt>
                <c:pt idx="51" formatCode="0.00">
                  <c:v>1358.7917794235582</c:v>
                </c:pt>
                <c:pt idx="52" formatCode="0.00">
                  <c:v>1517.9330026892012</c:v>
                </c:pt>
                <c:pt idx="53" formatCode="0.00">
                  <c:v>1732.7347669542085</c:v>
                </c:pt>
                <c:pt idx="54" formatCode="0.00">
                  <c:v>2003.8061671874761</c:v>
                </c:pt>
                <c:pt idx="55" formatCode="0.00">
                  <c:v>2311.2788732536965</c:v>
                </c:pt>
                <c:pt idx="56" formatCode="0.00">
                  <c:v>2619.7223474076313</c:v>
                </c:pt>
                <c:pt idx="57" formatCode="0.00">
                  <c:v>2784.3085913891855</c:v>
                </c:pt>
                <c:pt idx="58" formatCode="0.00">
                  <c:v>2868.0496357503303</c:v>
                </c:pt>
                <c:pt idx="59" formatCode="0.00">
                  <c:v>3045.6594598104448</c:v>
                </c:pt>
                <c:pt idx="60" formatCode="0.00">
                  <c:v>3224.884995537328</c:v>
                </c:pt>
                <c:pt idx="61" formatCode="0.00">
                  <c:v>3377.1601047951908</c:v>
                </c:pt>
                <c:pt idx="62" formatCode="0.00">
                  <c:v>3558.1277941495446</c:v>
                </c:pt>
                <c:pt idx="63" formatCode="0.00">
                  <c:v>3790.1342922340514</c:v>
                </c:pt>
                <c:pt idx="64" formatCode="0.00">
                  <c:v>4022.3199966881789</c:v>
                </c:pt>
                <c:pt idx="65" formatCode="0.00">
                  <c:v>4263.9472250641156</c:v>
                </c:pt>
                <c:pt idx="66" formatCode="0.00">
                  <c:v>4375.6661478156238</c:v>
                </c:pt>
                <c:pt idx="67" formatCode="0.00">
                  <c:v>4534.0863190006412</c:v>
                </c:pt>
                <c:pt idx="68" formatCode="0.00">
                  <c:v>4760.1791447404858</c:v>
                </c:pt>
                <c:pt idx="69" formatCode="0.00">
                  <c:v>5039.1036096115276</c:v>
                </c:pt>
                <c:pt idx="70" formatCode="0.00">
                  <c:v>5352.0043204349904</c:v>
                </c:pt>
                <c:pt idx="71" formatCode="0.00">
                  <c:v>5657.8124582900437</c:v>
                </c:pt>
                <c:pt idx="72" formatCode="0.00">
                  <c:v>6010.7635198928601</c:v>
                </c:pt>
                <c:pt idx="73" formatCode="0.00">
                  <c:v>6392.930342530286</c:v>
                </c:pt>
                <c:pt idx="74" formatCode="0.00">
                  <c:v>6820.8096947881095</c:v>
                </c:pt>
                <c:pt idx="75" formatCode="0.00">
                  <c:v>7358.470947300596</c:v>
                </c:pt>
                <c:pt idx="76" formatCode="0.00">
                  <c:v>7789.9967768644001</c:v>
                </c:pt>
                <c:pt idx="77" formatCode="0.00">
                  <c:v>8079.8634754946725</c:v>
                </c:pt>
                <c:pt idx="78" formatCode="0.00">
                  <c:v>8328.1736557664899</c:v>
                </c:pt>
                <c:pt idx="79" formatCode="0.00">
                  <c:v>8958.4412203934717</c:v>
                </c:pt>
                <c:pt idx="80" formatCode="0.00">
                  <c:v>9708.4481269814714</c:v>
                </c:pt>
                <c:pt idx="81" formatCode="0.00">
                  <c:v>10478.503604944661</c:v>
                </c:pt>
                <c:pt idx="82" formatCode="0.00">
                  <c:v>11015.545141571272</c:v>
                </c:pt>
                <c:pt idx="83" formatCode="0.00">
                  <c:v>11694.580884627594</c:v>
                </c:pt>
                <c:pt idx="84" formatCode="0.00">
                  <c:v>11238.499630906794</c:v>
                </c:pt>
                <c:pt idx="85" formatCode="0.00">
                  <c:v>11406.91836245093</c:v>
                </c:pt>
                <c:pt idx="86" formatCode="0.00">
                  <c:v>11797.97007262885</c:v>
                </c:pt>
              </c:numCache>
            </c:numRef>
          </c:val>
          <c:smooth val="0"/>
          <c:extLst>
            <c:ext xmlns:c16="http://schemas.microsoft.com/office/drawing/2014/chart" uri="{C3380CC4-5D6E-409C-BE32-E72D297353CC}">
              <c16:uniqueId val="{00000000-E540-4C31-8795-895F7F01BEA7}"/>
            </c:ext>
          </c:extLst>
        </c:ser>
        <c:ser>
          <c:idx val="1"/>
          <c:order val="1"/>
          <c:tx>
            <c:strRef>
              <c:f>'Appndx 6.8.II.5'!$C$17</c:f>
              <c:strCache>
                <c:ptCount val="1"/>
                <c:pt idx="0">
                  <c:v>KGCcorp</c:v>
                </c:pt>
              </c:strCache>
            </c:strRef>
          </c:tx>
          <c:spPr>
            <a:ln w="31750">
              <a:solidFill>
                <a:schemeClr val="tx1"/>
              </a:solidFill>
              <a:prstDash val="dash"/>
            </a:ln>
          </c:spPr>
          <c:marker>
            <c:symbol val="none"/>
          </c:marker>
          <c:cat>
            <c:numRef>
              <c:f>'Appndx 6.8.II.5'!$D$12:$CL$12</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6.8.II.5'!$D$17:$CL$17</c:f>
              <c:numCache>
                <c:formatCode>0.0</c:formatCode>
                <c:ptCount val="87"/>
                <c:pt idx="0">
                  <c:v>141.91900000000001</c:v>
                </c:pt>
                <c:pt idx="1">
                  <c:v>148.27664306358383</c:v>
                </c:pt>
                <c:pt idx="2">
                  <c:v>159.56125535830324</c:v>
                </c:pt>
                <c:pt idx="3">
                  <c:v>167.14210646332489</c:v>
                </c:pt>
                <c:pt idx="4">
                  <c:v>177.04769109012315</c:v>
                </c:pt>
                <c:pt idx="5">
                  <c:v>183.96259498615981</c:v>
                </c:pt>
                <c:pt idx="6">
                  <c:v>173.78941513383327</c:v>
                </c:pt>
                <c:pt idx="7">
                  <c:v>165.04695748163218</c:v>
                </c:pt>
                <c:pt idx="8">
                  <c:v>159.5810209147343</c:v>
                </c:pt>
                <c:pt idx="9">
                  <c:v>156.22543760370684</c:v>
                </c:pt>
                <c:pt idx="10">
                  <c:v>152.77254693794185</c:v>
                </c:pt>
                <c:pt idx="11">
                  <c:v>148.80879265980474</c:v>
                </c:pt>
                <c:pt idx="12">
                  <c:v>152.529278551098</c:v>
                </c:pt>
                <c:pt idx="13">
                  <c:v>150.97692215755063</c:v>
                </c:pt>
                <c:pt idx="14">
                  <c:v>152.38635837382725</c:v>
                </c:pt>
                <c:pt idx="15">
                  <c:v>152.36811324481394</c:v>
                </c:pt>
                <c:pt idx="16">
                  <c:v>153.10400011501659</c:v>
                </c:pt>
                <c:pt idx="17">
                  <c:v>151.69608432615777</c:v>
                </c:pt>
                <c:pt idx="18">
                  <c:v>148.58833068422751</c:v>
                </c:pt>
                <c:pt idx="19">
                  <c:v>144.63521939801484</c:v>
                </c:pt>
                <c:pt idx="20">
                  <c:v>139.96598679803057</c:v>
                </c:pt>
                <c:pt idx="21">
                  <c:v>152.54296239785796</c:v>
                </c:pt>
                <c:pt idx="22">
                  <c:v>170.58283370974769</c:v>
                </c:pt>
                <c:pt idx="23">
                  <c:v>191.68359280651978</c:v>
                </c:pt>
                <c:pt idx="24">
                  <c:v>200.7047696097666</c:v>
                </c:pt>
                <c:pt idx="25">
                  <c:v>230.20600652901382</c:v>
                </c:pt>
                <c:pt idx="26">
                  <c:v>255.84979414602253</c:v>
                </c:pt>
                <c:pt idx="27">
                  <c:v>276.73284181520842</c:v>
                </c:pt>
                <c:pt idx="28">
                  <c:v>296.53555848647704</c:v>
                </c:pt>
                <c:pt idx="29">
                  <c:v>311.23510269058767</c:v>
                </c:pt>
                <c:pt idx="30">
                  <c:v>347.98339125729046</c:v>
                </c:pt>
                <c:pt idx="31">
                  <c:v>391.84737262800849</c:v>
                </c:pt>
                <c:pt idx="32">
                  <c:v>426.58610936054731</c:v>
                </c:pt>
                <c:pt idx="33">
                  <c:v>442.59008309327965</c:v>
                </c:pt>
                <c:pt idx="34">
                  <c:v>469.2512596112735</c:v>
                </c:pt>
                <c:pt idx="35">
                  <c:v>484.93225288290358</c:v>
                </c:pt>
                <c:pt idx="36">
                  <c:v>503.27763471608745</c:v>
                </c:pt>
                <c:pt idx="37">
                  <c:v>525.44923899800187</c:v>
                </c:pt>
                <c:pt idx="38">
                  <c:v>548.43172015159848</c:v>
                </c:pt>
                <c:pt idx="39">
                  <c:v>584.41674060841797</c:v>
                </c:pt>
                <c:pt idx="40">
                  <c:v>629.51384997359241</c:v>
                </c:pt>
                <c:pt idx="41">
                  <c:v>689.33894427325106</c:v>
                </c:pt>
                <c:pt idx="42">
                  <c:v>753.33113522681447</c:v>
                </c:pt>
                <c:pt idx="43">
                  <c:v>835.85126617602316</c:v>
                </c:pt>
                <c:pt idx="44">
                  <c:v>928.3262407092185</c:v>
                </c:pt>
                <c:pt idx="45">
                  <c:v>1032.4109896184032</c:v>
                </c:pt>
                <c:pt idx="46">
                  <c:v>1145.8564474489679</c:v>
                </c:pt>
                <c:pt idx="47">
                  <c:v>1256.3166880969834</c:v>
                </c:pt>
                <c:pt idx="48">
                  <c:v>1429.5600183096158</c:v>
                </c:pt>
                <c:pt idx="49">
                  <c:v>1763.5896893717152</c:v>
                </c:pt>
                <c:pt idx="50">
                  <c:v>1983.0408217262741</c:v>
                </c:pt>
                <c:pt idx="51">
                  <c:v>2204.9619793215516</c:v>
                </c:pt>
                <c:pt idx="52">
                  <c:v>2477.8222116408642</c:v>
                </c:pt>
                <c:pt idx="53">
                  <c:v>2835.8341845926311</c:v>
                </c:pt>
                <c:pt idx="54">
                  <c:v>3283.9472079486031</c:v>
                </c:pt>
                <c:pt idx="55">
                  <c:v>3800.0711216002469</c:v>
                </c:pt>
                <c:pt idx="56">
                  <c:v>4326.9839530503541</c:v>
                </c:pt>
                <c:pt idx="57">
                  <c:v>4638.9577760993016</c:v>
                </c:pt>
                <c:pt idx="58">
                  <c:v>4822.6751063715528</c:v>
                </c:pt>
                <c:pt idx="59">
                  <c:v>5136.9718432926129</c:v>
                </c:pt>
                <c:pt idx="60">
                  <c:v>5450.7339934434549</c:v>
                </c:pt>
                <c:pt idx="61">
                  <c:v>5739.714132823804</c:v>
                </c:pt>
                <c:pt idx="62">
                  <c:v>6092.1964278163705</c:v>
                </c:pt>
                <c:pt idx="63">
                  <c:v>6531.1328708283454</c:v>
                </c:pt>
                <c:pt idx="64">
                  <c:v>6967.2695129476142</c:v>
                </c:pt>
                <c:pt idx="65">
                  <c:v>7416.8195516211827</c:v>
                </c:pt>
                <c:pt idx="66">
                  <c:v>7670.8141193721458</c:v>
                </c:pt>
                <c:pt idx="67">
                  <c:v>8013.0348011428432</c:v>
                </c:pt>
                <c:pt idx="68">
                  <c:v>8456.6793089390594</c:v>
                </c:pt>
                <c:pt idx="69">
                  <c:v>8977.8033935969743</c:v>
                </c:pt>
                <c:pt idx="70">
                  <c:v>9530.4326970320108</c:v>
                </c:pt>
                <c:pt idx="71">
                  <c:v>10053.447802744928</c:v>
                </c:pt>
                <c:pt idx="72">
                  <c:v>10645.467618064265</c:v>
                </c:pt>
                <c:pt idx="73">
                  <c:v>11273.091065707426</c:v>
                </c:pt>
                <c:pt idx="74">
                  <c:v>11967.667396537861</c:v>
                </c:pt>
                <c:pt idx="75">
                  <c:v>12840.566656941339</c:v>
                </c:pt>
                <c:pt idx="76">
                  <c:v>13620.733166343192</c:v>
                </c:pt>
                <c:pt idx="77">
                  <c:v>14281.233872520141</c:v>
                </c:pt>
                <c:pt idx="78">
                  <c:v>14892.479153434093</c:v>
                </c:pt>
                <c:pt idx="79">
                  <c:v>16199.660108377739</c:v>
                </c:pt>
                <c:pt idx="80">
                  <c:v>17723.462355358093</c:v>
                </c:pt>
                <c:pt idx="81">
                  <c:v>19265.16196987102</c:v>
                </c:pt>
                <c:pt idx="82">
                  <c:v>20353.558169953449</c:v>
                </c:pt>
                <c:pt idx="83">
                  <c:v>21776.885775207476</c:v>
                </c:pt>
                <c:pt idx="84">
                  <c:v>21294.719040537588</c:v>
                </c:pt>
                <c:pt idx="85">
                  <c:v>21982.081961583935</c:v>
                </c:pt>
                <c:pt idx="86">
                  <c:v>23023.968602353023</c:v>
                </c:pt>
              </c:numCache>
            </c:numRef>
          </c:val>
          <c:smooth val="0"/>
          <c:extLst>
            <c:ext xmlns:c16="http://schemas.microsoft.com/office/drawing/2014/chart" uri="{C3380CC4-5D6E-409C-BE32-E72D297353CC}">
              <c16:uniqueId val="{00000001-E540-4C31-8795-895F7F01BEA7}"/>
            </c:ext>
          </c:extLst>
        </c:ser>
        <c:ser>
          <c:idx val="2"/>
          <c:order val="2"/>
          <c:tx>
            <c:strRef>
              <c:f>'Appndx 6.8.II.2'!$C$12</c:f>
              <c:strCache>
                <c:ptCount val="1"/>
                <c:pt idx="0">
                  <c:v>KNCcorpbea</c:v>
                </c:pt>
              </c:strCache>
            </c:strRef>
          </c:tx>
          <c:spPr>
            <a:ln w="38100">
              <a:solidFill>
                <a:schemeClr val="tx1"/>
              </a:solidFill>
              <a:prstDash val="sysDot"/>
            </a:ln>
          </c:spPr>
          <c:marker>
            <c:symbol val="none"/>
          </c:marker>
          <c:cat>
            <c:numRef>
              <c:f>'Appndx 6.8.II.5'!$D$12:$CL$12</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6.8.II.2'!$D$12:$CL$12</c:f>
              <c:numCache>
                <c:formatCode>0.0</c:formatCode>
                <c:ptCount val="87"/>
                <c:pt idx="0">
                  <c:v>98.1</c:v>
                </c:pt>
                <c:pt idx="1">
                  <c:v>101.0183856502242</c:v>
                </c:pt>
                <c:pt idx="2">
                  <c:v>102.49925882971768</c:v>
                </c:pt>
                <c:pt idx="3">
                  <c:v>104.7900247718437</c:v>
                </c:pt>
                <c:pt idx="4">
                  <c:v>103.708792215535</c:v>
                </c:pt>
                <c:pt idx="5">
                  <c:v>98.697510347294951</c:v>
                </c:pt>
                <c:pt idx="6">
                  <c:v>88.540499545236173</c:v>
                </c:pt>
                <c:pt idx="7">
                  <c:v>82.514764234995681</c:v>
                </c:pt>
                <c:pt idx="8">
                  <c:v>83.377983104170582</c:v>
                </c:pt>
                <c:pt idx="9">
                  <c:v>84.329442870283771</c:v>
                </c:pt>
                <c:pt idx="10">
                  <c:v>83.888180925207479</c:v>
                </c:pt>
                <c:pt idx="11">
                  <c:v>92.108108568649001</c:v>
                </c:pt>
                <c:pt idx="12">
                  <c:v>95.301737652225057</c:v>
                </c:pt>
                <c:pt idx="13">
                  <c:v>93.986778477851558</c:v>
                </c:pt>
                <c:pt idx="14">
                  <c:v>94.389981744804373</c:v>
                </c:pt>
                <c:pt idx="15">
                  <c:v>100.1271191385587</c:v>
                </c:pt>
                <c:pt idx="16">
                  <c:v>112.09641298920137</c:v>
                </c:pt>
                <c:pt idx="17">
                  <c:v>118.85777381507322</c:v>
                </c:pt>
                <c:pt idx="18">
                  <c:v>119.34931875046212</c:v>
                </c:pt>
                <c:pt idx="19">
                  <c:v>120.22152321319321</c:v>
                </c:pt>
                <c:pt idx="20">
                  <c:v>131.1996878155243</c:v>
                </c:pt>
                <c:pt idx="21">
                  <c:v>158.80679353617552</c:v>
                </c:pt>
                <c:pt idx="22">
                  <c:v>189.04116128281086</c:v>
                </c:pt>
                <c:pt idx="23">
                  <c:v>206.87370626777658</c:v>
                </c:pt>
                <c:pt idx="24">
                  <c:v>211.07398212509025</c:v>
                </c:pt>
                <c:pt idx="25">
                  <c:v>236.52100377753229</c:v>
                </c:pt>
                <c:pt idx="26">
                  <c:v>256.91692685714355</c:v>
                </c:pt>
                <c:pt idx="27">
                  <c:v>271.81244408967194</c:v>
                </c:pt>
                <c:pt idx="28">
                  <c:v>285.31081993684836</c:v>
                </c:pt>
                <c:pt idx="29">
                  <c:v>293.70234186346772</c:v>
                </c:pt>
                <c:pt idx="30">
                  <c:v>322.93764787479887</c:v>
                </c:pt>
                <c:pt idx="31">
                  <c:v>358.22258143301286</c:v>
                </c:pt>
                <c:pt idx="32">
                  <c:v>384.28385845799278</c:v>
                </c:pt>
                <c:pt idx="33">
                  <c:v>391.89432187692648</c:v>
                </c:pt>
                <c:pt idx="34">
                  <c:v>409.14090028312654</c:v>
                </c:pt>
                <c:pt idx="35">
                  <c:v>417.48726914484911</c:v>
                </c:pt>
                <c:pt idx="36">
                  <c:v>427.9695647057481</c:v>
                </c:pt>
                <c:pt idx="37">
                  <c:v>441.91712146768356</c:v>
                </c:pt>
                <c:pt idx="38">
                  <c:v>456.45722530905874</c:v>
                </c:pt>
                <c:pt idx="39">
                  <c:v>482.32395500404419</c:v>
                </c:pt>
                <c:pt idx="40">
                  <c:v>515.90857111993796</c:v>
                </c:pt>
                <c:pt idx="41">
                  <c:v>561.33697553753257</c:v>
                </c:pt>
                <c:pt idx="42">
                  <c:v>608.23101263008812</c:v>
                </c:pt>
                <c:pt idx="43">
                  <c:v>669.20500133816745</c:v>
                </c:pt>
                <c:pt idx="44">
                  <c:v>736.78401826374488</c:v>
                </c:pt>
                <c:pt idx="45">
                  <c:v>810.5926363043061</c:v>
                </c:pt>
                <c:pt idx="46">
                  <c:v>889.35234294382008</c:v>
                </c:pt>
                <c:pt idx="47">
                  <c:v>966.17260563347395</c:v>
                </c:pt>
                <c:pt idx="48">
                  <c:v>1089.6873794007995</c:v>
                </c:pt>
                <c:pt idx="49">
                  <c:v>1332.9789357460609</c:v>
                </c:pt>
                <c:pt idx="50">
                  <c:v>1480.5044033577967</c:v>
                </c:pt>
                <c:pt idx="51">
                  <c:v>1627.3950991459658</c:v>
                </c:pt>
                <c:pt idx="52">
                  <c:v>1811.6150211170527</c:v>
                </c:pt>
                <c:pt idx="53">
                  <c:v>2058.9907680984452</c:v>
                </c:pt>
                <c:pt idx="54">
                  <c:v>2372.3154328539517</c:v>
                </c:pt>
                <c:pt idx="55">
                  <c:v>2727.1098920262507</c:v>
                </c:pt>
                <c:pt idx="56">
                  <c:v>3085.6295752163214</c:v>
                </c:pt>
                <c:pt idx="57">
                  <c:v>3280.5613982554005</c:v>
                </c:pt>
                <c:pt idx="58">
                  <c:v>3379.5270368824099</c:v>
                </c:pt>
                <c:pt idx="59">
                  <c:v>3582.7686909099193</c:v>
                </c:pt>
                <c:pt idx="60">
                  <c:v>3784.4445483118338</c:v>
                </c:pt>
                <c:pt idx="61">
                  <c:v>3955.9887672421273</c:v>
                </c:pt>
                <c:pt idx="62">
                  <c:v>4163.9621786770704</c:v>
                </c:pt>
                <c:pt idx="63">
                  <c:v>4428.6100015091433</c:v>
                </c:pt>
                <c:pt idx="64">
                  <c:v>4696.5274073326709</c:v>
                </c:pt>
                <c:pt idx="65">
                  <c:v>4961.1194210611939</c:v>
                </c:pt>
                <c:pt idx="66">
                  <c:v>5075.5288516619039</c:v>
                </c:pt>
                <c:pt idx="67">
                  <c:v>5250.8241190748104</c:v>
                </c:pt>
                <c:pt idx="68">
                  <c:v>5500.592856221755</c:v>
                </c:pt>
                <c:pt idx="69">
                  <c:v>5805.9604432530487</c:v>
                </c:pt>
                <c:pt idx="70">
                  <c:v>6136.5991056054554</c:v>
                </c:pt>
                <c:pt idx="71">
                  <c:v>6451.600519091945</c:v>
                </c:pt>
                <c:pt idx="72">
                  <c:v>6812.1739171366289</c:v>
                </c:pt>
                <c:pt idx="73">
                  <c:v>7197.3455872759259</c:v>
                </c:pt>
                <c:pt idx="74">
                  <c:v>7621.6277461780001</c:v>
                </c:pt>
                <c:pt idx="75">
                  <c:v>8154.6271204174855</c:v>
                </c:pt>
                <c:pt idx="76">
                  <c:v>8588.950335181662</c:v>
                </c:pt>
                <c:pt idx="77">
                  <c:v>8900.8402688504684</c:v>
                </c:pt>
                <c:pt idx="78">
                  <c:v>9178.6398047285984</c:v>
                </c:pt>
                <c:pt idx="79">
                  <c:v>9904.847948333394</c:v>
                </c:pt>
                <c:pt idx="80">
                  <c:v>10780.814988175061</c:v>
                </c:pt>
                <c:pt idx="81">
                  <c:v>11684.026829024126</c:v>
                </c:pt>
                <c:pt idx="82">
                  <c:v>12317.435287381324</c:v>
                </c:pt>
                <c:pt idx="83">
                  <c:v>13141.338779693097</c:v>
                </c:pt>
                <c:pt idx="84">
                  <c:v>12704.129066712618</c:v>
                </c:pt>
                <c:pt idx="85">
                  <c:v>12996.264490139092</c:v>
                </c:pt>
                <c:pt idx="86">
                  <c:v>13531.219575411427</c:v>
                </c:pt>
              </c:numCache>
            </c:numRef>
          </c:val>
          <c:smooth val="0"/>
          <c:extLst>
            <c:ext xmlns:c16="http://schemas.microsoft.com/office/drawing/2014/chart" uri="{C3380CC4-5D6E-409C-BE32-E72D297353CC}">
              <c16:uniqueId val="{00000002-E540-4C31-8795-895F7F01BEA7}"/>
            </c:ext>
          </c:extLst>
        </c:ser>
        <c:dLbls>
          <c:showLegendKey val="0"/>
          <c:showVal val="0"/>
          <c:showCatName val="0"/>
          <c:showSerName val="0"/>
          <c:showPercent val="0"/>
          <c:showBubbleSize val="0"/>
        </c:dLbls>
        <c:smooth val="0"/>
        <c:axId val="87672704"/>
        <c:axId val="87674240"/>
      </c:lineChart>
      <c:catAx>
        <c:axId val="8767270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674240"/>
        <c:crosses val="autoZero"/>
        <c:auto val="1"/>
        <c:lblAlgn val="ctr"/>
        <c:lblOffset val="100"/>
        <c:tickLblSkip val="6"/>
        <c:tickMarkSkip val="2"/>
        <c:noMultiLvlLbl val="0"/>
      </c:catAx>
      <c:valAx>
        <c:axId val="87674240"/>
        <c:scaling>
          <c:logBase val="10"/>
          <c:orientation val="minMax"/>
          <c:min val="10"/>
        </c:scaling>
        <c:delete val="0"/>
        <c:axPos val="l"/>
        <c:majorGridlines/>
        <c:minorGridlines/>
        <c:numFmt formatCode="0" sourceLinked="0"/>
        <c:majorTickMark val="out"/>
        <c:minorTickMark val="none"/>
        <c:tickLblPos val="nextTo"/>
        <c:txPr>
          <a:bodyPr/>
          <a:lstStyle/>
          <a:p>
            <a:pPr>
              <a:defRPr sz="1400" b="1"/>
            </a:pPr>
            <a:endParaRPr lang="en-US"/>
          </a:p>
        </c:txPr>
        <c:crossAx val="87672704"/>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lineChart>
        <c:grouping val="standard"/>
        <c:varyColors val="0"/>
        <c:ser>
          <c:idx val="0"/>
          <c:order val="0"/>
          <c:tx>
            <c:strRef>
              <c:f>'Appndx 6.8.II.6'!$C$31</c:f>
              <c:strCache>
                <c:ptCount val="1"/>
                <c:pt idx="0">
                  <c:v>(KNHIRScorp / KHNcorpbea)</c:v>
                </c:pt>
              </c:strCache>
            </c:strRef>
          </c:tx>
          <c:spPr>
            <a:ln w="31750">
              <a:solidFill>
                <a:schemeClr val="tx1"/>
              </a:solidFill>
            </a:ln>
          </c:spPr>
          <c:marker>
            <c:symbol val="none"/>
          </c:marker>
          <c:trendline>
            <c:spPr>
              <a:ln w="19050">
                <a:solidFill>
                  <a:schemeClr val="tx1"/>
                </a:solidFill>
                <a:prstDash val="dash"/>
              </a:ln>
            </c:spPr>
            <c:trendlineType val="linear"/>
            <c:dispRSqr val="1"/>
            <c:dispEq val="1"/>
            <c:trendlineLbl>
              <c:layout>
                <c:manualLayout>
                  <c:x val="-0.45320240852246413"/>
                  <c:y val="-0.42496512156656319"/>
                </c:manualLayout>
              </c:layout>
              <c:numFmt formatCode="General" sourceLinked="0"/>
              <c:txPr>
                <a:bodyPr/>
                <a:lstStyle/>
                <a:p>
                  <a:pPr>
                    <a:defRPr sz="1200" b="1"/>
                  </a:pPr>
                  <a:endParaRPr lang="en-US"/>
                </a:p>
              </c:txPr>
            </c:trendlineLbl>
          </c:trendline>
          <c:cat>
            <c:numRef>
              <c:f>'Appndx 6.8.II.6'!$D$24:$BQ$24</c:f>
              <c:numCache>
                <c:formatCode>0</c:formatCode>
                <c:ptCount val="66"/>
                <c:pt idx="0">
                  <c:v>1946</c:v>
                </c:pt>
                <c:pt idx="1">
                  <c:v>1947</c:v>
                </c:pt>
                <c:pt idx="2">
                  <c:v>1948</c:v>
                </c:pt>
                <c:pt idx="3">
                  <c:v>1949</c:v>
                </c:pt>
                <c:pt idx="4">
                  <c:v>1950</c:v>
                </c:pt>
                <c:pt idx="5">
                  <c:v>1951</c:v>
                </c:pt>
                <c:pt idx="6">
                  <c:v>1952</c:v>
                </c:pt>
                <c:pt idx="7">
                  <c:v>1953</c:v>
                </c:pt>
                <c:pt idx="8">
                  <c:v>1954</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numCache>
            </c:numRef>
          </c:cat>
          <c:val>
            <c:numRef>
              <c:f>'Appndx 6.8.II.6'!$E$31:$BQ$31</c:f>
              <c:numCache>
                <c:formatCode>0.00</c:formatCode>
                <c:ptCount val="65"/>
                <c:pt idx="43" formatCode="0.0000">
                  <c:v>0.75590199553147852</c:v>
                </c:pt>
                <c:pt idx="44" formatCode="0.0000">
                  <c:v>0.74325523759547552</c:v>
                </c:pt>
                <c:pt idx="45" formatCode="0.0000">
                  <c:v>0.73113931770673657</c:v>
                </c:pt>
                <c:pt idx="46" formatCode="0.0000">
                  <c:v>0.71563927499404434</c:v>
                </c:pt>
                <c:pt idx="47" formatCode="0.0000">
                  <c:v>0.71215500462997727</c:v>
                </c:pt>
                <c:pt idx="48" formatCode="0.0000">
                  <c:v>0.69714324611015932</c:v>
                </c:pt>
                <c:pt idx="49" formatCode="0.0000">
                  <c:v>0.69472583752443284</c:v>
                </c:pt>
                <c:pt idx="50" formatCode="0.0000">
                  <c:v>0.67954605522479983</c:v>
                </c:pt>
                <c:pt idx="51" formatCode="0.0000">
                  <c:v>0.67295193124077224</c:v>
                </c:pt>
                <c:pt idx="52" formatCode="0.0000">
                  <c:v>0.6639319750058188</c:v>
                </c:pt>
                <c:pt idx="53" formatCode="0.0000">
                  <c:v>0.65426620327901663</c:v>
                </c:pt>
                <c:pt idx="54" formatCode="0.0000">
                  <c:v>0.64447013176880996</c:v>
                </c:pt>
                <c:pt idx="55" formatCode="0.0000">
                  <c:v>0.61205610218775963</c:v>
                </c:pt>
                <c:pt idx="56" formatCode="0.0000">
                  <c:v>0.59714074126711048</c:v>
                </c:pt>
                <c:pt idx="57" formatCode="0.0000">
                  <c:v>0.58541321837582716</c:v>
                </c:pt>
                <c:pt idx="58" formatCode="0.0000">
                  <c:v>0.59982652691949834</c:v>
                </c:pt>
                <c:pt idx="59" formatCode="0.0000">
                  <c:v>0.60162399563462321</c:v>
                </c:pt>
                <c:pt idx="60" formatCode="0.0000">
                  <c:v>0.60558582515367831</c:v>
                </c:pt>
                <c:pt idx="61" formatCode="0.0000">
                  <c:v>0.58207709166343458</c:v>
                </c:pt>
                <c:pt idx="62" formatCode="0.0000">
                  <c:v>0.56521688015218774</c:v>
                </c:pt>
                <c:pt idx="63" formatCode="0.0000">
                  <c:v>0.56519750141265279</c:v>
                </c:pt>
                <c:pt idx="64" formatCode="0.0000">
                  <c:v>0.57048540022362548</c:v>
                </c:pt>
              </c:numCache>
            </c:numRef>
          </c:val>
          <c:smooth val="0"/>
          <c:extLst>
            <c:ext xmlns:c16="http://schemas.microsoft.com/office/drawing/2014/chart" uri="{C3380CC4-5D6E-409C-BE32-E72D297353CC}">
              <c16:uniqueId val="{00000000-21E9-4CE5-AE4E-83CEDE5133E1}"/>
            </c:ext>
          </c:extLst>
        </c:ser>
        <c:dLbls>
          <c:showLegendKey val="0"/>
          <c:showVal val="0"/>
          <c:showCatName val="0"/>
          <c:showSerName val="0"/>
          <c:showPercent val="0"/>
          <c:showBubbleSize val="0"/>
        </c:dLbls>
        <c:smooth val="0"/>
        <c:axId val="87789952"/>
        <c:axId val="87791488"/>
      </c:lineChart>
      <c:catAx>
        <c:axId val="87789952"/>
        <c:scaling>
          <c:orientation val="minMax"/>
        </c:scaling>
        <c:delete val="0"/>
        <c:axPos val="b"/>
        <c:majorGridlines/>
        <c:numFmt formatCode="0" sourceLinked="1"/>
        <c:majorTickMark val="out"/>
        <c:minorTickMark val="none"/>
        <c:tickLblPos val="nextTo"/>
        <c:crossAx val="87791488"/>
        <c:crosses val="autoZero"/>
        <c:auto val="1"/>
        <c:lblAlgn val="ctr"/>
        <c:lblOffset val="100"/>
        <c:tickLblSkip val="6"/>
        <c:tickMarkSkip val="2"/>
        <c:noMultiLvlLbl val="0"/>
      </c:catAx>
      <c:valAx>
        <c:axId val="87791488"/>
        <c:scaling>
          <c:orientation val="minMax"/>
        </c:scaling>
        <c:delete val="0"/>
        <c:axPos val="l"/>
        <c:majorGridlines/>
        <c:numFmt formatCode="0.00" sourceLinked="1"/>
        <c:majorTickMark val="out"/>
        <c:minorTickMark val="none"/>
        <c:tickLblPos val="nextTo"/>
        <c:txPr>
          <a:bodyPr/>
          <a:lstStyle/>
          <a:p>
            <a:pPr>
              <a:defRPr sz="1400" b="1"/>
            </a:pPr>
            <a:endParaRPr lang="en-US"/>
          </a:p>
        </c:txPr>
        <c:crossAx val="87789952"/>
        <c:crosses val="autoZero"/>
        <c:crossBetween val="between"/>
      </c:valAx>
      <c:spPr>
        <a:ln>
          <a:solidFill>
            <a:schemeClr val="tx1"/>
          </a:solidFill>
        </a:ln>
      </c:spPr>
    </c:plotArea>
    <c:legend>
      <c:legendPos val="b"/>
      <c:layout/>
      <c:overlay val="0"/>
      <c:txPr>
        <a:bodyPr/>
        <a:lstStyle/>
        <a:p>
          <a:pPr>
            <a:defRPr sz="1200"/>
          </a:pPr>
          <a:endParaRPr lang="en-US"/>
        </a:p>
      </c:txPr>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3.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7.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21.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26.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27.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28.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29.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31.xml"/></Relationships>
</file>

<file path=xl/chartsheets/sheet1.xml><?xml version="1.0" encoding="utf-8"?>
<chartsheet xmlns="http://schemas.openxmlformats.org/spreadsheetml/2006/main" xmlns:r="http://schemas.openxmlformats.org/officeDocument/2006/relationships">
  <sheetPr>
    <tabColor theme="5" tint="0.39997558519241921"/>
  </sheetPr>
  <sheetViews>
    <sheetView zoomScale="5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tabColor rgb="FF92D050"/>
  </sheetPr>
  <sheetViews>
    <sheetView zoomScale="64"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sheetPr>
    <tabColor theme="5" tint="0.39997558519241921"/>
  </sheetPr>
  <sheetViews>
    <sheetView zoomScale="50"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sheetPr>
    <tabColor rgb="FFFFC000"/>
  </sheetPr>
  <sheetViews>
    <sheetView zoomScale="50"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sheetPr/>
  <sheetViews>
    <sheetView zoomScale="72"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sheetPr>
    <tabColor rgb="FFFFFF00"/>
  </sheetPr>
  <sheetViews>
    <sheetView zoomScale="56" workbookViewId="0"/>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sheetPr>
    <tabColor rgb="FFFFFF00"/>
  </sheetPr>
  <sheetViews>
    <sheetView zoomScale="72" workbookViewId="0" zoomToFit="1"/>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sheetPr>
    <tabColor rgb="FFFFC000"/>
  </sheetPr>
  <sheetViews>
    <sheetView zoomScale="72" workbookViewId="0" zoomToFit="1"/>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sheetPr>
    <tabColor rgb="FFFFC000"/>
  </sheetPr>
  <sheetViews>
    <sheetView zoomScale="72" workbookViewId="0" zoomToFit="1"/>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sheetPr>
    <tabColor rgb="FF92D050"/>
  </sheetPr>
  <sheetViews>
    <sheetView zoomScale="64" workbookViewId="0" zoomToFit="1"/>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20.xml><?xml version="1.0" encoding="utf-8"?>
<chartsheet xmlns="http://schemas.openxmlformats.org/spreadsheetml/2006/main" xmlns:r="http://schemas.openxmlformats.org/officeDocument/2006/relationships">
  <sheetPr>
    <tabColor rgb="FF92D050"/>
  </sheetPr>
  <sheetViews>
    <sheetView zoomScale="6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1797" cy="6290469"/>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0.59291</cdr:x>
      <cdr:y>0.07394</cdr:y>
    </cdr:from>
    <cdr:to>
      <cdr:x>0.70507</cdr:x>
      <cdr:y>0.12885</cdr:y>
    </cdr:to>
    <cdr:sp macro="" textlink="">
      <cdr:nvSpPr>
        <cdr:cNvPr id="3" name="TextBox 2"/>
        <cdr:cNvSpPr txBox="1"/>
      </cdr:nvSpPr>
      <cdr:spPr>
        <a:xfrm xmlns:a="http://schemas.openxmlformats.org/drawingml/2006/main">
          <a:off x="5123406" y="463128"/>
          <a:ext cx="969183" cy="3439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Rcorpnipa</a:t>
          </a:r>
        </a:p>
      </cdr:txBody>
    </cdr:sp>
  </cdr:relSizeAnchor>
  <cdr:relSizeAnchor xmlns:cdr="http://schemas.openxmlformats.org/drawingml/2006/chartDrawing">
    <cdr:from>
      <cdr:x>0.59811</cdr:x>
      <cdr:y>0.17688</cdr:y>
    </cdr:from>
    <cdr:to>
      <cdr:x>0.68029</cdr:x>
      <cdr:y>0.2318</cdr:y>
    </cdr:to>
    <cdr:sp macro="" textlink="">
      <cdr:nvSpPr>
        <cdr:cNvPr id="4" name="TextBox 1"/>
        <cdr:cNvSpPr txBox="1"/>
      </cdr:nvSpPr>
      <cdr:spPr>
        <a:xfrm xmlns:a="http://schemas.openxmlformats.org/drawingml/2006/main">
          <a:off x="5168316" y="1107939"/>
          <a:ext cx="710124" cy="3439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a:t>
          </a:r>
        </a:p>
      </cdr:txBody>
    </cdr:sp>
  </cdr:relSizeAnchor>
  <cdr:relSizeAnchor xmlns:cdr="http://schemas.openxmlformats.org/drawingml/2006/chartDrawing">
    <cdr:from>
      <cdr:x>0.58987</cdr:x>
      <cdr:y>0.41984</cdr:y>
    </cdr:from>
    <cdr:to>
      <cdr:x>0.74648</cdr:x>
      <cdr:y>0.47475</cdr:y>
    </cdr:to>
    <cdr:sp macro="" textlink="">
      <cdr:nvSpPr>
        <cdr:cNvPr id="5" name="TextBox 1"/>
        <cdr:cNvSpPr txBox="1"/>
      </cdr:nvSpPr>
      <cdr:spPr>
        <a:xfrm xmlns:a="http://schemas.openxmlformats.org/drawingml/2006/main">
          <a:off x="5097140" y="2629697"/>
          <a:ext cx="1353279" cy="3439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profshcorpnipa</a:t>
          </a:r>
        </a:p>
      </cdr:txBody>
    </cdr:sp>
  </cdr:relSizeAnchor>
  <cdr:relSizeAnchor xmlns:cdr="http://schemas.openxmlformats.org/drawingml/2006/chartDrawing">
    <cdr:from>
      <cdr:x>0.59516</cdr:x>
      <cdr:y>0.33297</cdr:y>
    </cdr:from>
    <cdr:to>
      <cdr:x>0.75177</cdr:x>
      <cdr:y>0.38789</cdr:y>
    </cdr:to>
    <cdr:sp macro="" textlink="">
      <cdr:nvSpPr>
        <cdr:cNvPr id="6" name="TextBox 1"/>
        <cdr:cNvSpPr txBox="1"/>
      </cdr:nvSpPr>
      <cdr:spPr>
        <a:xfrm xmlns:a="http://schemas.openxmlformats.org/drawingml/2006/main">
          <a:off x="5142860" y="2085576"/>
          <a:ext cx="1353279" cy="3439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profshcorp</a:t>
          </a:r>
        </a:p>
      </cdr:txBody>
    </cdr:sp>
  </cdr:relSizeAnchor>
  <cdr:relSizeAnchor xmlns:cdr="http://schemas.openxmlformats.org/drawingml/2006/chartDrawing">
    <cdr:from>
      <cdr:x>0.59568</cdr:x>
      <cdr:y>0.51957</cdr:y>
    </cdr:from>
    <cdr:to>
      <cdr:x>0.70784</cdr:x>
      <cdr:y>0.57448</cdr:y>
    </cdr:to>
    <cdr:sp macro="" textlink="">
      <cdr:nvSpPr>
        <cdr:cNvPr id="7" name="TextBox 1"/>
        <cdr:cNvSpPr txBox="1"/>
      </cdr:nvSpPr>
      <cdr:spPr>
        <a:xfrm xmlns:a="http://schemas.openxmlformats.org/drawingml/2006/main">
          <a:off x="5147350" y="3254378"/>
          <a:ext cx="969184" cy="3439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rcorpnipa</a:t>
          </a:r>
        </a:p>
      </cdr:txBody>
    </cdr:sp>
  </cdr:relSizeAnchor>
  <cdr:relSizeAnchor xmlns:cdr="http://schemas.openxmlformats.org/drawingml/2006/chartDrawing">
    <cdr:from>
      <cdr:x>0.5995</cdr:x>
      <cdr:y>0.61038</cdr:y>
    </cdr:from>
    <cdr:to>
      <cdr:x>0.68168</cdr:x>
      <cdr:y>0.6653</cdr:y>
    </cdr:to>
    <cdr:sp macro="" textlink="">
      <cdr:nvSpPr>
        <cdr:cNvPr id="8" name="TextBox 1"/>
        <cdr:cNvSpPr txBox="1"/>
      </cdr:nvSpPr>
      <cdr:spPr>
        <a:xfrm xmlns:a="http://schemas.openxmlformats.org/drawingml/2006/main">
          <a:off x="5180296" y="3823193"/>
          <a:ext cx="710124" cy="3439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0.59388</cdr:x>
      <cdr:y>0.09622</cdr:y>
    </cdr:from>
    <cdr:to>
      <cdr:x>0.64083</cdr:x>
      <cdr:y>0.15235</cdr:y>
    </cdr:to>
    <cdr:sp macro="" textlink="">
      <cdr:nvSpPr>
        <cdr:cNvPr id="3" name="TextBox 2"/>
        <cdr:cNvSpPr txBox="1"/>
      </cdr:nvSpPr>
      <cdr:spPr>
        <a:xfrm xmlns:a="http://schemas.openxmlformats.org/drawingml/2006/main">
          <a:off x="5135343" y="603556"/>
          <a:ext cx="405979" cy="3520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X</a:t>
          </a:r>
          <a:r>
            <a:rPr lang="en-US" sz="1400" b="1" baseline="-25000"/>
            <a:t>1</a:t>
          </a:r>
          <a:endParaRPr lang="en-US" sz="1400" b="1"/>
        </a:p>
      </cdr:txBody>
    </cdr:sp>
  </cdr:relSizeAnchor>
  <cdr:relSizeAnchor xmlns:cdr="http://schemas.openxmlformats.org/drawingml/2006/chartDrawing">
    <cdr:from>
      <cdr:x>0.59341</cdr:x>
      <cdr:y>0.36041</cdr:y>
    </cdr:from>
    <cdr:to>
      <cdr:x>0.64036</cdr:x>
      <cdr:y>0.41654</cdr:y>
    </cdr:to>
    <cdr:sp macro="" textlink="">
      <cdr:nvSpPr>
        <cdr:cNvPr id="4" name="TextBox 1"/>
        <cdr:cNvSpPr txBox="1"/>
      </cdr:nvSpPr>
      <cdr:spPr>
        <a:xfrm xmlns:a="http://schemas.openxmlformats.org/drawingml/2006/main">
          <a:off x="5131266" y="2260769"/>
          <a:ext cx="405979" cy="3520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X</a:t>
          </a:r>
          <a:r>
            <a:rPr lang="en-US" sz="1400" b="1" baseline="-25000"/>
            <a:t>2</a:t>
          </a:r>
          <a:endParaRPr lang="en-US" sz="1400" b="1"/>
        </a:p>
      </cdr:txBody>
    </cdr:sp>
  </cdr:relSizeAnchor>
  <cdr:relSizeAnchor xmlns:cdr="http://schemas.openxmlformats.org/drawingml/2006/chartDrawing">
    <cdr:from>
      <cdr:x>0.5883</cdr:x>
      <cdr:y>0.64988</cdr:y>
    </cdr:from>
    <cdr:to>
      <cdr:x>0.63525</cdr:x>
      <cdr:y>0.706</cdr:y>
    </cdr:to>
    <cdr:sp macro="" textlink="">
      <cdr:nvSpPr>
        <cdr:cNvPr id="5" name="TextBox 1"/>
        <cdr:cNvSpPr txBox="1"/>
      </cdr:nvSpPr>
      <cdr:spPr>
        <a:xfrm xmlns:a="http://schemas.openxmlformats.org/drawingml/2006/main">
          <a:off x="5087092" y="4076499"/>
          <a:ext cx="405979" cy="3520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X</a:t>
          </a:r>
          <a:r>
            <a:rPr lang="en-US" sz="1400" b="1" baseline="-25000"/>
            <a:t>3</a:t>
          </a:r>
          <a:endParaRPr lang="en-US" sz="1400" b="1"/>
        </a:p>
      </cdr:txBody>
    </cdr:sp>
  </cdr:relSizeAnchor>
  <cdr:relSizeAnchor xmlns:cdr="http://schemas.openxmlformats.org/drawingml/2006/chartDrawing">
    <cdr:from>
      <cdr:x>0.58316</cdr:x>
      <cdr:y>0.48318</cdr:y>
    </cdr:from>
    <cdr:to>
      <cdr:x>0.87299</cdr:x>
      <cdr:y>0.53931</cdr:y>
    </cdr:to>
    <cdr:sp macro="" textlink="">
      <cdr:nvSpPr>
        <cdr:cNvPr id="6" name="TextBox 1"/>
        <cdr:cNvSpPr txBox="1"/>
      </cdr:nvSpPr>
      <cdr:spPr>
        <a:xfrm xmlns:a="http://schemas.openxmlformats.org/drawingml/2006/main">
          <a:off x="5042647" y="3030868"/>
          <a:ext cx="2506173" cy="3520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rcorp/rcorpnipa</a:t>
          </a:r>
          <a:r>
            <a:rPr lang="en-US" sz="1400" b="1" baseline="0"/>
            <a:t> = ( </a:t>
          </a:r>
          <a:r>
            <a:rPr lang="en-US" sz="1400" b="1">
              <a:effectLst/>
              <a:latin typeface="+mn-lt"/>
              <a:ea typeface="+mn-ea"/>
              <a:cs typeface="+mn-cs"/>
            </a:rPr>
            <a:t>X</a:t>
          </a:r>
          <a:r>
            <a:rPr lang="en-US" sz="1400" b="1" baseline="-25000">
              <a:effectLst/>
              <a:latin typeface="+mn-lt"/>
              <a:ea typeface="+mn-ea"/>
              <a:cs typeface="+mn-cs"/>
            </a:rPr>
            <a:t>1</a:t>
          </a:r>
          <a:r>
            <a:rPr lang="en-US" sz="1400" b="1" baseline="0"/>
            <a:t> / </a:t>
          </a:r>
          <a:r>
            <a:rPr lang="en-US" sz="1400" b="1">
              <a:effectLst/>
              <a:latin typeface="+mn-lt"/>
              <a:ea typeface="+mn-ea"/>
              <a:cs typeface="+mn-cs"/>
            </a:rPr>
            <a:t>X</a:t>
          </a:r>
          <a:r>
            <a:rPr lang="en-US" sz="1400" b="1" baseline="-25000">
              <a:effectLst/>
              <a:latin typeface="+mn-lt"/>
              <a:ea typeface="+mn-ea"/>
              <a:cs typeface="+mn-cs"/>
            </a:rPr>
            <a:t>2</a:t>
          </a:r>
          <a:r>
            <a:rPr lang="en-US" sz="1400" b="1" baseline="0"/>
            <a:t> ) </a:t>
          </a:r>
          <a:r>
            <a:rPr lang="en-US" sz="1400" b="1">
              <a:effectLst/>
              <a:latin typeface="+mn-lt"/>
              <a:ea typeface="+mn-ea"/>
              <a:cs typeface="+mn-cs"/>
            </a:rPr>
            <a:t>X</a:t>
          </a:r>
          <a:r>
            <a:rPr lang="en-US" sz="1400" b="1" baseline="-25000">
              <a:effectLst/>
              <a:latin typeface="+mn-lt"/>
              <a:ea typeface="+mn-ea"/>
              <a:cs typeface="+mn-cs"/>
            </a:rPr>
            <a:t>3</a:t>
          </a:r>
          <a:r>
            <a:rPr lang="en-US" sz="1100" b="1" baseline="0">
              <a:effectLst/>
              <a:latin typeface="+mn-lt"/>
              <a:ea typeface="+mn-ea"/>
              <a:cs typeface="+mn-cs"/>
            </a:rPr>
            <a:t> </a:t>
          </a:r>
          <a:endParaRPr lang="en-US"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0.89434</cdr:x>
      <cdr:y>0.26734</cdr:y>
    </cdr:from>
    <cdr:to>
      <cdr:x>1</cdr:x>
      <cdr:y>0.41301</cdr:y>
    </cdr:to>
    <cdr:sp macro="" textlink="">
      <cdr:nvSpPr>
        <cdr:cNvPr id="2" name="TextBox 1"/>
        <cdr:cNvSpPr txBox="1"/>
      </cdr:nvSpPr>
      <cdr:spPr>
        <a:xfrm xmlns:a="http://schemas.openxmlformats.org/drawingml/2006/main">
          <a:off x="7910286" y="167821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674554" cy="629330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0.56185</cdr:x>
      <cdr:y>0.0308</cdr:y>
    </cdr:from>
    <cdr:to>
      <cdr:x>0.9687</cdr:x>
      <cdr:y>0.93224</cdr:y>
    </cdr:to>
    <cdr:sp macro="" textlink="">
      <cdr:nvSpPr>
        <cdr:cNvPr id="2" name="Rectangle 1"/>
        <cdr:cNvSpPr/>
      </cdr:nvSpPr>
      <cdr:spPr>
        <a:xfrm xmlns:a="http://schemas.openxmlformats.org/drawingml/2006/main">
          <a:off x="4862330" y="193345"/>
          <a:ext cx="3520938" cy="5658725"/>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0.60783</cdr:x>
      <cdr:y>0.13754</cdr:y>
    </cdr:from>
    <cdr:to>
      <cdr:x>0.88387</cdr:x>
      <cdr:y>0.2053</cdr:y>
    </cdr:to>
    <cdr:sp macro="" textlink="">
      <cdr:nvSpPr>
        <cdr:cNvPr id="3" name="TextBox 2"/>
        <cdr:cNvSpPr txBox="1"/>
      </cdr:nvSpPr>
      <cdr:spPr>
        <a:xfrm xmlns:a="http://schemas.openxmlformats.org/drawingml/2006/main">
          <a:off x="5262114" y="864632"/>
          <a:ext cx="2389696" cy="4259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400" b="0" i="0"/>
            <a:t>Neoliberal Era</a:t>
          </a:r>
        </a:p>
      </cdr:txBody>
    </cdr:sp>
  </cdr:relSizeAnchor>
  <cdr:relSizeAnchor xmlns:cdr="http://schemas.openxmlformats.org/drawingml/2006/chartDrawing">
    <cdr:from>
      <cdr:x>0.33127</cdr:x>
      <cdr:y>0.21255</cdr:y>
    </cdr:from>
    <cdr:to>
      <cdr:x>0.43755</cdr:x>
      <cdr:y>0.28236</cdr:y>
    </cdr:to>
    <cdr:sp macro="" textlink="">
      <cdr:nvSpPr>
        <cdr:cNvPr id="4" name="TextBox 3"/>
        <cdr:cNvSpPr txBox="1"/>
      </cdr:nvSpPr>
      <cdr:spPr>
        <a:xfrm xmlns:a="http://schemas.openxmlformats.org/drawingml/2006/main">
          <a:off x="2867896" y="1336172"/>
          <a:ext cx="920083" cy="4388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Rcorp</a:t>
          </a:r>
          <a:r>
            <a:rPr lang="en-US" sz="1800" b="1" baseline="-25000"/>
            <a:t>n</a:t>
          </a:r>
          <a:endParaRPr lang="en-US" sz="1800" b="1"/>
        </a:p>
      </cdr:txBody>
    </cdr:sp>
  </cdr:relSizeAnchor>
  <cdr:relSizeAnchor xmlns:cdr="http://schemas.openxmlformats.org/drawingml/2006/chartDrawing">
    <cdr:from>
      <cdr:x>0.25034</cdr:x>
      <cdr:y>0.65471</cdr:y>
    </cdr:from>
    <cdr:to>
      <cdr:x>0.34375</cdr:x>
      <cdr:y>0.72452</cdr:y>
    </cdr:to>
    <cdr:sp macro="" textlink="">
      <cdr:nvSpPr>
        <cdr:cNvPr id="5" name="TextBox 1"/>
        <cdr:cNvSpPr txBox="1"/>
      </cdr:nvSpPr>
      <cdr:spPr>
        <a:xfrm xmlns:a="http://schemas.openxmlformats.org/drawingml/2006/main">
          <a:off x="2167195" y="4115830"/>
          <a:ext cx="808666" cy="43886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baseline="0"/>
            <a:t>rcorp</a:t>
          </a:r>
          <a:r>
            <a:rPr lang="en-US" sz="1800" b="1" baseline="-25000"/>
            <a:t>n</a:t>
          </a:r>
          <a:endParaRPr lang="en-US" sz="1800" b="1"/>
        </a:p>
      </cdr:txBody>
    </cdr:sp>
  </cdr:relSizeAnchor>
  <cdr:relSizeAnchor xmlns:cdr="http://schemas.openxmlformats.org/drawingml/2006/chartDrawing">
    <cdr:from>
      <cdr:x>0.32603</cdr:x>
      <cdr:y>0.06676</cdr:y>
    </cdr:from>
    <cdr:to>
      <cdr:x>0.4763</cdr:x>
      <cdr:y>0.13657</cdr:y>
    </cdr:to>
    <cdr:sp macro="" textlink="">
      <cdr:nvSpPr>
        <cdr:cNvPr id="7" name="TextBox 1"/>
        <cdr:cNvSpPr txBox="1"/>
      </cdr:nvSpPr>
      <cdr:spPr>
        <a:xfrm xmlns:a="http://schemas.openxmlformats.org/drawingml/2006/main">
          <a:off x="2822523" y="419686"/>
          <a:ext cx="1300913"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Rcorpnipa</a:t>
          </a:r>
          <a:r>
            <a:rPr lang="en-US" sz="1800" b="1" baseline="-25000"/>
            <a:t>n</a:t>
          </a:r>
          <a:endParaRPr lang="en-US" sz="1800" b="1"/>
        </a:p>
      </cdr:txBody>
    </cdr:sp>
  </cdr:relSizeAnchor>
  <cdr:relSizeAnchor xmlns:cdr="http://schemas.openxmlformats.org/drawingml/2006/chartDrawing">
    <cdr:from>
      <cdr:x>0.22324</cdr:x>
      <cdr:y>0.51289</cdr:y>
    </cdr:from>
    <cdr:to>
      <cdr:x>0.37351</cdr:x>
      <cdr:y>0.5827</cdr:y>
    </cdr:to>
    <cdr:sp macro="" textlink="">
      <cdr:nvSpPr>
        <cdr:cNvPr id="8" name="TextBox 1"/>
        <cdr:cNvSpPr txBox="1"/>
      </cdr:nvSpPr>
      <cdr:spPr>
        <a:xfrm xmlns:a="http://schemas.openxmlformats.org/drawingml/2006/main">
          <a:off x="1932616" y="3224271"/>
          <a:ext cx="1300912" cy="43886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rcorpnipa</a:t>
          </a:r>
          <a:r>
            <a:rPr lang="en-US" sz="1800" b="1" baseline="-25000"/>
            <a:t>n</a:t>
          </a:r>
          <a:endParaRPr lang="en-US" sz="1800" b="1"/>
        </a:p>
      </cdr:txBody>
    </cdr:sp>
  </cdr:relSizeAnchor>
  <cdr:relSizeAnchor xmlns:cdr="http://schemas.openxmlformats.org/drawingml/2006/chartDrawing">
    <cdr:from>
      <cdr:x>0.51204</cdr:x>
      <cdr:y>0.4234</cdr:y>
    </cdr:from>
    <cdr:to>
      <cdr:x>0.7162</cdr:x>
      <cdr:y>0.49321</cdr:y>
    </cdr:to>
    <cdr:sp macro="" textlink="">
      <cdr:nvSpPr>
        <cdr:cNvPr id="9" name="TextBox 1"/>
        <cdr:cNvSpPr txBox="1"/>
      </cdr:nvSpPr>
      <cdr:spPr>
        <a:xfrm xmlns:a="http://schemas.openxmlformats.org/drawingml/2006/main">
          <a:off x="4432819" y="2661688"/>
          <a:ext cx="1767417"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profshcorp</a:t>
          </a:r>
          <a:r>
            <a:rPr lang="en-US" sz="1800" b="1" baseline="-25000"/>
            <a:t>n</a:t>
          </a:r>
          <a:endParaRPr lang="en-US" sz="1800" b="1"/>
        </a:p>
      </cdr:txBody>
    </cdr:sp>
  </cdr:relSizeAnchor>
  <cdr:relSizeAnchor xmlns:cdr="http://schemas.openxmlformats.org/drawingml/2006/chartDrawing">
    <cdr:from>
      <cdr:x>0.51948</cdr:x>
      <cdr:y>0.52669</cdr:y>
    </cdr:from>
    <cdr:to>
      <cdr:x>0.72363</cdr:x>
      <cdr:y>0.5965</cdr:y>
    </cdr:to>
    <cdr:sp macro="" textlink="">
      <cdr:nvSpPr>
        <cdr:cNvPr id="10" name="TextBox 1"/>
        <cdr:cNvSpPr txBox="1"/>
      </cdr:nvSpPr>
      <cdr:spPr>
        <a:xfrm xmlns:a="http://schemas.openxmlformats.org/drawingml/2006/main">
          <a:off x="4497199" y="3311065"/>
          <a:ext cx="1767417"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profshcorpnipa</a:t>
          </a:r>
          <a:r>
            <a:rPr lang="en-US" sz="1800" b="1" baseline="-25000"/>
            <a:t>n</a:t>
          </a:r>
          <a:endParaRPr lang="en-US" sz="1800" b="1"/>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0.56185</cdr:x>
      <cdr:y>0.0308</cdr:y>
    </cdr:from>
    <cdr:to>
      <cdr:x>0.9687</cdr:x>
      <cdr:y>0.93224</cdr:y>
    </cdr:to>
    <cdr:sp macro="" textlink="">
      <cdr:nvSpPr>
        <cdr:cNvPr id="2" name="Rectangle 1"/>
        <cdr:cNvSpPr/>
      </cdr:nvSpPr>
      <cdr:spPr>
        <a:xfrm xmlns:a="http://schemas.openxmlformats.org/drawingml/2006/main">
          <a:off x="4862330" y="193345"/>
          <a:ext cx="3520938" cy="5658725"/>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0.66397</cdr:x>
      <cdr:y>0.07566</cdr:y>
    </cdr:from>
    <cdr:to>
      <cdr:x>0.8741</cdr:x>
      <cdr:y>0.14342</cdr:y>
    </cdr:to>
    <cdr:sp macro="" textlink="">
      <cdr:nvSpPr>
        <cdr:cNvPr id="3" name="TextBox 2"/>
        <cdr:cNvSpPr txBox="1"/>
      </cdr:nvSpPr>
      <cdr:spPr>
        <a:xfrm xmlns:a="http://schemas.openxmlformats.org/drawingml/2006/main">
          <a:off x="5746092" y="474932"/>
          <a:ext cx="1818495" cy="4253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Neoliberal Era</a:t>
          </a:r>
        </a:p>
      </cdr:txBody>
    </cdr:sp>
  </cdr:relSizeAnchor>
  <cdr:relSizeAnchor xmlns:cdr="http://schemas.openxmlformats.org/drawingml/2006/chartDrawing">
    <cdr:from>
      <cdr:x>0.38967</cdr:x>
      <cdr:y>0.18413</cdr:y>
    </cdr:from>
    <cdr:to>
      <cdr:x>0.49595</cdr:x>
      <cdr:y>0.25394</cdr:y>
    </cdr:to>
    <cdr:sp macro="" textlink="">
      <cdr:nvSpPr>
        <cdr:cNvPr id="4" name="TextBox 3"/>
        <cdr:cNvSpPr txBox="1"/>
      </cdr:nvSpPr>
      <cdr:spPr>
        <a:xfrm xmlns:a="http://schemas.openxmlformats.org/drawingml/2006/main">
          <a:off x="3372253" y="1155891"/>
          <a:ext cx="919763" cy="4382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Rcorp</a:t>
          </a:r>
          <a:r>
            <a:rPr lang="en-US" sz="1800" b="1" baseline="-25000"/>
            <a:t>n</a:t>
          </a:r>
          <a:endParaRPr lang="en-US" sz="1800" b="1"/>
        </a:p>
      </cdr:txBody>
    </cdr:sp>
  </cdr:relSizeAnchor>
  <cdr:relSizeAnchor xmlns:cdr="http://schemas.openxmlformats.org/drawingml/2006/chartDrawing">
    <cdr:from>
      <cdr:x>0.39308</cdr:x>
      <cdr:y>0.48972</cdr:y>
    </cdr:from>
    <cdr:to>
      <cdr:x>0.48649</cdr:x>
      <cdr:y>0.55953</cdr:y>
    </cdr:to>
    <cdr:sp macro="" textlink="">
      <cdr:nvSpPr>
        <cdr:cNvPr id="5" name="TextBox 1"/>
        <cdr:cNvSpPr txBox="1"/>
      </cdr:nvSpPr>
      <cdr:spPr>
        <a:xfrm xmlns:a="http://schemas.openxmlformats.org/drawingml/2006/main">
          <a:off x="3402980" y="3078615"/>
          <a:ext cx="808666" cy="43886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baseline="0"/>
            <a:t>rcorp</a:t>
          </a:r>
          <a:r>
            <a:rPr lang="en-US" sz="1800" b="1" baseline="-25000"/>
            <a:t>n</a:t>
          </a:r>
          <a:endParaRPr lang="en-US" sz="1800" b="1"/>
        </a:p>
      </cdr:txBody>
    </cdr:sp>
  </cdr:relSizeAnchor>
  <cdr:relSizeAnchor xmlns:cdr="http://schemas.openxmlformats.org/drawingml/2006/chartDrawing">
    <cdr:from>
      <cdr:x>0.38582</cdr:x>
      <cdr:y>0.08699</cdr:y>
    </cdr:from>
    <cdr:to>
      <cdr:x>0.53609</cdr:x>
      <cdr:y>0.1568</cdr:y>
    </cdr:to>
    <cdr:sp macro="" textlink="">
      <cdr:nvSpPr>
        <cdr:cNvPr id="7" name="TextBox 1"/>
        <cdr:cNvSpPr txBox="1"/>
      </cdr:nvSpPr>
      <cdr:spPr>
        <a:xfrm xmlns:a="http://schemas.openxmlformats.org/drawingml/2006/main">
          <a:off x="3338941" y="546081"/>
          <a:ext cx="1300459" cy="4382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a:t>
          </a:r>
          <a:r>
            <a:rPr lang="en-US" sz="1800" b="1" baseline="-25000"/>
            <a:t>n</a:t>
          </a:r>
          <a:endParaRPr lang="en-US" sz="1800" b="1"/>
        </a:p>
      </cdr:txBody>
    </cdr:sp>
  </cdr:relSizeAnchor>
  <cdr:relSizeAnchor xmlns:cdr="http://schemas.openxmlformats.org/drawingml/2006/chartDrawing">
    <cdr:from>
      <cdr:x>0.38487</cdr:x>
      <cdr:y>0.61913</cdr:y>
    </cdr:from>
    <cdr:to>
      <cdr:x>0.53514</cdr:x>
      <cdr:y>0.68894</cdr:y>
    </cdr:to>
    <cdr:sp macro="" textlink="">
      <cdr:nvSpPr>
        <cdr:cNvPr id="8" name="TextBox 1"/>
        <cdr:cNvSpPr txBox="1"/>
      </cdr:nvSpPr>
      <cdr:spPr>
        <a:xfrm xmlns:a="http://schemas.openxmlformats.org/drawingml/2006/main">
          <a:off x="3331906" y="3892189"/>
          <a:ext cx="1300912"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a:t>
          </a:r>
          <a:r>
            <a:rPr lang="en-US" sz="1800" b="1" baseline="-25000"/>
            <a:t>n</a:t>
          </a:r>
          <a:endParaRPr lang="en-US" sz="1800" b="1"/>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0.33753</cdr:x>
      <cdr:y>0.12139</cdr:y>
    </cdr:from>
    <cdr:to>
      <cdr:x>0.71517</cdr:x>
      <cdr:y>0.2211</cdr:y>
    </cdr:to>
    <cdr:sp macro="" textlink="">
      <cdr:nvSpPr>
        <cdr:cNvPr id="2" name="TextBox 1"/>
        <cdr:cNvSpPr txBox="1"/>
      </cdr:nvSpPr>
      <cdr:spPr>
        <a:xfrm xmlns:a="http://schemas.openxmlformats.org/drawingml/2006/main">
          <a:off x="2920721" y="762988"/>
          <a:ext cx="3267838" cy="626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t>Average nominal iropcorp</a:t>
          </a:r>
          <a:r>
            <a:rPr lang="en-US" sz="1400" b="1" i="1" baseline="0"/>
            <a:t>           =  13.45%</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effectLst/>
              <a:latin typeface="+mn-lt"/>
              <a:ea typeface="+mn-ea"/>
              <a:cs typeface="+mn-cs"/>
            </a:rPr>
            <a:t>Average nominal iropcorpnipa</a:t>
          </a:r>
          <a:r>
            <a:rPr lang="en-US" sz="1400" b="1" i="1" baseline="0">
              <a:effectLst/>
              <a:latin typeface="+mn-lt"/>
              <a:ea typeface="+mn-ea"/>
              <a:cs typeface="+mn-cs"/>
            </a:rPr>
            <a:t>  =  13.62%</a:t>
          </a:r>
          <a:endParaRPr lang="en-US" sz="1400" b="1" i="1">
            <a:effectLst/>
          </a:endParaRPr>
        </a:p>
        <a:p xmlns:a="http://schemas.openxmlformats.org/drawingml/2006/main">
          <a:endParaRPr lang="en-US" sz="1100"/>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0.33753</cdr:x>
      <cdr:y>0.12139</cdr:y>
    </cdr:from>
    <cdr:to>
      <cdr:x>0.71517</cdr:x>
      <cdr:y>0.2211</cdr:y>
    </cdr:to>
    <cdr:sp macro="" textlink="">
      <cdr:nvSpPr>
        <cdr:cNvPr id="2" name="TextBox 1"/>
        <cdr:cNvSpPr txBox="1"/>
      </cdr:nvSpPr>
      <cdr:spPr>
        <a:xfrm xmlns:a="http://schemas.openxmlformats.org/drawingml/2006/main">
          <a:off x="2920721" y="762988"/>
          <a:ext cx="3267838" cy="626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t>Average current iropcorp</a:t>
          </a:r>
          <a:r>
            <a:rPr lang="en-US" sz="1400" b="1" i="1" baseline="0"/>
            <a:t>         = 9.50%</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effectLst/>
              <a:latin typeface="+mn-lt"/>
              <a:ea typeface="+mn-ea"/>
              <a:cs typeface="+mn-cs"/>
            </a:rPr>
            <a:t>Average current iropcorpnipa</a:t>
          </a:r>
          <a:r>
            <a:rPr lang="en-US" sz="1400" b="1" i="1" baseline="0">
              <a:effectLst/>
              <a:latin typeface="+mn-lt"/>
              <a:ea typeface="+mn-ea"/>
              <a:cs typeface="+mn-cs"/>
            </a:rPr>
            <a:t> = 8.49%</a:t>
          </a:r>
          <a:endParaRPr lang="en-US" sz="1400" b="1" i="1">
            <a:effectLst/>
          </a:endParaRPr>
        </a:p>
        <a:p xmlns:a="http://schemas.openxmlformats.org/drawingml/2006/main">
          <a:endParaRPr lang="en-US" sz="1100"/>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661797" cy="6290469"/>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0.55589</cdr:x>
      <cdr:y>0.0308</cdr:y>
    </cdr:from>
    <cdr:to>
      <cdr:x>0.9687</cdr:x>
      <cdr:y>0.93429</cdr:y>
    </cdr:to>
    <cdr:sp macro="" textlink="">
      <cdr:nvSpPr>
        <cdr:cNvPr id="2" name="Rectangle 1"/>
        <cdr:cNvSpPr/>
      </cdr:nvSpPr>
      <cdr:spPr>
        <a:xfrm xmlns:a="http://schemas.openxmlformats.org/drawingml/2006/main">
          <a:off x="4817391" y="193724"/>
          <a:ext cx="3577496" cy="5682717"/>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0.64382</cdr:x>
      <cdr:y>0.03696</cdr:y>
    </cdr:from>
    <cdr:to>
      <cdr:x>0.85395</cdr:x>
      <cdr:y>0.10472</cdr:y>
    </cdr:to>
    <cdr:sp macro="" textlink="">
      <cdr:nvSpPr>
        <cdr:cNvPr id="3" name="TextBox 2"/>
        <cdr:cNvSpPr txBox="1"/>
      </cdr:nvSpPr>
      <cdr:spPr>
        <a:xfrm xmlns:a="http://schemas.openxmlformats.org/drawingml/2006/main">
          <a:off x="5579390" y="232474"/>
          <a:ext cx="1821051" cy="4262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Neoliberal Era</a:t>
          </a:r>
        </a:p>
      </cdr:txBody>
    </cdr:sp>
  </cdr:relSizeAnchor>
  <cdr:relSizeAnchor xmlns:cdr="http://schemas.openxmlformats.org/drawingml/2006/chartDrawing">
    <cdr:from>
      <cdr:x>0.23845</cdr:x>
      <cdr:y>0.56468</cdr:y>
    </cdr:from>
    <cdr:to>
      <cdr:x>0.32638</cdr:x>
      <cdr:y>0.62218</cdr:y>
    </cdr:to>
    <cdr:sp macro="" textlink="">
      <cdr:nvSpPr>
        <cdr:cNvPr id="7" name="TextBox 6"/>
        <cdr:cNvSpPr txBox="1"/>
      </cdr:nvSpPr>
      <cdr:spPr>
        <a:xfrm xmlns:a="http://schemas.openxmlformats.org/drawingml/2006/main">
          <a:off x="2066441" y="3551694"/>
          <a:ext cx="762000" cy="3616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WEQ1</a:t>
          </a:r>
        </a:p>
      </cdr:txBody>
    </cdr:sp>
  </cdr:relSizeAnchor>
  <cdr:relSizeAnchor xmlns:cdr="http://schemas.openxmlformats.org/drawingml/2006/chartDrawing">
    <cdr:from>
      <cdr:x>0.2458</cdr:x>
      <cdr:y>0.71034</cdr:y>
    </cdr:from>
    <cdr:to>
      <cdr:x>0.33373</cdr:x>
      <cdr:y>0.76783</cdr:y>
    </cdr:to>
    <cdr:sp macro="" textlink="">
      <cdr:nvSpPr>
        <cdr:cNvPr id="8" name="TextBox 1"/>
        <cdr:cNvSpPr txBox="1"/>
      </cdr:nvSpPr>
      <cdr:spPr>
        <a:xfrm xmlns:a="http://schemas.openxmlformats.org/drawingml/2006/main">
          <a:off x="2130156" y="4467817"/>
          <a:ext cx="762000" cy="3616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WEQ2</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0.55589</cdr:x>
      <cdr:y>0.02692</cdr:y>
    </cdr:from>
    <cdr:to>
      <cdr:x>0.9687</cdr:x>
      <cdr:y>0.87885</cdr:y>
    </cdr:to>
    <cdr:sp macro="" textlink="">
      <cdr:nvSpPr>
        <cdr:cNvPr id="2" name="Rectangle 1"/>
        <cdr:cNvSpPr/>
      </cdr:nvSpPr>
      <cdr:spPr>
        <a:xfrm xmlns:a="http://schemas.openxmlformats.org/drawingml/2006/main">
          <a:off x="4817391" y="169334"/>
          <a:ext cx="3577496" cy="5358396"/>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0.64382</cdr:x>
      <cdr:y>0.03696</cdr:y>
    </cdr:from>
    <cdr:to>
      <cdr:x>0.85395</cdr:x>
      <cdr:y>0.10472</cdr:y>
    </cdr:to>
    <cdr:sp macro="" textlink="">
      <cdr:nvSpPr>
        <cdr:cNvPr id="3" name="TextBox 2"/>
        <cdr:cNvSpPr txBox="1"/>
      </cdr:nvSpPr>
      <cdr:spPr>
        <a:xfrm xmlns:a="http://schemas.openxmlformats.org/drawingml/2006/main">
          <a:off x="5579390" y="232474"/>
          <a:ext cx="1821051" cy="4262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Neoliberal Era</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0.33379</cdr:x>
      <cdr:y>0.02836</cdr:y>
    </cdr:from>
    <cdr:to>
      <cdr:x>0.96805</cdr:x>
      <cdr:y>0.87772</cdr:y>
    </cdr:to>
    <cdr:sp macro="" textlink="">
      <cdr:nvSpPr>
        <cdr:cNvPr id="2" name="Rectangle 1"/>
        <cdr:cNvSpPr/>
      </cdr:nvSpPr>
      <cdr:spPr>
        <a:xfrm xmlns:a="http://schemas.openxmlformats.org/drawingml/2006/main">
          <a:off x="2893219" y="178593"/>
          <a:ext cx="5497577" cy="5349665"/>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0.06549</cdr:x>
      <cdr:y>0.62357</cdr:y>
    </cdr:from>
    <cdr:to>
      <cdr:x>0.97067</cdr:x>
      <cdr:y>0.62357</cdr:y>
    </cdr:to>
    <cdr:cxnSp macro="">
      <cdr:nvCxnSpPr>
        <cdr:cNvPr id="3" name="Straight Connector 2"/>
        <cdr:cNvCxnSpPr/>
      </cdr:nvCxnSpPr>
      <cdr:spPr>
        <a:xfrm xmlns:a="http://schemas.openxmlformats.org/drawingml/2006/main">
          <a:off x="567267" y="3920067"/>
          <a:ext cx="7840133" cy="0"/>
        </a:xfrm>
        <a:prstGeom xmlns:a="http://schemas.openxmlformats.org/drawingml/2006/main" prst="line">
          <a:avLst/>
        </a:prstGeom>
        <a:ln xmlns:a="http://schemas.openxmlformats.org/drawingml/2006/main" w="12700">
          <a:solidFill>
            <a:schemeClr val="tx1"/>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0.3216</cdr:x>
      <cdr:y>0.49293</cdr:y>
    </cdr:from>
    <cdr:to>
      <cdr:x>0.60997</cdr:x>
      <cdr:y>0.57104</cdr:y>
    </cdr:to>
    <cdr:sp macro="" textlink="">
      <cdr:nvSpPr>
        <cdr:cNvPr id="4" name="TextBox 3"/>
        <cdr:cNvSpPr txBox="1"/>
      </cdr:nvSpPr>
      <cdr:spPr>
        <a:xfrm xmlns:a="http://schemas.openxmlformats.org/drawingml/2006/main">
          <a:off x="2785534" y="3098799"/>
          <a:ext cx="2497667" cy="4910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Critical</a:t>
          </a:r>
          <a:r>
            <a:rPr lang="en-US" sz="1100" baseline="0"/>
            <a:t> value of depletion rate = 3.29%</a:t>
          </a:r>
        </a:p>
        <a:p xmlns:a="http://schemas.openxmlformats.org/drawingml/2006/main">
          <a:r>
            <a:rPr lang="en-US" sz="1100" baseline="0"/>
            <a:t>(Appendix 6.7.II.3) </a:t>
          </a:r>
          <a:endParaRPr lang="en-US" sz="1100"/>
        </a:p>
      </cdr:txBody>
    </cdr:sp>
  </cdr:relSizeAnchor>
  <cdr:relSizeAnchor xmlns:cdr="http://schemas.openxmlformats.org/drawingml/2006/chartDrawing">
    <cdr:from>
      <cdr:x>0.57087</cdr:x>
      <cdr:y>0.5266</cdr:y>
    </cdr:from>
    <cdr:to>
      <cdr:x>0.59824</cdr:x>
      <cdr:y>0.61953</cdr:y>
    </cdr:to>
    <cdr:cxnSp macro="">
      <cdr:nvCxnSpPr>
        <cdr:cNvPr id="6" name="Straight Arrow Connector 5"/>
        <cdr:cNvCxnSpPr/>
      </cdr:nvCxnSpPr>
      <cdr:spPr>
        <a:xfrm xmlns:a="http://schemas.openxmlformats.org/drawingml/2006/main">
          <a:off x="4944534" y="3310467"/>
          <a:ext cx="237066" cy="584200"/>
        </a:xfrm>
        <a:prstGeom xmlns:a="http://schemas.openxmlformats.org/drawingml/2006/main" prst="straightConnector1">
          <a:avLst/>
        </a:prstGeom>
        <a:ln xmlns:a="http://schemas.openxmlformats.org/drawingml/2006/main" w="9525">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6.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xdr:wsDr xmlns:xdr="http://schemas.openxmlformats.org/drawingml/2006/spreadsheetDrawing" xmlns:a="http://schemas.openxmlformats.org/drawingml/2006/main">
  <xdr:absoluteAnchor>
    <xdr:pos x="0" y="0"/>
    <xdr:ext cx="8657167"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177800</xdr:colOff>
          <xdr:row>0</xdr:row>
          <xdr:rowOff>0</xdr:rowOff>
        </xdr:from>
        <xdr:to>
          <xdr:col>2</xdr:col>
          <xdr:colOff>825500</xdr:colOff>
          <xdr:row>17</xdr:row>
          <xdr:rowOff>101600</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139700</xdr:colOff>
          <xdr:row>0</xdr:row>
          <xdr:rowOff>38100</xdr:rowOff>
        </xdr:from>
        <xdr:to>
          <xdr:col>11</xdr:col>
          <xdr:colOff>50800</xdr:colOff>
          <xdr:row>6</xdr:row>
          <xdr:rowOff>152400</xdr:rowOff>
        </xdr:to>
        <xdr:sp macro="" textlink="">
          <xdr:nvSpPr>
            <xdr:cNvPr id="3073" name="Object 1" hidden="1">
              <a:extLst>
                <a:ext uri="{63B3BB69-23CF-44E3-9099-C40C66FF867C}">
                  <a14:compatExt spid="_x0000_s3073"/>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82550</xdr:colOff>
          <xdr:row>5</xdr:row>
          <xdr:rowOff>12700</xdr:rowOff>
        </xdr:from>
        <xdr:to>
          <xdr:col>1</xdr:col>
          <xdr:colOff>2673350</xdr:colOff>
          <xdr:row>25</xdr:row>
          <xdr:rowOff>139700</xdr:rowOff>
        </xdr:to>
        <xdr:sp macro="" textlink="">
          <xdr:nvSpPr>
            <xdr:cNvPr id="4098" name="Object 2" hidden="1">
              <a:extLst>
                <a:ext uri="{63B3BB69-23CF-44E3-9099-C40C66FF867C}">
                  <a14:compatExt spid="_x0000_s4098"/>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158750</xdr:colOff>
          <xdr:row>4</xdr:row>
          <xdr:rowOff>76200</xdr:rowOff>
        </xdr:from>
        <xdr:to>
          <xdr:col>6</xdr:col>
          <xdr:colOff>152400</xdr:colOff>
          <xdr:row>17</xdr:row>
          <xdr:rowOff>44450</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63500</xdr:colOff>
          <xdr:row>0</xdr:row>
          <xdr:rowOff>76200</xdr:rowOff>
        </xdr:from>
        <xdr:to>
          <xdr:col>9</xdr:col>
          <xdr:colOff>44450</xdr:colOff>
          <xdr:row>12</xdr:row>
          <xdr:rowOff>0</xdr:rowOff>
        </xdr:to>
        <xdr:sp macro="" textlink="">
          <xdr:nvSpPr>
            <xdr:cNvPr id="6145" name="Object 1" hidden="1">
              <a:extLst>
                <a:ext uri="{63B3BB69-23CF-44E3-9099-C40C66FF867C}">
                  <a14:compatExt spid="_x0000_s6145"/>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101600</xdr:colOff>
          <xdr:row>0</xdr:row>
          <xdr:rowOff>127000</xdr:rowOff>
        </xdr:from>
        <xdr:to>
          <xdr:col>1</xdr:col>
          <xdr:colOff>3657600</xdr:colOff>
          <xdr:row>21</xdr:row>
          <xdr:rowOff>107950</xdr:rowOff>
        </xdr:to>
        <xdr:sp macro="" textlink="">
          <xdr:nvSpPr>
            <xdr:cNvPr id="31745" name="Object 1" hidden="1">
              <a:extLst>
                <a:ext uri="{63B3BB69-23CF-44E3-9099-C40C66FF867C}">
                  <a14:compatExt spid="_x0000_s3174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88900</xdr:colOff>
          <xdr:row>0</xdr:row>
          <xdr:rowOff>38100</xdr:rowOff>
        </xdr:from>
        <xdr:to>
          <xdr:col>3</xdr:col>
          <xdr:colOff>749300</xdr:colOff>
          <xdr:row>18</xdr:row>
          <xdr:rowOff>139700</xdr:rowOff>
        </xdr:to>
        <xdr:sp macro="" textlink="">
          <xdr:nvSpPr>
            <xdr:cNvPr id="7169" name="Object 1" hidden="1">
              <a:extLst>
                <a:ext uri="{63B3BB69-23CF-44E3-9099-C40C66FF867C}">
                  <a14:compatExt spid="_x0000_s7169"/>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3.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Word_Document1.docx"/></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4.xml"/><Relationship Id="rId1" Type="http://schemas.openxmlformats.org/officeDocument/2006/relationships/printerSettings" Target="../printerSettings/printerSettings4.bin"/><Relationship Id="rId6" Type="http://schemas.openxmlformats.org/officeDocument/2006/relationships/comments" Target="../comments3.xm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5.xml"/><Relationship Id="rId1" Type="http://schemas.openxmlformats.org/officeDocument/2006/relationships/printerSettings" Target="../printerSettings/printerSettings5.bin"/><Relationship Id="rId6" Type="http://schemas.openxmlformats.org/officeDocument/2006/relationships/comments" Target="../comments4.xml"/><Relationship Id="rId5" Type="http://schemas.openxmlformats.org/officeDocument/2006/relationships/image" Target="../media/image4.emf"/><Relationship Id="rId4" Type="http://schemas.openxmlformats.org/officeDocument/2006/relationships/package" Target="../embeddings/Microsoft_Word_Document3.docx"/></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6.xml"/><Relationship Id="rId1" Type="http://schemas.openxmlformats.org/officeDocument/2006/relationships/printerSettings" Target="../printerSettings/printerSettings6.bin"/><Relationship Id="rId6" Type="http://schemas.openxmlformats.org/officeDocument/2006/relationships/comments" Target="../comments5.xml"/><Relationship Id="rId5" Type="http://schemas.openxmlformats.org/officeDocument/2006/relationships/image" Target="../media/image5.emf"/><Relationship Id="rId4" Type="http://schemas.openxmlformats.org/officeDocument/2006/relationships/package" Target="../embeddings/Microsoft_Word_Document4.docx"/></Relationships>
</file>

<file path=xl/worksheets/_rels/sheet8.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7.vml"/><Relationship Id="rId1" Type="http://schemas.openxmlformats.org/officeDocument/2006/relationships/drawing" Target="../drawings/drawing37.xml"/><Relationship Id="rId4" Type="http://schemas.openxmlformats.org/officeDocument/2006/relationships/image" Target="../media/image6.emf"/></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8.xml"/><Relationship Id="rId7" Type="http://schemas.openxmlformats.org/officeDocument/2006/relationships/comments" Target="../comments6.xml"/><Relationship Id="rId2" Type="http://schemas.openxmlformats.org/officeDocument/2006/relationships/printerSettings" Target="../printerSettings/printerSettings7.bin"/><Relationship Id="rId1" Type="http://schemas.openxmlformats.org/officeDocument/2006/relationships/hyperlink" Target="http://www.federalreserve.gov/" TargetMode="External"/><Relationship Id="rId6" Type="http://schemas.openxmlformats.org/officeDocument/2006/relationships/image" Target="../media/image7.emf"/><Relationship Id="rId5" Type="http://schemas.openxmlformats.org/officeDocument/2006/relationships/package" Target="../embeddings/Microsoft_Word_Document6.docx"/><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H13"/>
  <sheetViews>
    <sheetView workbookViewId="0"/>
  </sheetViews>
  <sheetFormatPr defaultColWidth="8.81640625" defaultRowHeight="14.5" x14ac:dyDescent="0.35"/>
  <sheetData>
    <row r="2" spans="1:8" x14ac:dyDescent="0.35">
      <c r="A2" s="150" t="s">
        <v>343</v>
      </c>
      <c r="B2" s="150"/>
      <c r="C2" s="150"/>
      <c r="D2" s="150"/>
      <c r="E2" s="150"/>
      <c r="F2" s="150"/>
      <c r="G2" s="150"/>
    </row>
    <row r="3" spans="1:8" x14ac:dyDescent="0.35">
      <c r="A3" s="150"/>
      <c r="B3" s="150"/>
      <c r="C3" s="150"/>
      <c r="D3" s="150"/>
      <c r="E3" s="150"/>
      <c r="F3" s="150"/>
      <c r="G3" s="150"/>
    </row>
    <row r="4" spans="1:8" x14ac:dyDescent="0.35">
      <c r="A4" s="148" t="s">
        <v>431</v>
      </c>
      <c r="B4" s="189"/>
      <c r="C4" s="189"/>
      <c r="D4" s="189"/>
      <c r="E4" s="189"/>
      <c r="F4" s="189"/>
      <c r="G4" s="189"/>
      <c r="H4" s="189"/>
    </row>
    <row r="5" spans="1:8" x14ac:dyDescent="0.35">
      <c r="A5" s="148" t="s">
        <v>432</v>
      </c>
      <c r="B5" s="189"/>
      <c r="C5" s="189"/>
      <c r="D5" s="189"/>
      <c r="E5" s="189"/>
      <c r="F5" s="189"/>
      <c r="G5" s="189"/>
      <c r="H5" s="189"/>
    </row>
    <row r="6" spans="1:8" x14ac:dyDescent="0.35">
      <c r="A6" s="149" t="s">
        <v>430</v>
      </c>
      <c r="B6" s="189"/>
      <c r="C6" s="189"/>
      <c r="D6" s="189"/>
      <c r="E6" s="189"/>
      <c r="F6" s="189"/>
      <c r="G6" s="189"/>
      <c r="H6" s="189"/>
    </row>
    <row r="7" spans="1:8" x14ac:dyDescent="0.35">
      <c r="A7" s="189" t="s">
        <v>433</v>
      </c>
      <c r="B7" s="189"/>
      <c r="C7" s="189"/>
      <c r="D7" s="189"/>
      <c r="E7" s="189"/>
      <c r="F7" s="189"/>
      <c r="G7" s="189"/>
      <c r="H7" s="189"/>
    </row>
    <row r="8" spans="1:8" x14ac:dyDescent="0.35">
      <c r="A8" s="293" t="s">
        <v>434</v>
      </c>
      <c r="B8" s="189"/>
      <c r="C8" s="189"/>
      <c r="D8" s="189"/>
      <c r="E8" s="189"/>
      <c r="F8" s="189"/>
      <c r="G8" s="189"/>
      <c r="H8" s="189"/>
    </row>
    <row r="9" spans="1:8" x14ac:dyDescent="0.35">
      <c r="A9" s="294" t="s">
        <v>435</v>
      </c>
      <c r="B9" s="189"/>
      <c r="C9" s="189"/>
      <c r="D9" s="189"/>
      <c r="E9" s="189"/>
      <c r="F9" s="189"/>
      <c r="G9" s="189"/>
      <c r="H9" s="189"/>
    </row>
    <row r="10" spans="1:8" x14ac:dyDescent="0.35">
      <c r="A10" s="294" t="s">
        <v>436</v>
      </c>
      <c r="B10" s="189"/>
      <c r="C10" s="189"/>
      <c r="D10" s="189"/>
      <c r="E10" s="189"/>
      <c r="F10" s="189"/>
      <c r="G10" s="189"/>
      <c r="H10" s="189"/>
    </row>
    <row r="11" spans="1:8" x14ac:dyDescent="0.35">
      <c r="A11" s="294" t="s">
        <v>437</v>
      </c>
      <c r="B11" s="189"/>
      <c r="C11" s="189"/>
      <c r="D11" s="189"/>
      <c r="E11" s="189"/>
      <c r="F11" s="189"/>
      <c r="G11" s="189"/>
      <c r="H11" s="189"/>
    </row>
    <row r="12" spans="1:8" x14ac:dyDescent="0.35">
      <c r="A12" s="293" t="s">
        <v>584</v>
      </c>
      <c r="B12" s="189"/>
      <c r="C12" s="189"/>
      <c r="D12" s="189"/>
      <c r="E12" s="189"/>
      <c r="F12" s="189"/>
      <c r="G12" s="189"/>
      <c r="H12" s="189"/>
    </row>
    <row r="13" spans="1:8" x14ac:dyDescent="0.35">
      <c r="A13" s="293" t="s">
        <v>583</v>
      </c>
      <c r="B13" s="189"/>
      <c r="C13" s="189"/>
      <c r="D13" s="189"/>
      <c r="E13" s="189"/>
      <c r="F13" s="189"/>
      <c r="G13" s="189"/>
      <c r="H13" s="18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DR161"/>
  <sheetViews>
    <sheetView topLeftCell="A71" zoomScale="110" zoomScaleNormal="110" workbookViewId="0">
      <pane xSplit="1" ySplit="4" topLeftCell="B151" activePane="bottomRight" state="frozen"/>
      <selection activeCell="A71" sqref="A71"/>
      <selection pane="topRight" activeCell="B71" sqref="B71"/>
      <selection pane="bottomLeft" activeCell="A75" sqref="A75"/>
      <selection pane="bottomRight" activeCell="D128" sqref="D128"/>
    </sheetView>
  </sheetViews>
  <sheetFormatPr defaultColWidth="8.81640625" defaultRowHeight="14.5" x14ac:dyDescent="0.35"/>
  <cols>
    <col min="1" max="1" width="30.36328125" style="2" customWidth="1"/>
    <col min="2" max="2" width="35.36328125" style="2" customWidth="1"/>
    <col min="3" max="3" width="26.1796875" style="3" customWidth="1"/>
    <col min="4" max="4" width="15.36328125" style="3" bestFit="1" customWidth="1"/>
    <col min="5" max="64" width="8.81640625" style="3"/>
  </cols>
  <sheetData>
    <row r="1" spans="1:68" x14ac:dyDescent="0.35">
      <c r="A1" s="1" t="s">
        <v>431</v>
      </c>
      <c r="C1" s="2"/>
      <c r="BM1" s="3"/>
      <c r="BN1" s="3"/>
    </row>
    <row r="2" spans="1:68" x14ac:dyDescent="0.35">
      <c r="A2" s="4" t="s">
        <v>420</v>
      </c>
      <c r="C2" s="1"/>
      <c r="BM2" s="3"/>
      <c r="BN2" s="179"/>
    </row>
    <row r="3" spans="1:68" x14ac:dyDescent="0.35">
      <c r="A3" s="5" t="s">
        <v>0</v>
      </c>
      <c r="B3" s="5" t="s">
        <v>1</v>
      </c>
      <c r="C3" s="5" t="s">
        <v>2</v>
      </c>
      <c r="D3" s="6">
        <v>1947</v>
      </c>
      <c r="E3" s="6">
        <v>1948</v>
      </c>
      <c r="F3" s="6">
        <v>1949</v>
      </c>
      <c r="G3" s="6">
        <v>1950</v>
      </c>
      <c r="H3" s="6">
        <v>1951</v>
      </c>
      <c r="I3" s="6">
        <v>1952</v>
      </c>
      <c r="J3" s="6">
        <v>1953</v>
      </c>
      <c r="K3" s="6">
        <v>1954</v>
      </c>
      <c r="L3" s="6">
        <v>1955</v>
      </c>
      <c r="M3" s="6">
        <v>1956</v>
      </c>
      <c r="N3" s="6">
        <v>1957</v>
      </c>
      <c r="O3" s="6">
        <v>1958</v>
      </c>
      <c r="P3" s="6">
        <v>1959</v>
      </c>
      <c r="Q3" s="6">
        <v>1960</v>
      </c>
      <c r="R3" s="6">
        <v>1961</v>
      </c>
      <c r="S3" s="6">
        <v>1962</v>
      </c>
      <c r="T3" s="6">
        <v>1963</v>
      </c>
      <c r="U3" s="6">
        <v>1964</v>
      </c>
      <c r="V3" s="6">
        <v>1965</v>
      </c>
      <c r="W3" s="6">
        <v>1966</v>
      </c>
      <c r="X3" s="6">
        <v>1967</v>
      </c>
      <c r="Y3" s="6">
        <v>1968</v>
      </c>
      <c r="Z3" s="6">
        <v>1969</v>
      </c>
      <c r="AA3" s="6">
        <v>1970</v>
      </c>
      <c r="AB3" s="6">
        <v>1971</v>
      </c>
      <c r="AC3" s="6">
        <v>1972</v>
      </c>
      <c r="AD3" s="6">
        <v>1973</v>
      </c>
      <c r="AE3" s="6">
        <v>1974</v>
      </c>
      <c r="AF3" s="6">
        <v>1975</v>
      </c>
      <c r="AG3" s="6">
        <v>1976</v>
      </c>
      <c r="AH3" s="6">
        <v>1977</v>
      </c>
      <c r="AI3" s="6">
        <v>1978</v>
      </c>
      <c r="AJ3" s="6">
        <v>1979</v>
      </c>
      <c r="AK3" s="6">
        <v>1980</v>
      </c>
      <c r="AL3" s="6">
        <v>1981</v>
      </c>
      <c r="AM3" s="6">
        <v>1982</v>
      </c>
      <c r="AN3" s="6">
        <v>1983</v>
      </c>
      <c r="AO3" s="6">
        <v>1984</v>
      </c>
      <c r="AP3" s="6">
        <v>1985</v>
      </c>
      <c r="AQ3" s="6">
        <v>1986</v>
      </c>
      <c r="AR3" s="6">
        <v>1987</v>
      </c>
      <c r="AS3" s="6">
        <v>1988</v>
      </c>
      <c r="AT3" s="6">
        <v>1989</v>
      </c>
      <c r="AU3" s="6">
        <v>1990</v>
      </c>
      <c r="AV3" s="6">
        <v>1991</v>
      </c>
      <c r="AW3" s="6">
        <v>1992</v>
      </c>
      <c r="AX3" s="6">
        <v>1993</v>
      </c>
      <c r="AY3" s="6">
        <v>1994</v>
      </c>
      <c r="AZ3" s="6">
        <v>1995</v>
      </c>
      <c r="BA3" s="6">
        <v>1996</v>
      </c>
      <c r="BB3" s="6">
        <v>1997</v>
      </c>
      <c r="BC3" s="6">
        <v>1998</v>
      </c>
      <c r="BD3" s="6">
        <v>1999</v>
      </c>
      <c r="BE3" s="6">
        <v>2000</v>
      </c>
      <c r="BF3" s="6">
        <v>2001</v>
      </c>
      <c r="BG3" s="6">
        <v>2002</v>
      </c>
      <c r="BH3" s="6">
        <v>2003</v>
      </c>
      <c r="BI3" s="6">
        <v>2004</v>
      </c>
      <c r="BJ3" s="6">
        <v>2005</v>
      </c>
      <c r="BK3" s="6">
        <v>2006</v>
      </c>
      <c r="BL3" s="6">
        <v>2007</v>
      </c>
      <c r="BM3" s="6">
        <v>2008</v>
      </c>
      <c r="BN3" s="6">
        <v>2009</v>
      </c>
      <c r="BO3" s="6">
        <v>2010</v>
      </c>
      <c r="BP3" s="6">
        <v>2011</v>
      </c>
    </row>
    <row r="4" spans="1:68" x14ac:dyDescent="0.35">
      <c r="A4" s="7" t="s">
        <v>3</v>
      </c>
      <c r="B4" s="8" t="s">
        <v>4</v>
      </c>
      <c r="C4" s="8" t="s">
        <v>3</v>
      </c>
      <c r="D4" s="7">
        <v>244.1</v>
      </c>
      <c r="E4" s="7">
        <v>269.10000000000002</v>
      </c>
      <c r="F4" s="7">
        <v>267.2</v>
      </c>
      <c r="G4" s="7">
        <v>293.7</v>
      </c>
      <c r="H4" s="7">
        <v>339.3</v>
      </c>
      <c r="I4" s="7">
        <v>358.3</v>
      </c>
      <c r="J4" s="7">
        <v>379.3</v>
      </c>
      <c r="K4" s="7">
        <v>380.4</v>
      </c>
      <c r="L4" s="7">
        <v>414.7</v>
      </c>
      <c r="M4" s="7">
        <v>437.4</v>
      </c>
      <c r="N4" s="7">
        <v>461.1</v>
      </c>
      <c r="O4" s="7">
        <v>467.2</v>
      </c>
      <c r="P4" s="7">
        <v>506.6</v>
      </c>
      <c r="Q4" s="7">
        <v>526.4</v>
      </c>
      <c r="R4" s="7">
        <v>544.79999999999995</v>
      </c>
      <c r="S4" s="7">
        <v>585.70000000000005</v>
      </c>
      <c r="T4" s="7">
        <v>617.79999999999995</v>
      </c>
      <c r="U4" s="7">
        <v>663.6</v>
      </c>
      <c r="V4" s="7">
        <v>719.1</v>
      </c>
      <c r="W4" s="7">
        <v>787.7</v>
      </c>
      <c r="X4" s="7">
        <v>832.4</v>
      </c>
      <c r="Y4" s="7">
        <v>909.8</v>
      </c>
      <c r="Z4" s="7">
        <v>984.4</v>
      </c>
      <c r="AA4" s="7">
        <v>1038.3</v>
      </c>
      <c r="AB4" s="7">
        <v>1126.8</v>
      </c>
      <c r="AC4" s="7">
        <v>1237.9000000000001</v>
      </c>
      <c r="AD4" s="7">
        <v>1382.3</v>
      </c>
      <c r="AE4" s="7">
        <v>1499.5</v>
      </c>
      <c r="AF4" s="7">
        <v>1637.7</v>
      </c>
      <c r="AG4" s="7">
        <v>1824.6</v>
      </c>
      <c r="AH4" s="7">
        <v>2030.1</v>
      </c>
      <c r="AI4" s="7">
        <v>2293.8000000000002</v>
      </c>
      <c r="AJ4" s="7">
        <v>2562.1999999999998</v>
      </c>
      <c r="AK4" s="7">
        <v>2788.1</v>
      </c>
      <c r="AL4" s="7">
        <v>3126.8</v>
      </c>
      <c r="AM4" s="7">
        <v>3253.2</v>
      </c>
      <c r="AN4" s="7">
        <v>3534.6</v>
      </c>
      <c r="AO4" s="7">
        <v>3930.9</v>
      </c>
      <c r="AP4" s="7">
        <v>4217.5</v>
      </c>
      <c r="AQ4" s="7">
        <v>4460.1000000000004</v>
      </c>
      <c r="AR4" s="7">
        <v>4736.3999999999996</v>
      </c>
      <c r="AS4" s="7">
        <v>5100.3999999999996</v>
      </c>
      <c r="AT4" s="7">
        <v>5482.1</v>
      </c>
      <c r="AU4" s="7">
        <v>5800.5</v>
      </c>
      <c r="AV4" s="7">
        <v>5992.1</v>
      </c>
      <c r="AW4" s="7">
        <v>6342.3</v>
      </c>
      <c r="AX4" s="7">
        <v>6667.4</v>
      </c>
      <c r="AY4" s="7">
        <v>7085.2</v>
      </c>
      <c r="AZ4" s="7">
        <v>7414.7</v>
      </c>
      <c r="BA4" s="7">
        <v>7838.5</v>
      </c>
      <c r="BB4" s="7">
        <v>8332.4</v>
      </c>
      <c r="BC4" s="7">
        <v>8793.5</v>
      </c>
      <c r="BD4" s="7">
        <v>9353.5</v>
      </c>
      <c r="BE4" s="7">
        <v>9951.5</v>
      </c>
      <c r="BF4" s="7">
        <v>10286.200000000001</v>
      </c>
      <c r="BG4" s="7">
        <v>10642.3</v>
      </c>
      <c r="BH4" s="7">
        <v>11142.1</v>
      </c>
      <c r="BI4" s="7">
        <v>11853.3</v>
      </c>
      <c r="BJ4" s="7">
        <v>12623</v>
      </c>
      <c r="BK4" s="7">
        <v>13377.2</v>
      </c>
      <c r="BL4" s="7">
        <v>14028.7</v>
      </c>
      <c r="BM4" s="7">
        <v>14291.5</v>
      </c>
      <c r="BN4" s="7">
        <v>13973.7</v>
      </c>
      <c r="BO4" s="7">
        <v>14498.9</v>
      </c>
      <c r="BP4" s="7">
        <v>15075.7</v>
      </c>
    </row>
    <row r="5" spans="1:68" x14ac:dyDescent="0.35">
      <c r="A5" s="8" t="s">
        <v>5</v>
      </c>
      <c r="B5" s="8" t="s">
        <v>6</v>
      </c>
      <c r="C5" s="8" t="s">
        <v>7</v>
      </c>
      <c r="D5" s="7">
        <v>2.2999999999999998</v>
      </c>
      <c r="E5" s="7">
        <v>-0.5</v>
      </c>
      <c r="F5" s="7">
        <v>1.8</v>
      </c>
      <c r="G5" s="7">
        <v>1.4</v>
      </c>
      <c r="H5" s="7">
        <v>3.6</v>
      </c>
      <c r="I5" s="7">
        <v>2.7</v>
      </c>
      <c r="J5" s="7">
        <v>4</v>
      </c>
      <c r="K5" s="7">
        <v>3.1</v>
      </c>
      <c r="L5" s="7">
        <v>2.4</v>
      </c>
      <c r="M5" s="7">
        <v>-1.8</v>
      </c>
      <c r="N5" s="7">
        <v>-0.1</v>
      </c>
      <c r="O5" s="7">
        <v>1</v>
      </c>
      <c r="P5" s="7">
        <v>0.5</v>
      </c>
      <c r="Q5" s="7">
        <v>-1</v>
      </c>
      <c r="R5" s="7">
        <v>-0.6</v>
      </c>
      <c r="S5" s="7">
        <v>0.3</v>
      </c>
      <c r="T5" s="7">
        <v>-0.8</v>
      </c>
      <c r="U5" s="7">
        <v>0.8</v>
      </c>
      <c r="V5" s="7">
        <v>1.5</v>
      </c>
      <c r="W5" s="7">
        <v>6.2</v>
      </c>
      <c r="X5" s="7">
        <v>4.5</v>
      </c>
      <c r="Y5" s="7">
        <v>4.3</v>
      </c>
      <c r="Z5" s="7">
        <v>2.9</v>
      </c>
      <c r="AA5" s="7">
        <v>6.9</v>
      </c>
      <c r="AB5" s="7">
        <v>11</v>
      </c>
      <c r="AC5" s="7">
        <v>8.9</v>
      </c>
      <c r="AD5" s="7">
        <v>8</v>
      </c>
      <c r="AE5" s="7">
        <v>9.8000000000000007</v>
      </c>
      <c r="AF5" s="7">
        <v>16.3</v>
      </c>
      <c r="AG5" s="7">
        <v>23.5</v>
      </c>
      <c r="AH5" s="7">
        <v>21.2</v>
      </c>
      <c r="AI5" s="7">
        <v>26.1</v>
      </c>
      <c r="AJ5" s="7">
        <v>47</v>
      </c>
      <c r="AK5" s="7">
        <v>45.3</v>
      </c>
      <c r="AL5" s="7">
        <v>36.6</v>
      </c>
      <c r="AM5" s="7">
        <v>4.8</v>
      </c>
      <c r="AN5" s="7">
        <v>49.7</v>
      </c>
      <c r="AO5" s="7">
        <v>31.5</v>
      </c>
      <c r="AP5" s="7">
        <v>42.3</v>
      </c>
      <c r="AQ5" s="7">
        <v>67.7</v>
      </c>
      <c r="AR5" s="7">
        <v>32.9</v>
      </c>
      <c r="AS5" s="7">
        <v>-9.5</v>
      </c>
      <c r="AT5" s="7">
        <v>56.1</v>
      </c>
      <c r="AU5" s="7">
        <v>84.2</v>
      </c>
      <c r="AV5" s="7">
        <v>79.7</v>
      </c>
      <c r="AW5" s="7">
        <v>110</v>
      </c>
      <c r="AX5" s="7">
        <v>135.80000000000001</v>
      </c>
      <c r="AY5" s="7">
        <v>108.8</v>
      </c>
      <c r="AZ5" s="7">
        <v>52.5</v>
      </c>
      <c r="BA5" s="7">
        <v>25.9</v>
      </c>
      <c r="BB5" s="7">
        <v>-14</v>
      </c>
      <c r="BC5" s="7">
        <v>-85.3</v>
      </c>
      <c r="BD5" s="7">
        <v>-71.099999999999994</v>
      </c>
      <c r="BE5" s="7">
        <v>-134</v>
      </c>
      <c r="BF5" s="7">
        <v>-103.4</v>
      </c>
      <c r="BG5" s="7">
        <v>-22.1</v>
      </c>
      <c r="BH5" s="7">
        <v>16.600000000000001</v>
      </c>
      <c r="BI5" s="7">
        <v>-22.3</v>
      </c>
      <c r="BJ5" s="7">
        <v>-95.1</v>
      </c>
      <c r="BK5" s="7">
        <v>-242.3</v>
      </c>
      <c r="BL5" s="7">
        <v>-12</v>
      </c>
      <c r="BM5" s="7">
        <v>-2.4</v>
      </c>
      <c r="BN5" s="7">
        <v>118.3</v>
      </c>
      <c r="BO5" s="7">
        <v>23.3</v>
      </c>
      <c r="BP5" s="7">
        <v>31.9</v>
      </c>
    </row>
    <row r="6" spans="1:68" x14ac:dyDescent="0.35">
      <c r="A6" s="8" t="s">
        <v>8</v>
      </c>
      <c r="B6" s="8" t="s">
        <v>9</v>
      </c>
      <c r="C6" s="8" t="s">
        <v>8</v>
      </c>
      <c r="D6" s="7">
        <v>241.79999999999998</v>
      </c>
      <c r="E6" s="7">
        <v>269.60000000000002</v>
      </c>
      <c r="F6" s="7">
        <v>265.39999999999998</v>
      </c>
      <c r="G6" s="7">
        <v>292.3</v>
      </c>
      <c r="H6" s="7">
        <v>335.7</v>
      </c>
      <c r="I6" s="7">
        <v>355.6</v>
      </c>
      <c r="J6" s="7">
        <v>375.3</v>
      </c>
      <c r="K6" s="7">
        <v>377.29999999999995</v>
      </c>
      <c r="L6" s="7">
        <v>412.3</v>
      </c>
      <c r="M6" s="7">
        <v>439.2</v>
      </c>
      <c r="N6" s="7">
        <v>461.20000000000005</v>
      </c>
      <c r="O6" s="7">
        <v>466.2</v>
      </c>
      <c r="P6" s="7">
        <v>506.1</v>
      </c>
      <c r="Q6" s="7">
        <v>527.4</v>
      </c>
      <c r="R6" s="7">
        <v>545.4</v>
      </c>
      <c r="S6" s="7">
        <v>585.40000000000009</v>
      </c>
      <c r="T6" s="7">
        <v>618.59999999999991</v>
      </c>
      <c r="U6" s="7">
        <v>662.80000000000007</v>
      </c>
      <c r="V6" s="7">
        <v>717.6</v>
      </c>
      <c r="W6" s="7">
        <v>781.5</v>
      </c>
      <c r="X6" s="7">
        <v>827.9</v>
      </c>
      <c r="Y6" s="7">
        <v>905.5</v>
      </c>
      <c r="Z6" s="7">
        <v>981.5</v>
      </c>
      <c r="AA6" s="7">
        <v>1031.3999999999999</v>
      </c>
      <c r="AB6" s="7">
        <v>1115.8</v>
      </c>
      <c r="AC6" s="7">
        <v>1229</v>
      </c>
      <c r="AD6" s="7">
        <v>1374.3</v>
      </c>
      <c r="AE6" s="7">
        <v>1489.7</v>
      </c>
      <c r="AF6" s="7">
        <v>1621.4</v>
      </c>
      <c r="AG6" s="7">
        <v>1801.1</v>
      </c>
      <c r="AH6" s="7">
        <v>2008.8999999999999</v>
      </c>
      <c r="AI6" s="7">
        <v>2267.7000000000003</v>
      </c>
      <c r="AJ6" s="7">
        <v>2515.1999999999998</v>
      </c>
      <c r="AK6" s="7">
        <v>2742.7999999999997</v>
      </c>
      <c r="AL6" s="7">
        <v>3090.2000000000003</v>
      </c>
      <c r="AM6" s="7">
        <v>3248.3999999999996</v>
      </c>
      <c r="AN6" s="7">
        <v>3484.9</v>
      </c>
      <c r="AO6" s="7">
        <v>3899.4</v>
      </c>
      <c r="AP6" s="7">
        <v>4175.2</v>
      </c>
      <c r="AQ6" s="7">
        <v>4392.4000000000005</v>
      </c>
      <c r="AR6" s="7">
        <v>4703.5</v>
      </c>
      <c r="AS6" s="7">
        <v>5109.8999999999996</v>
      </c>
      <c r="AT6" s="7">
        <v>5426</v>
      </c>
      <c r="AU6" s="7">
        <v>5716.3</v>
      </c>
      <c r="AV6" s="7">
        <v>5912.4000000000005</v>
      </c>
      <c r="AW6" s="7">
        <v>6232.3</v>
      </c>
      <c r="AX6" s="7">
        <v>6531.5999999999995</v>
      </c>
      <c r="AY6" s="7">
        <v>6976.4</v>
      </c>
      <c r="AZ6" s="7">
        <v>7362.2</v>
      </c>
      <c r="BA6" s="7">
        <v>7812.6</v>
      </c>
      <c r="BB6" s="7">
        <v>8346.4</v>
      </c>
      <c r="BC6" s="7">
        <v>8878.7999999999993</v>
      </c>
      <c r="BD6" s="7">
        <v>9424.6</v>
      </c>
      <c r="BE6" s="7">
        <v>10085.5</v>
      </c>
      <c r="BF6" s="7">
        <v>10389.6</v>
      </c>
      <c r="BG6" s="7">
        <v>10664.4</v>
      </c>
      <c r="BH6" s="7">
        <v>11125.5</v>
      </c>
      <c r="BI6" s="7">
        <v>11875.599999999999</v>
      </c>
      <c r="BJ6" s="7">
        <v>12718.1</v>
      </c>
      <c r="BK6" s="7">
        <v>13619.5</v>
      </c>
      <c r="BL6" s="7">
        <v>14040.7</v>
      </c>
      <c r="BM6" s="7">
        <v>14293.9</v>
      </c>
      <c r="BN6" s="7">
        <v>13855.400000000001</v>
      </c>
      <c r="BO6" s="7">
        <v>14475.6</v>
      </c>
      <c r="BP6" s="7">
        <v>15043.800000000001</v>
      </c>
    </row>
    <row r="7" spans="1:68" x14ac:dyDescent="0.35">
      <c r="A7" s="8" t="s">
        <v>10</v>
      </c>
      <c r="B7" s="8" t="s">
        <v>11</v>
      </c>
      <c r="C7" s="8" t="s">
        <v>12</v>
      </c>
      <c r="D7" s="7">
        <v>130</v>
      </c>
      <c r="E7" s="7">
        <v>141.9</v>
      </c>
      <c r="F7" s="7">
        <v>141.80000000000001</v>
      </c>
      <c r="G7" s="7">
        <v>155.19999999999999</v>
      </c>
      <c r="H7" s="7">
        <v>181.4</v>
      </c>
      <c r="I7" s="7">
        <v>196.2</v>
      </c>
      <c r="J7" s="7">
        <v>210.2</v>
      </c>
      <c r="K7" s="7">
        <v>209.2</v>
      </c>
      <c r="L7" s="7">
        <v>225.8</v>
      </c>
      <c r="M7" s="7">
        <v>244.6</v>
      </c>
      <c r="N7" s="7">
        <v>257.60000000000002</v>
      </c>
      <c r="O7" s="7">
        <v>259.60000000000002</v>
      </c>
      <c r="P7" s="7">
        <v>281.10000000000002</v>
      </c>
      <c r="Q7" s="7">
        <v>296.60000000000002</v>
      </c>
      <c r="R7" s="7">
        <v>305.39999999999998</v>
      </c>
      <c r="S7" s="7">
        <v>327.2</v>
      </c>
      <c r="T7" s="7">
        <v>345.3</v>
      </c>
      <c r="U7" s="7">
        <v>370.7</v>
      </c>
      <c r="V7" s="7">
        <v>399.5</v>
      </c>
      <c r="W7" s="7">
        <v>442.6</v>
      </c>
      <c r="X7" s="7">
        <v>475.1</v>
      </c>
      <c r="Y7" s="7">
        <v>524.29999999999995</v>
      </c>
      <c r="Z7" s="7">
        <v>577.6</v>
      </c>
      <c r="AA7" s="7">
        <v>617.20000000000005</v>
      </c>
      <c r="AB7" s="7">
        <v>658.9</v>
      </c>
      <c r="AC7" s="7">
        <v>725.1</v>
      </c>
      <c r="AD7" s="7">
        <v>811.2</v>
      </c>
      <c r="AE7" s="7">
        <v>890.3</v>
      </c>
      <c r="AF7" s="7">
        <v>949.2</v>
      </c>
      <c r="AG7" s="7">
        <v>1059.4000000000001</v>
      </c>
      <c r="AH7" s="7">
        <v>1180.5999999999999</v>
      </c>
      <c r="AI7" s="7">
        <v>1335.6</v>
      </c>
      <c r="AJ7" s="7">
        <v>1498.4</v>
      </c>
      <c r="AK7" s="7">
        <v>1647.7</v>
      </c>
      <c r="AL7" s="7">
        <v>1819.8</v>
      </c>
      <c r="AM7" s="7">
        <v>1919.8</v>
      </c>
      <c r="AN7" s="7">
        <v>2035.7</v>
      </c>
      <c r="AO7" s="7">
        <v>2245.6999999999998</v>
      </c>
      <c r="AP7" s="7">
        <v>2412</v>
      </c>
      <c r="AQ7" s="7">
        <v>2559.4</v>
      </c>
      <c r="AR7" s="7">
        <v>2737</v>
      </c>
      <c r="AS7" s="7">
        <v>2955</v>
      </c>
      <c r="AT7" s="7">
        <v>3132.6</v>
      </c>
      <c r="AU7" s="7">
        <v>3328.6</v>
      </c>
      <c r="AV7" s="7">
        <v>3441.1</v>
      </c>
      <c r="AW7" s="7">
        <v>3634.4</v>
      </c>
      <c r="AX7" s="7">
        <v>3800.4</v>
      </c>
      <c r="AY7" s="7">
        <v>4002.5</v>
      </c>
      <c r="AZ7" s="7">
        <v>4199.3</v>
      </c>
      <c r="BA7" s="7">
        <v>4395.5</v>
      </c>
      <c r="BB7" s="7">
        <v>4670</v>
      </c>
      <c r="BC7" s="7">
        <v>5027.8</v>
      </c>
      <c r="BD7" s="7">
        <v>5359.2</v>
      </c>
      <c r="BE7" s="7">
        <v>5793.5</v>
      </c>
      <c r="BF7" s="7">
        <v>5984.5</v>
      </c>
      <c r="BG7" s="7">
        <v>6116.4</v>
      </c>
      <c r="BH7" s="7">
        <v>6388.3</v>
      </c>
      <c r="BI7" s="7">
        <v>6699.6</v>
      </c>
      <c r="BJ7" s="7">
        <v>7071.5</v>
      </c>
      <c r="BK7" s="7">
        <v>7483.6</v>
      </c>
      <c r="BL7" s="7">
        <v>7863</v>
      </c>
      <c r="BM7" s="7">
        <v>8079.1</v>
      </c>
      <c r="BN7" s="7">
        <v>7807.2</v>
      </c>
      <c r="BO7" s="7">
        <v>7977.2</v>
      </c>
      <c r="BP7" s="7">
        <v>8303.2000000000007</v>
      </c>
    </row>
    <row r="8" spans="1:68" x14ac:dyDescent="0.35">
      <c r="A8" s="8" t="s">
        <v>13</v>
      </c>
      <c r="B8" s="8" t="s">
        <v>14</v>
      </c>
      <c r="C8" s="9" t="s">
        <v>15</v>
      </c>
      <c r="D8" s="7">
        <v>17.900000000000002</v>
      </c>
      <c r="E8" s="7">
        <v>19.399999999999999</v>
      </c>
      <c r="F8" s="7">
        <v>20.599999999999998</v>
      </c>
      <c r="G8" s="7">
        <v>22.4</v>
      </c>
      <c r="H8" s="7">
        <v>24</v>
      </c>
      <c r="I8" s="7">
        <v>26.700000000000003</v>
      </c>
      <c r="J8" s="7">
        <v>29</v>
      </c>
      <c r="K8" s="7">
        <v>29</v>
      </c>
      <c r="L8" s="7">
        <v>31.7</v>
      </c>
      <c r="M8" s="7">
        <v>33.800000000000004</v>
      </c>
      <c r="N8" s="7">
        <v>35.9</v>
      </c>
      <c r="O8" s="7">
        <v>36.800000000000004</v>
      </c>
      <c r="P8" s="7">
        <v>40</v>
      </c>
      <c r="Q8" s="7">
        <v>43.4</v>
      </c>
      <c r="R8" s="7">
        <v>45</v>
      </c>
      <c r="S8" s="7">
        <v>48.1</v>
      </c>
      <c r="T8" s="7">
        <v>51.199999999999996</v>
      </c>
      <c r="U8" s="7">
        <v>54.599999999999994</v>
      </c>
      <c r="V8" s="7">
        <v>57.7</v>
      </c>
      <c r="W8" s="7">
        <v>59.300000000000004</v>
      </c>
      <c r="X8" s="7">
        <v>64.100000000000009</v>
      </c>
      <c r="Y8" s="7">
        <v>72.2</v>
      </c>
      <c r="Z8" s="7">
        <v>79.400000000000006</v>
      </c>
      <c r="AA8" s="7">
        <v>86.600000000000009</v>
      </c>
      <c r="AB8" s="7">
        <v>95.8</v>
      </c>
      <c r="AC8" s="7">
        <v>101.30000000000001</v>
      </c>
      <c r="AD8" s="7">
        <v>112</v>
      </c>
      <c r="AE8" s="7">
        <v>121.60000000000001</v>
      </c>
      <c r="AF8" s="7">
        <v>130.80000000000001</v>
      </c>
      <c r="AG8" s="7">
        <v>141.30000000000001</v>
      </c>
      <c r="AH8" s="7">
        <v>152.6</v>
      </c>
      <c r="AI8" s="7">
        <v>162</v>
      </c>
      <c r="AJ8" s="7">
        <v>171.6</v>
      </c>
      <c r="AK8" s="7">
        <v>190.5</v>
      </c>
      <c r="AL8" s="7">
        <v>224.1</v>
      </c>
      <c r="AM8" s="7">
        <v>225.9</v>
      </c>
      <c r="AN8" s="7">
        <v>242</v>
      </c>
      <c r="AO8" s="7">
        <v>268.7</v>
      </c>
      <c r="AP8" s="7">
        <v>286.70000000000005</v>
      </c>
      <c r="AQ8" s="7">
        <v>298.5</v>
      </c>
      <c r="AR8" s="7">
        <v>317.2</v>
      </c>
      <c r="AS8" s="7">
        <v>345</v>
      </c>
      <c r="AT8" s="7">
        <v>371.5</v>
      </c>
      <c r="AU8" s="7">
        <v>398</v>
      </c>
      <c r="AV8" s="7">
        <v>429.6</v>
      </c>
      <c r="AW8" s="7">
        <v>453.29999999999995</v>
      </c>
      <c r="AX8" s="7">
        <v>466.40000000000003</v>
      </c>
      <c r="AY8" s="7">
        <v>512.70000000000005</v>
      </c>
      <c r="AZ8" s="7">
        <v>523.1</v>
      </c>
      <c r="BA8" s="7">
        <v>545.59999999999991</v>
      </c>
      <c r="BB8" s="7">
        <v>577.80000000000007</v>
      </c>
      <c r="BC8" s="7">
        <v>603.1</v>
      </c>
      <c r="BD8" s="7">
        <v>628.4</v>
      </c>
      <c r="BE8" s="7">
        <v>662.80000000000007</v>
      </c>
      <c r="BF8" s="7">
        <v>669</v>
      </c>
      <c r="BG8" s="7">
        <v>721.4</v>
      </c>
      <c r="BH8" s="7">
        <v>757.69999999999993</v>
      </c>
      <c r="BI8" s="7">
        <v>817</v>
      </c>
      <c r="BJ8" s="7">
        <v>869.30000000000007</v>
      </c>
      <c r="BK8" s="7">
        <v>935.4</v>
      </c>
      <c r="BL8" s="7">
        <v>972.6</v>
      </c>
      <c r="BM8" s="7">
        <v>985.69999999999993</v>
      </c>
      <c r="BN8" s="7">
        <v>963.5</v>
      </c>
      <c r="BO8" s="7">
        <v>998</v>
      </c>
      <c r="BP8" s="7">
        <v>1036.3000000000002</v>
      </c>
    </row>
    <row r="9" spans="1:68" x14ac:dyDescent="0.35">
      <c r="A9" s="10" t="s">
        <v>16</v>
      </c>
      <c r="B9" s="8"/>
      <c r="C9" s="11" t="s">
        <v>421</v>
      </c>
      <c r="D9" s="7">
        <v>93.899999999999977</v>
      </c>
      <c r="E9" s="7">
        <v>108.30000000000001</v>
      </c>
      <c r="F9" s="7">
        <v>102.99999999999997</v>
      </c>
      <c r="G9" s="7">
        <v>114.70000000000002</v>
      </c>
      <c r="H9" s="7">
        <v>130.29999999999998</v>
      </c>
      <c r="I9" s="7">
        <v>132.70000000000005</v>
      </c>
      <c r="J9" s="7">
        <v>136.10000000000002</v>
      </c>
      <c r="K9" s="7">
        <v>139.09999999999997</v>
      </c>
      <c r="L9" s="7">
        <v>154.80000000000001</v>
      </c>
      <c r="M9" s="7">
        <v>160.79999999999998</v>
      </c>
      <c r="N9" s="7">
        <v>167.70000000000002</v>
      </c>
      <c r="O9" s="7">
        <v>169.79999999999995</v>
      </c>
      <c r="P9" s="7">
        <v>185</v>
      </c>
      <c r="Q9" s="7">
        <v>187.39999999999995</v>
      </c>
      <c r="R9" s="7">
        <v>195</v>
      </c>
      <c r="S9" s="7">
        <v>210.10000000000011</v>
      </c>
      <c r="T9" s="7">
        <v>222.09999999999991</v>
      </c>
      <c r="U9" s="7">
        <v>237.50000000000009</v>
      </c>
      <c r="V9" s="7">
        <v>260.40000000000003</v>
      </c>
      <c r="W9" s="7">
        <v>279.59999999999997</v>
      </c>
      <c r="X9" s="7">
        <v>288.69999999999993</v>
      </c>
      <c r="Y9" s="7">
        <v>309.00000000000006</v>
      </c>
      <c r="Z9" s="7">
        <v>324.5</v>
      </c>
      <c r="AA9" s="7">
        <v>327.5999999999998</v>
      </c>
      <c r="AB9" s="7">
        <v>361.09999999999997</v>
      </c>
      <c r="AC9" s="7">
        <v>402.59999999999997</v>
      </c>
      <c r="AD9" s="7">
        <v>451.09999999999991</v>
      </c>
      <c r="AE9" s="7">
        <v>477.80000000000007</v>
      </c>
      <c r="AF9" s="7">
        <v>541.40000000000009</v>
      </c>
      <c r="AG9" s="7">
        <v>600.39999999999986</v>
      </c>
      <c r="AH9" s="7">
        <v>675.69999999999993</v>
      </c>
      <c r="AI9" s="7">
        <v>770.10000000000036</v>
      </c>
      <c r="AJ9" s="7">
        <v>845.1999999999997</v>
      </c>
      <c r="AK9" s="7">
        <v>904.59999999999968</v>
      </c>
      <c r="AL9" s="7">
        <v>1046.3000000000004</v>
      </c>
      <c r="AM9" s="7">
        <v>1102.6999999999996</v>
      </c>
      <c r="AN9" s="7">
        <v>1207.2</v>
      </c>
      <c r="AO9" s="7">
        <v>1385.0000000000002</v>
      </c>
      <c r="AP9" s="7">
        <v>1476.4999999999998</v>
      </c>
      <c r="AQ9" s="7">
        <v>1534.5000000000005</v>
      </c>
      <c r="AR9" s="7">
        <v>1649.3</v>
      </c>
      <c r="AS9" s="7">
        <v>1809.8999999999996</v>
      </c>
      <c r="AT9" s="7">
        <v>1921.9</v>
      </c>
      <c r="AU9" s="7">
        <v>1989.7000000000003</v>
      </c>
      <c r="AV9" s="7">
        <v>2041.7000000000007</v>
      </c>
      <c r="AW9" s="7">
        <v>2144.6000000000004</v>
      </c>
      <c r="AX9" s="7">
        <v>2264.7999999999993</v>
      </c>
      <c r="AY9" s="7">
        <v>2461.1999999999998</v>
      </c>
      <c r="AZ9" s="7">
        <v>2639.7999999999997</v>
      </c>
      <c r="BA9" s="7">
        <v>2871.5000000000005</v>
      </c>
      <c r="BB9" s="7">
        <v>3098.5999999999995</v>
      </c>
      <c r="BC9" s="7">
        <v>3247.8999999999992</v>
      </c>
      <c r="BD9" s="7">
        <v>3437.0000000000005</v>
      </c>
      <c r="BE9" s="7">
        <v>3629.2</v>
      </c>
      <c r="BF9" s="7">
        <v>3736.1000000000004</v>
      </c>
      <c r="BG9" s="7">
        <v>3826.6</v>
      </c>
      <c r="BH9" s="7">
        <v>3979.5</v>
      </c>
      <c r="BI9" s="7">
        <v>4358.9999999999982</v>
      </c>
      <c r="BJ9" s="7">
        <v>4777.3</v>
      </c>
      <c r="BK9" s="7">
        <v>5200.5</v>
      </c>
      <c r="BL9" s="7">
        <v>5205.1000000000004</v>
      </c>
      <c r="BM9" s="7">
        <v>5229.0999999999995</v>
      </c>
      <c r="BN9" s="7">
        <v>5084.7000000000016</v>
      </c>
      <c r="BO9" s="7">
        <v>5500.4000000000005</v>
      </c>
      <c r="BP9" s="7">
        <v>5704.3</v>
      </c>
    </row>
    <row r="10" spans="1:68" x14ac:dyDescent="0.35">
      <c r="A10" s="8" t="s">
        <v>17</v>
      </c>
      <c r="B10" s="8" t="s">
        <v>18</v>
      </c>
      <c r="C10" s="8" t="s">
        <v>19</v>
      </c>
      <c r="D10" s="7">
        <v>26.6</v>
      </c>
      <c r="E10" s="7">
        <v>28.5</v>
      </c>
      <c r="F10" s="7">
        <v>29.2</v>
      </c>
      <c r="G10" s="7">
        <v>29.9</v>
      </c>
      <c r="H10" s="7">
        <v>33.799999999999997</v>
      </c>
      <c r="I10" s="7">
        <v>36.299999999999997</v>
      </c>
      <c r="J10" s="7">
        <v>38.6</v>
      </c>
      <c r="K10" s="7">
        <v>40.6</v>
      </c>
      <c r="L10" s="7">
        <v>42.8</v>
      </c>
      <c r="M10" s="7">
        <v>47.1</v>
      </c>
      <c r="N10" s="7">
        <v>50.8</v>
      </c>
      <c r="O10" s="7">
        <v>53.3</v>
      </c>
      <c r="P10" s="7">
        <v>55.4</v>
      </c>
      <c r="Q10" s="7">
        <v>56.6</v>
      </c>
      <c r="R10" s="7">
        <v>58.2</v>
      </c>
      <c r="S10" s="7">
        <v>60.6</v>
      </c>
      <c r="T10" s="7">
        <v>63.3</v>
      </c>
      <c r="U10" s="7">
        <v>66.400000000000006</v>
      </c>
      <c r="V10" s="7">
        <v>70.7</v>
      </c>
      <c r="W10" s="7">
        <v>76.5</v>
      </c>
      <c r="X10" s="7">
        <v>82.9</v>
      </c>
      <c r="Y10" s="7">
        <v>90.4</v>
      </c>
      <c r="Z10" s="7">
        <v>99.2</v>
      </c>
      <c r="AA10" s="7">
        <v>108.3</v>
      </c>
      <c r="AB10" s="7">
        <v>117.8</v>
      </c>
      <c r="AC10" s="7">
        <v>127.2</v>
      </c>
      <c r="AD10" s="7">
        <v>140.80000000000001</v>
      </c>
      <c r="AE10" s="7">
        <v>163.69999999999999</v>
      </c>
      <c r="AF10" s="7">
        <v>190.4</v>
      </c>
      <c r="AG10" s="7">
        <v>208.2</v>
      </c>
      <c r="AH10" s="7">
        <v>231.8</v>
      </c>
      <c r="AI10" s="7">
        <v>261.39999999999998</v>
      </c>
      <c r="AJ10" s="7">
        <v>298.89999999999998</v>
      </c>
      <c r="AK10" s="7">
        <v>344.1</v>
      </c>
      <c r="AL10" s="7">
        <v>393.3</v>
      </c>
      <c r="AM10" s="7">
        <v>433.5</v>
      </c>
      <c r="AN10" s="7">
        <v>451.1</v>
      </c>
      <c r="AO10" s="7">
        <v>474.3</v>
      </c>
      <c r="AP10" s="7">
        <v>505.4</v>
      </c>
      <c r="AQ10" s="7">
        <v>538.5</v>
      </c>
      <c r="AR10" s="7">
        <v>571.1</v>
      </c>
      <c r="AS10" s="7">
        <v>611</v>
      </c>
      <c r="AT10" s="7">
        <v>651.5</v>
      </c>
      <c r="AU10" s="7">
        <v>691.2</v>
      </c>
      <c r="AV10" s="7">
        <v>724.4</v>
      </c>
      <c r="AW10" s="7">
        <v>744.4</v>
      </c>
      <c r="AX10" s="7">
        <v>778</v>
      </c>
      <c r="AY10" s="7">
        <v>819.2</v>
      </c>
      <c r="AZ10" s="7">
        <v>869.5</v>
      </c>
      <c r="BA10" s="7">
        <v>912.5</v>
      </c>
      <c r="BB10" s="7">
        <v>963.8</v>
      </c>
      <c r="BC10" s="7">
        <v>1020.5</v>
      </c>
      <c r="BD10" s="7">
        <v>1094.4000000000001</v>
      </c>
      <c r="BE10" s="7">
        <v>1184.3</v>
      </c>
      <c r="BF10" s="7">
        <v>1256.2</v>
      </c>
      <c r="BG10" s="7">
        <v>1305</v>
      </c>
      <c r="BH10" s="7">
        <v>1354.1</v>
      </c>
      <c r="BI10" s="7">
        <v>1432.8</v>
      </c>
      <c r="BJ10" s="7">
        <v>1541.4</v>
      </c>
      <c r="BK10" s="7">
        <v>1660.7</v>
      </c>
      <c r="BL10" s="7">
        <v>1767.5</v>
      </c>
      <c r="BM10" s="7">
        <v>1854.1</v>
      </c>
      <c r="BN10" s="7">
        <v>1866.3</v>
      </c>
      <c r="BO10" s="7">
        <v>1873.4</v>
      </c>
      <c r="BP10" s="7">
        <v>1936.8</v>
      </c>
    </row>
    <row r="11" spans="1:68" x14ac:dyDescent="0.35">
      <c r="A11" s="10" t="s">
        <v>20</v>
      </c>
      <c r="B11" s="8" t="s">
        <v>21</v>
      </c>
      <c r="C11" s="11" t="s">
        <v>422</v>
      </c>
      <c r="D11" s="7">
        <v>67.299999999999983</v>
      </c>
      <c r="E11" s="7">
        <v>79.800000000000011</v>
      </c>
      <c r="F11" s="7">
        <v>73.799999999999969</v>
      </c>
      <c r="G11" s="7">
        <v>84.800000000000011</v>
      </c>
      <c r="H11" s="7">
        <v>96.499999999999986</v>
      </c>
      <c r="I11" s="7">
        <v>96.400000000000048</v>
      </c>
      <c r="J11" s="7">
        <v>97.500000000000028</v>
      </c>
      <c r="K11" s="7">
        <v>98.499999999999972</v>
      </c>
      <c r="L11" s="7">
        <v>112.00000000000001</v>
      </c>
      <c r="M11" s="7">
        <v>113.69999999999999</v>
      </c>
      <c r="N11" s="7">
        <v>116.90000000000002</v>
      </c>
      <c r="O11" s="7">
        <v>116.49999999999996</v>
      </c>
      <c r="P11" s="7">
        <v>129.6</v>
      </c>
      <c r="Q11" s="7">
        <v>130.79999999999995</v>
      </c>
      <c r="R11" s="7">
        <v>136.80000000000001</v>
      </c>
      <c r="S11" s="7">
        <v>149.50000000000011</v>
      </c>
      <c r="T11" s="7">
        <v>158.7999999999999</v>
      </c>
      <c r="U11" s="7">
        <v>171.10000000000008</v>
      </c>
      <c r="V11" s="7">
        <v>189.70000000000005</v>
      </c>
      <c r="W11" s="7">
        <v>203.09999999999997</v>
      </c>
      <c r="X11" s="7">
        <v>205.79999999999993</v>
      </c>
      <c r="Y11" s="7">
        <v>218.60000000000005</v>
      </c>
      <c r="Z11" s="7">
        <v>225.3</v>
      </c>
      <c r="AA11" s="7">
        <v>219.29999999999978</v>
      </c>
      <c r="AB11" s="7">
        <v>243.29999999999995</v>
      </c>
      <c r="AC11" s="7">
        <v>275.39999999999998</v>
      </c>
      <c r="AD11" s="7">
        <v>310.2999999999999</v>
      </c>
      <c r="AE11" s="7">
        <v>314.10000000000008</v>
      </c>
      <c r="AF11" s="7">
        <v>351.00000000000011</v>
      </c>
      <c r="AG11" s="7">
        <v>392.19999999999987</v>
      </c>
      <c r="AH11" s="7">
        <v>443.89999999999992</v>
      </c>
      <c r="AI11" s="7">
        <v>508.70000000000039</v>
      </c>
      <c r="AJ11" s="7">
        <v>546.29999999999973</v>
      </c>
      <c r="AK11" s="7">
        <v>560.49999999999966</v>
      </c>
      <c r="AL11" s="7">
        <v>653.00000000000045</v>
      </c>
      <c r="AM11" s="7">
        <v>669.19999999999959</v>
      </c>
      <c r="AN11" s="7">
        <v>756.1</v>
      </c>
      <c r="AO11" s="7">
        <v>910.70000000000027</v>
      </c>
      <c r="AP11" s="7">
        <v>971.0999999999998</v>
      </c>
      <c r="AQ11" s="7">
        <v>996.00000000000045</v>
      </c>
      <c r="AR11" s="7">
        <v>1078.1999999999998</v>
      </c>
      <c r="AS11" s="7">
        <v>1198.8999999999996</v>
      </c>
      <c r="AT11" s="7">
        <v>1270.4000000000001</v>
      </c>
      <c r="AU11" s="7">
        <v>1298.5000000000002</v>
      </c>
      <c r="AV11" s="7">
        <v>1317.3000000000006</v>
      </c>
      <c r="AW11" s="7">
        <v>1400.2000000000003</v>
      </c>
      <c r="AX11" s="7">
        <v>1486.7999999999993</v>
      </c>
      <c r="AY11" s="7">
        <v>1641.9999999999998</v>
      </c>
      <c r="AZ11" s="7">
        <v>1770.2999999999997</v>
      </c>
      <c r="BA11" s="7">
        <v>1959.0000000000005</v>
      </c>
      <c r="BB11" s="7">
        <v>2134.7999999999993</v>
      </c>
      <c r="BC11" s="7">
        <v>2227.3999999999992</v>
      </c>
      <c r="BD11" s="7">
        <v>2342.6000000000004</v>
      </c>
      <c r="BE11" s="7">
        <v>2444.8999999999996</v>
      </c>
      <c r="BF11" s="7">
        <v>2479.9000000000005</v>
      </c>
      <c r="BG11" s="7">
        <v>2521.6</v>
      </c>
      <c r="BH11" s="7">
        <v>2625.4</v>
      </c>
      <c r="BI11" s="7">
        <v>2926.199999999998</v>
      </c>
      <c r="BJ11" s="7">
        <v>3235.9</v>
      </c>
      <c r="BK11" s="7">
        <v>3539.8</v>
      </c>
      <c r="BL11" s="7">
        <v>3437.6000000000004</v>
      </c>
      <c r="BM11" s="7">
        <v>3374.9999999999995</v>
      </c>
      <c r="BN11" s="7">
        <v>3218.4000000000015</v>
      </c>
      <c r="BO11" s="7">
        <v>3627.0000000000005</v>
      </c>
      <c r="BP11" s="7">
        <v>3767.5</v>
      </c>
    </row>
    <row r="12" spans="1:68" ht="21" x14ac:dyDescent="0.35">
      <c r="A12" s="12" t="s">
        <v>22</v>
      </c>
      <c r="B12" s="8" t="s">
        <v>23</v>
      </c>
      <c r="C12" s="13" t="s">
        <v>24</v>
      </c>
      <c r="D12" s="7">
        <v>2.4</v>
      </c>
      <c r="E12" s="7">
        <v>2.5</v>
      </c>
      <c r="F12" s="7">
        <v>2.8</v>
      </c>
      <c r="G12" s="7">
        <v>3.1</v>
      </c>
      <c r="H12" s="7">
        <v>3.5</v>
      </c>
      <c r="I12" s="7">
        <v>4</v>
      </c>
      <c r="J12" s="7">
        <v>4.5999999999999996</v>
      </c>
      <c r="K12" s="7">
        <v>5.4</v>
      </c>
      <c r="L12" s="7">
        <v>6.1</v>
      </c>
      <c r="M12" s="7">
        <v>6.8</v>
      </c>
      <c r="N12" s="7">
        <v>8</v>
      </c>
      <c r="O12" s="7">
        <v>9.4</v>
      </c>
      <c r="P12" s="7">
        <v>9.5</v>
      </c>
      <c r="Q12" s="7">
        <v>10.4</v>
      </c>
      <c r="R12" s="7">
        <v>12.1</v>
      </c>
      <c r="S12" s="7">
        <v>13.8</v>
      </c>
      <c r="T12" s="7">
        <v>14.7</v>
      </c>
      <c r="U12" s="7">
        <v>16.899999999999999</v>
      </c>
      <c r="V12" s="7">
        <v>19.100000000000001</v>
      </c>
      <c r="W12" s="7">
        <v>21.9</v>
      </c>
      <c r="X12" s="7">
        <v>24.9</v>
      </c>
      <c r="Y12" s="7">
        <v>26.7</v>
      </c>
      <c r="Z12" s="7">
        <v>33.200000000000003</v>
      </c>
      <c r="AA12" s="7">
        <v>39.9</v>
      </c>
      <c r="AB12" s="7">
        <v>44.2</v>
      </c>
      <c r="AC12" s="7">
        <v>48.9</v>
      </c>
      <c r="AD12" s="7">
        <v>57.5</v>
      </c>
      <c r="AE12" s="7">
        <v>72.7</v>
      </c>
      <c r="AF12" s="7">
        <v>83.2</v>
      </c>
      <c r="AG12" s="7">
        <v>85.2</v>
      </c>
      <c r="AH12" s="7">
        <v>99.8</v>
      </c>
      <c r="AI12" s="7">
        <v>116.2</v>
      </c>
      <c r="AJ12" s="7">
        <v>141.5</v>
      </c>
      <c r="AK12" s="7">
        <v>183</v>
      </c>
      <c r="AL12" s="7">
        <v>228.9</v>
      </c>
      <c r="AM12" s="7">
        <v>267</v>
      </c>
      <c r="AN12" s="7">
        <v>283.10000000000002</v>
      </c>
      <c r="AO12" s="7">
        <v>327.10000000000002</v>
      </c>
      <c r="AP12" s="7">
        <v>352.8</v>
      </c>
      <c r="AQ12" s="7">
        <v>387.2</v>
      </c>
      <c r="AR12" s="7">
        <v>395.7</v>
      </c>
      <c r="AS12" s="7">
        <v>418.1</v>
      </c>
      <c r="AT12" s="7">
        <v>474</v>
      </c>
      <c r="AU12" s="7">
        <v>483.6</v>
      </c>
      <c r="AV12" s="7">
        <v>462</v>
      </c>
      <c r="AW12" s="7">
        <v>428.7</v>
      </c>
      <c r="AX12" s="7">
        <v>407</v>
      </c>
      <c r="AY12" s="7">
        <v>412.1</v>
      </c>
      <c r="AZ12" s="7">
        <v>417.5</v>
      </c>
      <c r="BA12" s="7">
        <v>437.2</v>
      </c>
      <c r="BB12" s="7">
        <v>487.3</v>
      </c>
      <c r="BC12" s="7">
        <v>560.20000000000005</v>
      </c>
      <c r="BD12" s="7">
        <v>569.9</v>
      </c>
      <c r="BE12" s="7">
        <v>642.5</v>
      </c>
      <c r="BF12" s="7">
        <v>656.9</v>
      </c>
      <c r="BG12" s="7">
        <v>609.6</v>
      </c>
      <c r="BH12" s="7">
        <v>595.5</v>
      </c>
      <c r="BI12" s="7">
        <v>569.29999999999995</v>
      </c>
      <c r="BJ12" s="7">
        <v>678.9</v>
      </c>
      <c r="BK12" s="7">
        <v>830.1</v>
      </c>
      <c r="BL12" s="7">
        <v>952.1</v>
      </c>
      <c r="BM12" s="7">
        <v>1096.8</v>
      </c>
      <c r="BN12" s="7">
        <v>841.9</v>
      </c>
      <c r="BO12" s="7">
        <v>753</v>
      </c>
      <c r="BP12" s="7">
        <v>706.4</v>
      </c>
    </row>
    <row r="13" spans="1:68" x14ac:dyDescent="0.35">
      <c r="A13" s="12" t="s">
        <v>25</v>
      </c>
      <c r="B13" s="8" t="s">
        <v>26</v>
      </c>
      <c r="C13" s="13" t="s">
        <v>27</v>
      </c>
      <c r="D13" s="7">
        <v>0.7</v>
      </c>
      <c r="E13" s="7">
        <v>0.7</v>
      </c>
      <c r="F13" s="7">
        <v>0.7</v>
      </c>
      <c r="G13" s="7">
        <v>0.9</v>
      </c>
      <c r="H13" s="7">
        <v>1.2</v>
      </c>
      <c r="I13" s="7">
        <v>1.3</v>
      </c>
      <c r="J13" s="7">
        <v>1.2</v>
      </c>
      <c r="K13" s="7">
        <v>1</v>
      </c>
      <c r="L13" s="7">
        <v>1.4</v>
      </c>
      <c r="M13" s="7">
        <v>1.7</v>
      </c>
      <c r="N13" s="7">
        <v>1.9</v>
      </c>
      <c r="O13" s="7">
        <v>1.8</v>
      </c>
      <c r="P13" s="7">
        <v>1.8</v>
      </c>
      <c r="Q13" s="7">
        <v>1.9</v>
      </c>
      <c r="R13" s="7">
        <v>2</v>
      </c>
      <c r="S13" s="7">
        <v>2.2000000000000002</v>
      </c>
      <c r="T13" s="7">
        <v>2.7</v>
      </c>
      <c r="U13" s="7">
        <v>3.1</v>
      </c>
      <c r="V13" s="7">
        <v>3.6</v>
      </c>
      <c r="W13" s="7">
        <v>3.5</v>
      </c>
      <c r="X13" s="7">
        <v>3.8</v>
      </c>
      <c r="Y13" s="7">
        <v>4.3</v>
      </c>
      <c r="Z13" s="7">
        <v>4.9000000000000004</v>
      </c>
      <c r="AA13" s="7">
        <v>4.5</v>
      </c>
      <c r="AB13" s="7">
        <v>4.3</v>
      </c>
      <c r="AC13" s="7">
        <v>4.9000000000000004</v>
      </c>
      <c r="AD13" s="7">
        <v>6</v>
      </c>
      <c r="AE13" s="7">
        <v>7.1</v>
      </c>
      <c r="AF13" s="7">
        <v>9.4</v>
      </c>
      <c r="AG13" s="7">
        <v>9.5</v>
      </c>
      <c r="AH13" s="7">
        <v>8.5</v>
      </c>
      <c r="AI13" s="7">
        <v>10.8</v>
      </c>
      <c r="AJ13" s="7">
        <v>13.3</v>
      </c>
      <c r="AK13" s="7">
        <v>14.7</v>
      </c>
      <c r="AL13" s="7">
        <v>17.899999999999999</v>
      </c>
      <c r="AM13" s="7">
        <v>20.6</v>
      </c>
      <c r="AN13" s="7">
        <v>22.6</v>
      </c>
      <c r="AO13" s="7">
        <v>30.3</v>
      </c>
      <c r="AP13" s="7">
        <v>35.200000000000003</v>
      </c>
      <c r="AQ13" s="7">
        <v>36.9</v>
      </c>
      <c r="AR13" s="7">
        <v>34.1</v>
      </c>
      <c r="AS13" s="7">
        <v>33.6</v>
      </c>
      <c r="AT13" s="7">
        <v>39.200000000000003</v>
      </c>
      <c r="AU13" s="7">
        <v>40.1</v>
      </c>
      <c r="AV13" s="7">
        <v>39.9</v>
      </c>
      <c r="AW13" s="7">
        <v>40.700000000000003</v>
      </c>
      <c r="AX13" s="7">
        <v>40.5</v>
      </c>
      <c r="AY13" s="7">
        <v>41.9</v>
      </c>
      <c r="AZ13" s="7">
        <v>45.8</v>
      </c>
      <c r="BA13" s="7">
        <v>53.8</v>
      </c>
      <c r="BB13" s="7">
        <v>51.3</v>
      </c>
      <c r="BC13" s="7">
        <v>65.2</v>
      </c>
      <c r="BD13" s="7">
        <v>69</v>
      </c>
      <c r="BE13" s="7">
        <v>87</v>
      </c>
      <c r="BF13" s="7">
        <v>101.3</v>
      </c>
      <c r="BG13" s="7">
        <v>82.4</v>
      </c>
      <c r="BH13" s="7">
        <v>76.099999999999994</v>
      </c>
      <c r="BI13" s="7">
        <v>81.7</v>
      </c>
      <c r="BJ13" s="7">
        <v>95.9</v>
      </c>
      <c r="BK13" s="7">
        <v>83</v>
      </c>
      <c r="BL13" s="7">
        <v>103.3</v>
      </c>
      <c r="BM13" s="7">
        <v>123</v>
      </c>
      <c r="BN13" s="7">
        <v>133.4</v>
      </c>
      <c r="BO13" s="7">
        <v>140</v>
      </c>
      <c r="BP13" s="7">
        <v>132.6</v>
      </c>
    </row>
    <row r="14" spans="1:68" ht="21" x14ac:dyDescent="0.35">
      <c r="A14" s="13" t="s">
        <v>28</v>
      </c>
      <c r="B14" s="8" t="s">
        <v>29</v>
      </c>
      <c r="C14" s="13" t="s">
        <v>30</v>
      </c>
      <c r="D14" s="7">
        <v>34.5</v>
      </c>
      <c r="E14" s="7">
        <v>39.200000000000003</v>
      </c>
      <c r="F14" s="7">
        <v>34.6</v>
      </c>
      <c r="G14" s="7">
        <v>37.5</v>
      </c>
      <c r="H14" s="7">
        <v>42.7</v>
      </c>
      <c r="I14" s="7">
        <v>43.1</v>
      </c>
      <c r="J14" s="7">
        <v>42</v>
      </c>
      <c r="K14" s="7">
        <v>42.3</v>
      </c>
      <c r="L14" s="7">
        <v>44.3</v>
      </c>
      <c r="M14" s="7">
        <v>45.9</v>
      </c>
      <c r="N14" s="7">
        <v>47.8</v>
      </c>
      <c r="O14" s="7">
        <v>50.2</v>
      </c>
      <c r="P14" s="7">
        <v>50.3</v>
      </c>
      <c r="Q14" s="7">
        <v>50.7</v>
      </c>
      <c r="R14" s="7">
        <v>53.2</v>
      </c>
      <c r="S14" s="7">
        <v>55.3</v>
      </c>
      <c r="T14" s="7">
        <v>56.5</v>
      </c>
      <c r="U14" s="7">
        <v>59.4</v>
      </c>
      <c r="V14" s="7">
        <v>63.9</v>
      </c>
      <c r="W14" s="7">
        <v>68.2</v>
      </c>
      <c r="X14" s="7">
        <v>69.8</v>
      </c>
      <c r="Y14" s="7">
        <v>74.2</v>
      </c>
      <c r="Z14" s="7">
        <v>77.5</v>
      </c>
      <c r="AA14" s="7">
        <v>78.5</v>
      </c>
      <c r="AB14" s="7">
        <v>84.7</v>
      </c>
      <c r="AC14" s="7">
        <v>96</v>
      </c>
      <c r="AD14" s="7">
        <v>113.6</v>
      </c>
      <c r="AE14" s="7">
        <v>113.5</v>
      </c>
      <c r="AF14" s="7">
        <v>119.6</v>
      </c>
      <c r="AG14" s="7">
        <v>132.19999999999999</v>
      </c>
      <c r="AH14" s="7">
        <v>146</v>
      </c>
      <c r="AI14" s="7">
        <v>167.5</v>
      </c>
      <c r="AJ14" s="7">
        <v>181.1</v>
      </c>
      <c r="AK14" s="7">
        <v>173.5</v>
      </c>
      <c r="AL14" s="7">
        <v>181.6</v>
      </c>
      <c r="AM14" s="7">
        <v>174.8</v>
      </c>
      <c r="AN14" s="7">
        <v>190.7</v>
      </c>
      <c r="AO14" s="7">
        <v>233.1</v>
      </c>
      <c r="AP14" s="7">
        <v>246.1</v>
      </c>
      <c r="AQ14" s="7">
        <v>262.60000000000002</v>
      </c>
      <c r="AR14" s="7">
        <v>294.2</v>
      </c>
      <c r="AS14" s="7">
        <v>334.8</v>
      </c>
      <c r="AT14" s="7">
        <v>351.6</v>
      </c>
      <c r="AU14" s="7">
        <v>365.1</v>
      </c>
      <c r="AV14" s="7">
        <v>367.3</v>
      </c>
      <c r="AW14" s="7">
        <v>414.9</v>
      </c>
      <c r="AX14" s="7">
        <v>449.6</v>
      </c>
      <c r="AY14" s="7">
        <v>485.1</v>
      </c>
      <c r="AZ14" s="7">
        <v>516</v>
      </c>
      <c r="BA14" s="7">
        <v>583.70000000000005</v>
      </c>
      <c r="BB14" s="7">
        <v>628.20000000000005</v>
      </c>
      <c r="BC14" s="7">
        <v>687.5</v>
      </c>
      <c r="BD14" s="7">
        <v>746.8</v>
      </c>
      <c r="BE14" s="7">
        <v>817.5</v>
      </c>
      <c r="BF14" s="7">
        <v>870.7</v>
      </c>
      <c r="BG14" s="7">
        <v>890.3</v>
      </c>
      <c r="BH14" s="7">
        <v>930.6</v>
      </c>
      <c r="BI14" s="7">
        <v>1033.8</v>
      </c>
      <c r="BJ14" s="7">
        <v>1069.8</v>
      </c>
      <c r="BK14" s="7">
        <v>1133</v>
      </c>
      <c r="BL14" s="7">
        <v>1090.4000000000001</v>
      </c>
      <c r="BM14" s="7">
        <v>1097.9000000000001</v>
      </c>
      <c r="BN14" s="7">
        <v>979.4</v>
      </c>
      <c r="BO14" s="7">
        <v>1103.4000000000001</v>
      </c>
      <c r="BP14" s="7">
        <v>1157.3</v>
      </c>
    </row>
    <row r="15" spans="1:68" ht="21" x14ac:dyDescent="0.35">
      <c r="A15" s="13" t="s">
        <v>31</v>
      </c>
      <c r="B15" s="8" t="s">
        <v>32</v>
      </c>
      <c r="C15" s="13" t="s">
        <v>33</v>
      </c>
      <c r="D15" s="7">
        <v>7.2</v>
      </c>
      <c r="E15" s="7">
        <v>7.8</v>
      </c>
      <c r="F15" s="7">
        <v>8.1</v>
      </c>
      <c r="G15" s="7">
        <v>9.1</v>
      </c>
      <c r="H15" s="7">
        <v>10</v>
      </c>
      <c r="I15" s="7">
        <v>11.2</v>
      </c>
      <c r="J15" s="7">
        <v>12.4</v>
      </c>
      <c r="K15" s="7">
        <v>13.4</v>
      </c>
      <c r="L15" s="7">
        <v>13.8</v>
      </c>
      <c r="M15" s="7">
        <v>14.1</v>
      </c>
      <c r="N15" s="7">
        <v>14.5</v>
      </c>
      <c r="O15" s="7">
        <v>15.2</v>
      </c>
      <c r="P15" s="7">
        <v>16</v>
      </c>
      <c r="Q15" s="7">
        <v>17</v>
      </c>
      <c r="R15" s="7">
        <v>17.7</v>
      </c>
      <c r="S15" s="7">
        <v>18.600000000000001</v>
      </c>
      <c r="T15" s="7">
        <v>19.3</v>
      </c>
      <c r="U15" s="7">
        <v>19.399999999999999</v>
      </c>
      <c r="V15" s="7">
        <v>19.899999999999999</v>
      </c>
      <c r="W15" s="7">
        <v>20.5</v>
      </c>
      <c r="X15" s="7">
        <v>20.9</v>
      </c>
      <c r="Y15" s="7">
        <v>20.6</v>
      </c>
      <c r="Z15" s="7">
        <v>20.9</v>
      </c>
      <c r="AA15" s="7">
        <v>21.1</v>
      </c>
      <c r="AB15" s="7">
        <v>22.2</v>
      </c>
      <c r="AC15" s="7">
        <v>23.1</v>
      </c>
      <c r="AD15" s="7">
        <v>23.9</v>
      </c>
      <c r="AE15" s="7">
        <v>24</v>
      </c>
      <c r="AF15" s="7">
        <v>23.4</v>
      </c>
      <c r="AG15" s="7">
        <v>22.1</v>
      </c>
      <c r="AH15" s="7">
        <v>19.600000000000001</v>
      </c>
      <c r="AI15" s="7">
        <v>20.9</v>
      </c>
      <c r="AJ15" s="7">
        <v>22.6</v>
      </c>
      <c r="AK15" s="7">
        <v>28.5</v>
      </c>
      <c r="AL15" s="7">
        <v>36.5</v>
      </c>
      <c r="AM15" s="7">
        <v>38.1</v>
      </c>
      <c r="AN15" s="7">
        <v>38.200000000000003</v>
      </c>
      <c r="AO15" s="7">
        <v>40</v>
      </c>
      <c r="AP15" s="7">
        <v>41.9</v>
      </c>
      <c r="AQ15" s="7">
        <v>33.799999999999997</v>
      </c>
      <c r="AR15" s="7">
        <v>34.200000000000003</v>
      </c>
      <c r="AS15" s="7">
        <v>40.200000000000003</v>
      </c>
      <c r="AT15" s="7">
        <v>42.4</v>
      </c>
      <c r="AU15" s="7">
        <v>49.8</v>
      </c>
      <c r="AV15" s="7">
        <v>61.6</v>
      </c>
      <c r="AW15" s="7">
        <v>84.6</v>
      </c>
      <c r="AX15" s="7">
        <v>114.1</v>
      </c>
      <c r="AY15" s="7">
        <v>142.9</v>
      </c>
      <c r="AZ15" s="7">
        <v>154.6</v>
      </c>
      <c r="BA15" s="7">
        <v>170.4</v>
      </c>
      <c r="BB15" s="7">
        <v>176.5</v>
      </c>
      <c r="BC15" s="7">
        <v>191.5</v>
      </c>
      <c r="BD15" s="7">
        <v>208.2</v>
      </c>
      <c r="BE15" s="7">
        <v>215.3</v>
      </c>
      <c r="BF15" s="7">
        <v>232.4</v>
      </c>
      <c r="BG15" s="7">
        <v>218.7</v>
      </c>
      <c r="BH15" s="7">
        <v>204.2</v>
      </c>
      <c r="BI15" s="7">
        <v>198.4</v>
      </c>
      <c r="BJ15" s="7">
        <v>178.2</v>
      </c>
      <c r="BK15" s="7">
        <v>146.5</v>
      </c>
      <c r="BL15" s="7">
        <v>143.69999999999999</v>
      </c>
      <c r="BM15" s="7">
        <v>231.6</v>
      </c>
      <c r="BN15" s="7">
        <v>289.7</v>
      </c>
      <c r="BO15" s="7">
        <v>349.2</v>
      </c>
      <c r="BP15" s="7">
        <v>409.7</v>
      </c>
    </row>
    <row r="16" spans="1:68" ht="31.5" x14ac:dyDescent="0.35">
      <c r="A16" s="13" t="s">
        <v>34</v>
      </c>
      <c r="B16" s="8" t="s">
        <v>35</v>
      </c>
      <c r="C16" s="13" t="s">
        <v>36</v>
      </c>
      <c r="D16" s="7">
        <v>22.5</v>
      </c>
      <c r="E16" s="7">
        <v>29.6</v>
      </c>
      <c r="F16" s="7">
        <v>27.6</v>
      </c>
      <c r="G16" s="7">
        <v>34.4</v>
      </c>
      <c r="H16" s="7">
        <v>39.1</v>
      </c>
      <c r="I16" s="7">
        <v>37</v>
      </c>
      <c r="J16" s="7">
        <v>37.299999999999997</v>
      </c>
      <c r="K16" s="7">
        <v>36.4</v>
      </c>
      <c r="L16" s="7">
        <v>46.6</v>
      </c>
      <c r="M16" s="7">
        <v>45.2</v>
      </c>
      <c r="N16" s="7">
        <v>44.5</v>
      </c>
      <c r="O16" s="7">
        <v>39.9</v>
      </c>
      <c r="P16" s="7">
        <v>51.1</v>
      </c>
      <c r="Q16" s="7">
        <v>50</v>
      </c>
      <c r="R16" s="7">
        <v>50.9</v>
      </c>
      <c r="S16" s="7">
        <v>58.6</v>
      </c>
      <c r="T16" s="7">
        <v>64.3</v>
      </c>
      <c r="U16" s="7">
        <v>71.099999999999994</v>
      </c>
      <c r="V16" s="7">
        <v>81.8</v>
      </c>
      <c r="W16" s="7">
        <v>88</v>
      </c>
      <c r="X16" s="7">
        <v>85.4</v>
      </c>
      <c r="Y16" s="7">
        <v>91.6</v>
      </c>
      <c r="Z16" s="7">
        <v>87.9</v>
      </c>
      <c r="AA16" s="7">
        <v>75.400000000000006</v>
      </c>
      <c r="AB16" s="7">
        <v>88.2</v>
      </c>
      <c r="AC16" s="7">
        <v>101.9</v>
      </c>
      <c r="AD16" s="7">
        <v>109.6</v>
      </c>
      <c r="AE16" s="7">
        <v>97.7</v>
      </c>
      <c r="AF16" s="7">
        <v>118.7</v>
      </c>
      <c r="AG16" s="7">
        <v>145.1</v>
      </c>
      <c r="AH16" s="7">
        <v>172.7</v>
      </c>
      <c r="AI16" s="7">
        <v>195.6</v>
      </c>
      <c r="AJ16" s="7">
        <v>190.7</v>
      </c>
      <c r="AK16" s="7">
        <v>166</v>
      </c>
      <c r="AL16" s="7">
        <v>193.6</v>
      </c>
      <c r="AM16" s="7">
        <v>173.1</v>
      </c>
      <c r="AN16" s="7">
        <v>224.8</v>
      </c>
      <c r="AO16" s="7">
        <v>282</v>
      </c>
      <c r="AP16" s="7">
        <v>294.39999999999998</v>
      </c>
      <c r="AQ16" s="7">
        <v>274.7</v>
      </c>
      <c r="AR16" s="7">
        <v>319.8</v>
      </c>
      <c r="AS16" s="7">
        <v>369.6</v>
      </c>
      <c r="AT16" s="7">
        <v>358.4</v>
      </c>
      <c r="AU16" s="7">
        <v>358.4</v>
      </c>
      <c r="AV16" s="7">
        <v>380.8</v>
      </c>
      <c r="AW16" s="7">
        <v>423.1</v>
      </c>
      <c r="AX16" s="7">
        <v>466.8</v>
      </c>
      <c r="AY16" s="7">
        <v>550.29999999999995</v>
      </c>
      <c r="AZ16" s="7">
        <v>623.20000000000005</v>
      </c>
      <c r="BA16" s="7">
        <v>699.5</v>
      </c>
      <c r="BB16" s="7">
        <v>777.3</v>
      </c>
      <c r="BC16" s="7">
        <v>709.7</v>
      </c>
      <c r="BD16" s="7">
        <v>734.8</v>
      </c>
      <c r="BE16" s="7">
        <v>673.6</v>
      </c>
      <c r="BF16" s="7">
        <v>614.5</v>
      </c>
      <c r="BG16" s="7">
        <v>714.3</v>
      </c>
      <c r="BH16" s="7">
        <v>812</v>
      </c>
      <c r="BI16" s="7">
        <v>1041.9000000000001</v>
      </c>
      <c r="BJ16" s="7">
        <v>1216.5999999999999</v>
      </c>
      <c r="BK16" s="7">
        <v>1351.5</v>
      </c>
      <c r="BL16" s="7">
        <v>1159.8</v>
      </c>
      <c r="BM16" s="7">
        <v>841.8</v>
      </c>
      <c r="BN16" s="7">
        <v>989.5</v>
      </c>
      <c r="BO16" s="7">
        <v>1300.9000000000001</v>
      </c>
      <c r="BP16" s="7">
        <v>1388.1</v>
      </c>
    </row>
    <row r="17" spans="1:68" x14ac:dyDescent="0.35">
      <c r="A17" s="13" t="s">
        <v>37</v>
      </c>
      <c r="B17" s="8" t="s">
        <v>38</v>
      </c>
      <c r="C17" s="12" t="s">
        <v>39</v>
      </c>
      <c r="D17" s="8">
        <v>0</v>
      </c>
      <c r="E17" s="8">
        <v>0</v>
      </c>
      <c r="F17" s="8">
        <v>0</v>
      </c>
      <c r="G17" s="8">
        <v>0</v>
      </c>
      <c r="H17" s="8">
        <v>0</v>
      </c>
      <c r="I17" s="8">
        <v>0</v>
      </c>
      <c r="J17" s="8">
        <v>0</v>
      </c>
      <c r="K17" s="8">
        <v>0</v>
      </c>
      <c r="L17" s="8">
        <v>0</v>
      </c>
      <c r="M17" s="8">
        <v>0</v>
      </c>
      <c r="N17" s="8">
        <v>0</v>
      </c>
      <c r="O17" s="8">
        <v>0</v>
      </c>
      <c r="P17" s="8">
        <v>1</v>
      </c>
      <c r="Q17" s="8">
        <v>0.9</v>
      </c>
      <c r="R17" s="8">
        <v>0.8</v>
      </c>
      <c r="S17" s="8">
        <v>0.9</v>
      </c>
      <c r="T17" s="8">
        <v>1.4</v>
      </c>
      <c r="U17" s="8">
        <v>1.3</v>
      </c>
      <c r="V17" s="8">
        <v>1.3</v>
      </c>
      <c r="W17" s="8">
        <v>1</v>
      </c>
      <c r="X17" s="8">
        <v>0.9</v>
      </c>
      <c r="Y17" s="8">
        <v>1.2</v>
      </c>
      <c r="Z17" s="8">
        <v>1</v>
      </c>
      <c r="AA17" s="8">
        <v>0</v>
      </c>
      <c r="AB17" s="8">
        <v>-0.2</v>
      </c>
      <c r="AC17" s="8">
        <v>0.5</v>
      </c>
      <c r="AD17" s="8">
        <v>-0.4</v>
      </c>
      <c r="AE17" s="8">
        <v>-0.9</v>
      </c>
      <c r="AF17" s="8">
        <v>-3.2</v>
      </c>
      <c r="AG17" s="8">
        <v>-1.8</v>
      </c>
      <c r="AH17" s="8">
        <v>-2.7</v>
      </c>
      <c r="AI17" s="8">
        <v>-2.2000000000000002</v>
      </c>
      <c r="AJ17" s="8">
        <v>-2.9</v>
      </c>
      <c r="AK17" s="8">
        <v>-5.0999999999999996</v>
      </c>
      <c r="AL17" s="8">
        <v>-5.6</v>
      </c>
      <c r="AM17" s="8">
        <v>-4.5</v>
      </c>
      <c r="AN17" s="8">
        <v>-3.2</v>
      </c>
      <c r="AO17" s="8">
        <v>-1.9</v>
      </c>
      <c r="AP17" s="8">
        <v>0.6</v>
      </c>
      <c r="AQ17" s="8">
        <v>0.9</v>
      </c>
      <c r="AR17" s="8">
        <v>0.2</v>
      </c>
      <c r="AS17" s="8">
        <v>2.6</v>
      </c>
      <c r="AT17" s="8">
        <v>4.9000000000000004</v>
      </c>
      <c r="AU17" s="8">
        <v>1.6</v>
      </c>
      <c r="AV17" s="8">
        <v>5.7</v>
      </c>
      <c r="AW17" s="8">
        <v>8.1999999999999993</v>
      </c>
      <c r="AX17" s="8">
        <v>8.6999999999999993</v>
      </c>
      <c r="AY17" s="8">
        <v>9.6</v>
      </c>
      <c r="AZ17" s="8">
        <v>13.1</v>
      </c>
      <c r="BA17" s="8">
        <v>14.4</v>
      </c>
      <c r="BB17" s="8">
        <v>14.1</v>
      </c>
      <c r="BC17" s="8">
        <v>13.3</v>
      </c>
      <c r="BD17" s="8">
        <v>14.1</v>
      </c>
      <c r="BE17" s="8">
        <v>9.1</v>
      </c>
      <c r="BF17" s="8">
        <v>4</v>
      </c>
      <c r="BG17" s="8">
        <v>6.3</v>
      </c>
      <c r="BH17" s="8">
        <v>7</v>
      </c>
      <c r="BI17" s="8">
        <v>1.2</v>
      </c>
      <c r="BJ17" s="8">
        <v>-3.5</v>
      </c>
      <c r="BK17" s="8">
        <v>-4.2</v>
      </c>
      <c r="BL17" s="8">
        <v>-11.8</v>
      </c>
      <c r="BM17" s="8">
        <v>-16</v>
      </c>
      <c r="BN17" s="8">
        <v>-15.6</v>
      </c>
      <c r="BO17" s="8">
        <v>-19.5</v>
      </c>
      <c r="BP17" s="8">
        <v>-26.5</v>
      </c>
    </row>
    <row r="18" spans="1:68" x14ac:dyDescent="0.35">
      <c r="A18" s="14"/>
      <c r="B18" s="14"/>
      <c r="C18" s="14"/>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6"/>
      <c r="BP18" s="16"/>
    </row>
    <row r="19" spans="1:68" x14ac:dyDescent="0.35">
      <c r="A19" s="8" t="s">
        <v>40</v>
      </c>
      <c r="B19" s="8" t="s">
        <v>41</v>
      </c>
      <c r="C19" s="8" t="s">
        <v>40</v>
      </c>
      <c r="D19" s="7">
        <v>9.6999999999999993</v>
      </c>
      <c r="E19" s="7">
        <v>10.6</v>
      </c>
      <c r="F19" s="7">
        <v>11.6</v>
      </c>
      <c r="G19" s="7">
        <v>13</v>
      </c>
      <c r="H19" s="7">
        <v>14.6</v>
      </c>
      <c r="I19" s="7">
        <v>16.399999999999999</v>
      </c>
      <c r="J19" s="7">
        <v>18.3</v>
      </c>
      <c r="K19" s="7">
        <v>20</v>
      </c>
      <c r="L19" s="7">
        <v>22</v>
      </c>
      <c r="M19" s="7">
        <v>23.9</v>
      </c>
      <c r="N19" s="7">
        <v>25.8</v>
      </c>
      <c r="O19" s="7">
        <v>27.8</v>
      </c>
      <c r="P19" s="7">
        <v>30.1</v>
      </c>
      <c r="Q19" s="7">
        <v>32.6</v>
      </c>
      <c r="R19" s="7">
        <v>34.6</v>
      </c>
      <c r="S19" s="7">
        <v>37</v>
      </c>
      <c r="T19" s="7">
        <v>39.1</v>
      </c>
      <c r="U19" s="7">
        <v>41.2</v>
      </c>
      <c r="V19" s="7">
        <v>43.6</v>
      </c>
      <c r="W19" s="7">
        <v>46.2</v>
      </c>
      <c r="X19" s="7">
        <v>49.1</v>
      </c>
      <c r="Y19" s="7">
        <v>51.9</v>
      </c>
      <c r="Z19" s="7">
        <v>56</v>
      </c>
      <c r="AA19" s="7">
        <v>59.8</v>
      </c>
      <c r="AB19" s="7">
        <v>65.5</v>
      </c>
      <c r="AC19" s="7">
        <v>70.8</v>
      </c>
      <c r="AD19" s="7">
        <v>76.5</v>
      </c>
      <c r="AE19" s="7">
        <v>83</v>
      </c>
      <c r="AF19" s="7">
        <v>90.8</v>
      </c>
      <c r="AG19" s="7">
        <v>98.7</v>
      </c>
      <c r="AH19" s="7">
        <v>107.9</v>
      </c>
      <c r="AI19" s="7">
        <v>121.3</v>
      </c>
      <c r="AJ19" s="7">
        <v>136</v>
      </c>
      <c r="AK19" s="7">
        <v>156.5</v>
      </c>
      <c r="AL19" s="7">
        <v>177.8</v>
      </c>
      <c r="AM19" s="7">
        <v>196.7</v>
      </c>
      <c r="AN19" s="7">
        <v>212.5</v>
      </c>
      <c r="AO19" s="7">
        <v>231</v>
      </c>
      <c r="AP19" s="7">
        <v>250.3</v>
      </c>
      <c r="AQ19" s="7">
        <v>268</v>
      </c>
      <c r="AR19" s="7">
        <v>288</v>
      </c>
      <c r="AS19" s="7">
        <v>313.10000000000002</v>
      </c>
      <c r="AT19" s="7">
        <v>337.2</v>
      </c>
      <c r="AU19" s="7">
        <v>363.3</v>
      </c>
      <c r="AV19" s="7">
        <v>383.7</v>
      </c>
      <c r="AW19" s="7">
        <v>405.3</v>
      </c>
      <c r="AX19" s="7">
        <v>428.3</v>
      </c>
      <c r="AY19" s="7">
        <v>461.3</v>
      </c>
      <c r="AZ19" s="7">
        <v>492.2</v>
      </c>
      <c r="BA19" s="7">
        <v>519.79999999999995</v>
      </c>
      <c r="BB19" s="7">
        <v>550.9</v>
      </c>
      <c r="BC19" s="7">
        <v>583.9</v>
      </c>
      <c r="BD19" s="7">
        <v>628.4</v>
      </c>
      <c r="BE19" s="7">
        <v>673.5</v>
      </c>
      <c r="BF19" s="7">
        <v>719.5</v>
      </c>
      <c r="BG19" s="7">
        <v>746</v>
      </c>
      <c r="BH19" s="7">
        <v>762.7</v>
      </c>
      <c r="BI19" s="7">
        <v>806</v>
      </c>
      <c r="BJ19" s="7">
        <v>864.4</v>
      </c>
      <c r="BK19" s="7">
        <v>924.8</v>
      </c>
      <c r="BL19" s="7">
        <v>968.1</v>
      </c>
      <c r="BM19" s="7">
        <v>1042.8</v>
      </c>
      <c r="BN19" s="7">
        <v>1048.3</v>
      </c>
      <c r="BO19" s="7">
        <v>1038.5</v>
      </c>
      <c r="BP19" s="7">
        <v>1055.2</v>
      </c>
    </row>
    <row r="20" spans="1:68" x14ac:dyDescent="0.35">
      <c r="A20" s="8" t="s">
        <v>42</v>
      </c>
      <c r="B20" s="13" t="s">
        <v>43</v>
      </c>
      <c r="C20" s="9" t="s">
        <v>42</v>
      </c>
      <c r="D20" s="7">
        <v>2.3999999999999995</v>
      </c>
      <c r="E20" s="7">
        <v>2.2999999999999989</v>
      </c>
      <c r="F20" s="7">
        <v>2.4000000000000004</v>
      </c>
      <c r="G20" s="7">
        <v>2.5999999999999996</v>
      </c>
      <c r="H20" s="7">
        <v>2.5999999999999996</v>
      </c>
      <c r="I20" s="7">
        <v>2.5999999999999996</v>
      </c>
      <c r="J20" s="7">
        <v>2.7000000000000011</v>
      </c>
      <c r="K20" s="7">
        <v>2.6000000000000014</v>
      </c>
      <c r="L20" s="7">
        <v>3</v>
      </c>
      <c r="M20" s="7">
        <v>3.2999999999999972</v>
      </c>
      <c r="N20" s="7">
        <v>3.4000000000000021</v>
      </c>
      <c r="O20" s="7">
        <v>3.4000000000000021</v>
      </c>
      <c r="P20" s="7">
        <v>3.6000000000000014</v>
      </c>
      <c r="Q20" s="7">
        <v>3.8000000000000043</v>
      </c>
      <c r="R20" s="7">
        <v>3.7000000000000028</v>
      </c>
      <c r="S20" s="7">
        <v>3.8000000000000043</v>
      </c>
      <c r="T20" s="7">
        <v>3.7999999999999972</v>
      </c>
      <c r="U20" s="7">
        <v>3.9000000000000057</v>
      </c>
      <c r="V20" s="7">
        <v>3.8999999999999986</v>
      </c>
      <c r="W20" s="7">
        <v>4.0000000000000071</v>
      </c>
      <c r="X20" s="7">
        <v>4.2000000000000028</v>
      </c>
      <c r="Y20" s="7">
        <v>4.3999999999999986</v>
      </c>
      <c r="Z20" s="7">
        <v>4.3999999999999986</v>
      </c>
      <c r="AA20" s="7">
        <v>4.5</v>
      </c>
      <c r="AB20" s="7">
        <v>4.5</v>
      </c>
      <c r="AC20" s="7">
        <v>4.5999999999999943</v>
      </c>
      <c r="AD20" s="7">
        <v>4.7999999999999972</v>
      </c>
      <c r="AE20" s="7">
        <v>4.6000000000000085</v>
      </c>
      <c r="AF20" s="7">
        <v>4.6999999999999886</v>
      </c>
      <c r="AG20" s="7">
        <v>5.3999999999999915</v>
      </c>
      <c r="AH20" s="7">
        <v>5.9000000000000057</v>
      </c>
      <c r="AI20" s="7">
        <v>6.4999999999999858</v>
      </c>
      <c r="AJ20" s="7">
        <v>6.4000000000000057</v>
      </c>
      <c r="AK20" s="7">
        <v>6</v>
      </c>
      <c r="AL20" s="7">
        <v>6.0999999999999943</v>
      </c>
      <c r="AM20" s="7">
        <v>6.2999999999999829</v>
      </c>
      <c r="AN20" s="7">
        <v>6.1999999999999886</v>
      </c>
      <c r="AO20" s="7">
        <v>7.3000000000000114</v>
      </c>
      <c r="AP20" s="7">
        <v>7.4000000000000341</v>
      </c>
      <c r="AQ20" s="7">
        <v>7.8000000000000114</v>
      </c>
      <c r="AR20" s="7">
        <v>7.6999999999999886</v>
      </c>
      <c r="AS20" s="7">
        <v>8.4000000000000341</v>
      </c>
      <c r="AT20" s="7">
        <v>9</v>
      </c>
      <c r="AU20" s="7">
        <v>9.3000000000000114</v>
      </c>
      <c r="AV20" s="7">
        <v>9.1999999999999886</v>
      </c>
      <c r="AW20" s="7">
        <v>10.300000000000011</v>
      </c>
      <c r="AX20" s="7">
        <v>10.900000000000034</v>
      </c>
      <c r="AY20" s="7">
        <v>11.300000000000068</v>
      </c>
      <c r="AZ20" s="7">
        <v>12.099999999999966</v>
      </c>
      <c r="BA20" s="7">
        <v>12.199999999999932</v>
      </c>
      <c r="BB20" s="7">
        <v>12.200000000000045</v>
      </c>
      <c r="BC20" s="7">
        <v>14.199999999999932</v>
      </c>
      <c r="BD20" s="7">
        <v>12.899999999999977</v>
      </c>
      <c r="BE20" s="7">
        <v>13.799999999999955</v>
      </c>
      <c r="BF20" s="7">
        <v>13</v>
      </c>
      <c r="BG20" s="7">
        <v>12.799999999999955</v>
      </c>
      <c r="BH20" s="7">
        <v>14.300000000000068</v>
      </c>
      <c r="BI20" s="7">
        <v>15.099999999999909</v>
      </c>
      <c r="BJ20" s="7">
        <v>15.399999999999977</v>
      </c>
      <c r="BK20" s="7">
        <v>16.5</v>
      </c>
      <c r="BL20" s="7">
        <v>18.100000000000023</v>
      </c>
      <c r="BM20" s="7">
        <v>19.200000000000045</v>
      </c>
      <c r="BN20" s="7">
        <v>17.499999999999773</v>
      </c>
      <c r="BO20" s="7">
        <v>15.300000000000068</v>
      </c>
      <c r="BP20" s="7">
        <v>16.5</v>
      </c>
    </row>
    <row r="21" spans="1:68" x14ac:dyDescent="0.35">
      <c r="A21" s="8" t="s">
        <v>44</v>
      </c>
      <c r="B21" s="8" t="s">
        <v>45</v>
      </c>
      <c r="C21" s="9" t="s">
        <v>44</v>
      </c>
      <c r="D21" s="7">
        <v>1.3</v>
      </c>
      <c r="E21" s="7">
        <v>1.4</v>
      </c>
      <c r="F21" s="7">
        <v>1.6</v>
      </c>
      <c r="G21" s="7">
        <v>1.8</v>
      </c>
      <c r="H21" s="7">
        <v>2</v>
      </c>
      <c r="I21" s="7">
        <v>2.2000000000000002</v>
      </c>
      <c r="J21" s="7">
        <v>2.5</v>
      </c>
      <c r="K21" s="7">
        <v>2.7</v>
      </c>
      <c r="L21" s="7">
        <v>3.1</v>
      </c>
      <c r="M21" s="7">
        <v>3.6</v>
      </c>
      <c r="N21" s="7">
        <v>4</v>
      </c>
      <c r="O21" s="7">
        <v>4.5</v>
      </c>
      <c r="P21" s="7">
        <v>4.8</v>
      </c>
      <c r="Q21" s="7">
        <v>5.3</v>
      </c>
      <c r="R21" s="7">
        <v>5.9</v>
      </c>
      <c r="S21" s="7">
        <v>6.4</v>
      </c>
      <c r="T21" s="7">
        <v>7</v>
      </c>
      <c r="U21" s="7">
        <v>7.7</v>
      </c>
      <c r="V21" s="7">
        <v>8.3000000000000007</v>
      </c>
      <c r="W21" s="7">
        <v>9</v>
      </c>
      <c r="X21" s="7">
        <v>10.1</v>
      </c>
      <c r="Y21" s="7">
        <v>11.4</v>
      </c>
      <c r="Z21" s="7">
        <v>12.7</v>
      </c>
      <c r="AA21" s="7">
        <v>14.4</v>
      </c>
      <c r="AB21" s="7">
        <v>15.8</v>
      </c>
      <c r="AC21" s="7">
        <v>17.100000000000001</v>
      </c>
      <c r="AD21" s="7">
        <v>18.5</v>
      </c>
      <c r="AE21" s="7">
        <v>19.8</v>
      </c>
      <c r="AF21" s="7">
        <v>21.8</v>
      </c>
      <c r="AG21" s="7">
        <v>24.1</v>
      </c>
      <c r="AH21" s="7">
        <v>26.5</v>
      </c>
      <c r="AI21" s="7">
        <v>27.099999999999998</v>
      </c>
      <c r="AJ21" s="7">
        <v>28</v>
      </c>
      <c r="AK21" s="7">
        <v>30.5</v>
      </c>
      <c r="AL21" s="7">
        <v>33.699999999999996</v>
      </c>
      <c r="AM21" s="7">
        <v>36.700000000000003</v>
      </c>
      <c r="AN21" s="7">
        <v>39.200000000000003</v>
      </c>
      <c r="AO21" s="7">
        <v>42.2</v>
      </c>
      <c r="AP21" s="7">
        <v>44.900000000000006</v>
      </c>
      <c r="AQ21" s="7">
        <v>47.699999999999996</v>
      </c>
      <c r="AR21" s="7">
        <v>52.199999999999996</v>
      </c>
      <c r="AS21" s="7">
        <v>55.599999999999994</v>
      </c>
      <c r="AT21" s="7">
        <v>60.099999999999994</v>
      </c>
      <c r="AU21" s="7">
        <v>63.8</v>
      </c>
      <c r="AV21" s="7">
        <v>68.399999999999991</v>
      </c>
      <c r="AW21" s="7">
        <v>70.600000000000009</v>
      </c>
      <c r="AX21" s="7">
        <v>70.600000000000009</v>
      </c>
      <c r="AY21" s="7">
        <v>73.8</v>
      </c>
      <c r="AZ21" s="7">
        <v>74.100000000000009</v>
      </c>
      <c r="BA21" s="7">
        <v>76.5</v>
      </c>
      <c r="BB21" s="7">
        <v>79.2</v>
      </c>
      <c r="BC21" s="7">
        <v>80.8</v>
      </c>
      <c r="BD21" s="7">
        <v>83.4</v>
      </c>
      <c r="BE21" s="7">
        <v>86.199999999999989</v>
      </c>
      <c r="BF21" s="7">
        <v>91</v>
      </c>
      <c r="BG21" s="7">
        <v>98.4</v>
      </c>
      <c r="BH21" s="7">
        <v>104.10000000000001</v>
      </c>
      <c r="BI21" s="7">
        <v>110.19999999999999</v>
      </c>
      <c r="BJ21" s="7">
        <v>114.7</v>
      </c>
      <c r="BK21" s="7">
        <v>123.9</v>
      </c>
      <c r="BL21" s="7">
        <v>126.1</v>
      </c>
      <c r="BM21" s="7">
        <v>133.70000000000002</v>
      </c>
      <c r="BN21" s="7">
        <v>142.30000000000001</v>
      </c>
      <c r="BO21" s="7">
        <v>143.6</v>
      </c>
      <c r="BP21" s="7">
        <v>146.30000000000001</v>
      </c>
    </row>
    <row r="22" spans="1:68" x14ac:dyDescent="0.35">
      <c r="A22" s="10" t="s">
        <v>46</v>
      </c>
      <c r="B22" s="8"/>
      <c r="C22" s="10" t="s">
        <v>46</v>
      </c>
      <c r="D22" s="7">
        <v>6</v>
      </c>
      <c r="E22" s="7">
        <v>6.9</v>
      </c>
      <c r="F22" s="7">
        <v>7.6</v>
      </c>
      <c r="G22" s="7">
        <v>8.6</v>
      </c>
      <c r="H22" s="7">
        <v>10</v>
      </c>
      <c r="I22" s="7">
        <v>11.599999999999998</v>
      </c>
      <c r="J22" s="7">
        <v>13.1</v>
      </c>
      <c r="K22" s="7">
        <v>14.7</v>
      </c>
      <c r="L22" s="7">
        <v>15.9</v>
      </c>
      <c r="M22" s="7">
        <v>17</v>
      </c>
      <c r="N22" s="7">
        <v>18.399999999999999</v>
      </c>
      <c r="O22" s="7">
        <v>19.899999999999999</v>
      </c>
      <c r="P22" s="7">
        <v>21.7</v>
      </c>
      <c r="Q22" s="7">
        <v>23.499999999999996</v>
      </c>
      <c r="R22" s="7">
        <v>25</v>
      </c>
      <c r="S22" s="7">
        <v>26.799999999999997</v>
      </c>
      <c r="T22" s="7">
        <v>28.300000000000004</v>
      </c>
      <c r="U22" s="7">
        <v>29.599999999999998</v>
      </c>
      <c r="V22" s="7">
        <v>31.400000000000002</v>
      </c>
      <c r="W22" s="7">
        <v>33.199999999999996</v>
      </c>
      <c r="X22" s="7">
        <v>34.799999999999997</v>
      </c>
      <c r="Y22" s="7">
        <v>36.1</v>
      </c>
      <c r="Z22" s="7">
        <v>38.900000000000006</v>
      </c>
      <c r="AA22" s="7">
        <v>40.9</v>
      </c>
      <c r="AB22" s="7">
        <v>45.2</v>
      </c>
      <c r="AC22" s="7">
        <v>49.1</v>
      </c>
      <c r="AD22" s="7">
        <v>53.2</v>
      </c>
      <c r="AE22" s="7">
        <v>58.599999999999994</v>
      </c>
      <c r="AF22" s="7">
        <v>64.300000000000011</v>
      </c>
      <c r="AG22" s="7">
        <v>69.200000000000017</v>
      </c>
      <c r="AH22" s="7">
        <v>75.5</v>
      </c>
      <c r="AI22" s="7">
        <v>87.700000000000017</v>
      </c>
      <c r="AJ22" s="7">
        <v>101.6</v>
      </c>
      <c r="AK22" s="7">
        <v>120</v>
      </c>
      <c r="AL22" s="7">
        <v>138.00000000000003</v>
      </c>
      <c r="AM22" s="7">
        <v>153.69999999999999</v>
      </c>
      <c r="AN22" s="7">
        <v>167.10000000000002</v>
      </c>
      <c r="AO22" s="7">
        <v>181.5</v>
      </c>
      <c r="AP22" s="7">
        <v>197.99999999999997</v>
      </c>
      <c r="AQ22" s="7">
        <v>212.5</v>
      </c>
      <c r="AR22" s="7">
        <v>228.10000000000002</v>
      </c>
      <c r="AS22" s="7">
        <v>249.1</v>
      </c>
      <c r="AT22" s="7">
        <v>268.10000000000002</v>
      </c>
      <c r="AU22" s="7">
        <v>290.2</v>
      </c>
      <c r="AV22" s="7">
        <v>306.10000000000002</v>
      </c>
      <c r="AW22" s="7">
        <v>324.39999999999998</v>
      </c>
      <c r="AX22" s="7">
        <v>346.79999999999995</v>
      </c>
      <c r="AY22" s="7">
        <v>376.19999999999993</v>
      </c>
      <c r="AZ22" s="7">
        <v>406</v>
      </c>
      <c r="BA22" s="7">
        <v>431.1</v>
      </c>
      <c r="BB22" s="7">
        <v>459.49999999999994</v>
      </c>
      <c r="BC22" s="7">
        <v>488.90000000000003</v>
      </c>
      <c r="BD22" s="7">
        <v>532.1</v>
      </c>
      <c r="BE22" s="7">
        <v>573.5</v>
      </c>
      <c r="BF22" s="7">
        <v>615.5</v>
      </c>
      <c r="BG22" s="7">
        <v>634.80000000000007</v>
      </c>
      <c r="BH22" s="7">
        <v>644.29999999999995</v>
      </c>
      <c r="BI22" s="7">
        <v>680.7</v>
      </c>
      <c r="BJ22" s="7">
        <v>734.3</v>
      </c>
      <c r="BK22" s="7">
        <v>784.4</v>
      </c>
      <c r="BL22" s="7">
        <v>823.9</v>
      </c>
      <c r="BM22" s="7">
        <v>889.89999999999986</v>
      </c>
      <c r="BN22" s="7">
        <v>888.50000000000023</v>
      </c>
      <c r="BO22" s="7">
        <v>879.59999999999991</v>
      </c>
      <c r="BP22" s="7">
        <v>892.40000000000009</v>
      </c>
    </row>
    <row r="23" spans="1:68" x14ac:dyDescent="0.35">
      <c r="A23" s="8" t="s">
        <v>47</v>
      </c>
      <c r="B23" s="8" t="s">
        <v>48</v>
      </c>
      <c r="C23" s="8" t="s">
        <v>47</v>
      </c>
      <c r="D23" s="7">
        <v>2</v>
      </c>
      <c r="E23" s="7">
        <v>2.2999999999999998</v>
      </c>
      <c r="F23" s="7">
        <v>2.5</v>
      </c>
      <c r="G23" s="7">
        <v>2.8</v>
      </c>
      <c r="H23" s="7">
        <v>3.2</v>
      </c>
      <c r="I23" s="7">
        <v>3.4</v>
      </c>
      <c r="J23" s="7">
        <v>3.7</v>
      </c>
      <c r="K23" s="7">
        <v>3.9</v>
      </c>
      <c r="L23" s="7">
        <v>4.2</v>
      </c>
      <c r="M23" s="7">
        <v>4.5</v>
      </c>
      <c r="N23" s="7">
        <v>4.8</v>
      </c>
      <c r="O23" s="7">
        <v>5</v>
      </c>
      <c r="P23" s="7">
        <v>5.2</v>
      </c>
      <c r="Q23" s="7">
        <v>5.5</v>
      </c>
      <c r="R23" s="7">
        <v>5.6</v>
      </c>
      <c r="S23" s="7">
        <v>5.8</v>
      </c>
      <c r="T23" s="7">
        <v>6</v>
      </c>
      <c r="U23" s="7">
        <v>6.3</v>
      </c>
      <c r="V23" s="7">
        <v>6.8</v>
      </c>
      <c r="W23" s="7">
        <v>7.3</v>
      </c>
      <c r="X23" s="7">
        <v>7.8</v>
      </c>
      <c r="Y23" s="7">
        <v>8.5</v>
      </c>
      <c r="Z23" s="7">
        <v>9.5</v>
      </c>
      <c r="AA23" s="7">
        <v>10.1</v>
      </c>
      <c r="AB23" s="7">
        <v>11.1</v>
      </c>
      <c r="AC23" s="7">
        <v>12.3</v>
      </c>
      <c r="AD23" s="7">
        <v>13.9</v>
      </c>
      <c r="AE23" s="7">
        <v>16</v>
      </c>
      <c r="AF23" s="7">
        <v>17.899999999999999</v>
      </c>
      <c r="AG23" s="7">
        <v>19.7</v>
      </c>
      <c r="AH23" s="7">
        <v>22.5</v>
      </c>
      <c r="AI23" s="7">
        <v>26.3</v>
      </c>
      <c r="AJ23" s="7">
        <v>30.5</v>
      </c>
      <c r="AK23" s="7">
        <v>35</v>
      </c>
      <c r="AL23" s="7">
        <v>38.799999999999997</v>
      </c>
      <c r="AM23" s="7">
        <v>41.4</v>
      </c>
      <c r="AN23" s="7">
        <v>43</v>
      </c>
      <c r="AO23" s="7">
        <v>45.5</v>
      </c>
      <c r="AP23" s="7">
        <v>47.9</v>
      </c>
      <c r="AQ23" s="7">
        <v>51.2</v>
      </c>
      <c r="AR23" s="7">
        <v>54.9</v>
      </c>
      <c r="AS23" s="7">
        <v>58.9</v>
      </c>
      <c r="AT23" s="7">
        <v>62.9</v>
      </c>
      <c r="AU23" s="7">
        <v>66.400000000000006</v>
      </c>
      <c r="AV23" s="7">
        <v>68.900000000000006</v>
      </c>
      <c r="AW23" s="7">
        <v>71.3</v>
      </c>
      <c r="AX23" s="7">
        <v>75.8</v>
      </c>
      <c r="AY23" s="7">
        <v>80.900000000000006</v>
      </c>
      <c r="AZ23" s="7">
        <v>86.6</v>
      </c>
      <c r="BA23" s="7">
        <v>91.2</v>
      </c>
      <c r="BB23" s="7">
        <v>96.6</v>
      </c>
      <c r="BC23" s="7">
        <v>102.3</v>
      </c>
      <c r="BD23" s="7">
        <v>110</v>
      </c>
      <c r="BE23" s="7">
        <v>118.5</v>
      </c>
      <c r="BF23" s="7">
        <v>127.7</v>
      </c>
      <c r="BG23" s="7">
        <v>135</v>
      </c>
      <c r="BH23" s="7">
        <v>146.19999999999999</v>
      </c>
      <c r="BI23" s="7">
        <v>163.5</v>
      </c>
      <c r="BJ23" s="7">
        <v>181.4</v>
      </c>
      <c r="BK23" s="7">
        <v>199.2</v>
      </c>
      <c r="BL23" s="7">
        <v>208</v>
      </c>
      <c r="BM23" s="7">
        <v>209.5</v>
      </c>
      <c r="BN23" s="7">
        <v>204.5</v>
      </c>
      <c r="BO23" s="7">
        <v>205.5</v>
      </c>
      <c r="BP23" s="7">
        <v>209.5</v>
      </c>
    </row>
    <row r="24" spans="1:68" x14ac:dyDescent="0.35">
      <c r="A24" s="17" t="s">
        <v>49</v>
      </c>
      <c r="B24" s="8"/>
      <c r="C24" s="17" t="s">
        <v>49</v>
      </c>
      <c r="D24" s="7">
        <v>4</v>
      </c>
      <c r="E24" s="7">
        <v>4.6000000000000005</v>
      </c>
      <c r="F24" s="7">
        <v>5.0999999999999996</v>
      </c>
      <c r="G24" s="7">
        <v>5.8</v>
      </c>
      <c r="H24" s="7">
        <v>6.8</v>
      </c>
      <c r="I24" s="7">
        <v>8.1999999999999975</v>
      </c>
      <c r="J24" s="7">
        <v>9.3999999999999986</v>
      </c>
      <c r="K24" s="7">
        <v>10.799999999999999</v>
      </c>
      <c r="L24" s="7">
        <v>11.7</v>
      </c>
      <c r="M24" s="7">
        <v>12.5</v>
      </c>
      <c r="N24" s="7">
        <v>13.599999999999998</v>
      </c>
      <c r="O24" s="7">
        <v>14.899999999999999</v>
      </c>
      <c r="P24" s="7">
        <v>16.5</v>
      </c>
      <c r="Q24" s="7">
        <v>17.999999999999996</v>
      </c>
      <c r="R24" s="7">
        <v>19.399999999999999</v>
      </c>
      <c r="S24" s="7">
        <v>20.999999999999996</v>
      </c>
      <c r="T24" s="7">
        <v>22.300000000000004</v>
      </c>
      <c r="U24" s="7">
        <v>23.299999999999997</v>
      </c>
      <c r="V24" s="7">
        <v>24.6</v>
      </c>
      <c r="W24" s="7">
        <v>25.899999999999995</v>
      </c>
      <c r="X24" s="7">
        <v>26.999999999999996</v>
      </c>
      <c r="Y24" s="7">
        <v>27.6</v>
      </c>
      <c r="Z24" s="7">
        <v>29.400000000000006</v>
      </c>
      <c r="AA24" s="7">
        <v>30.799999999999997</v>
      </c>
      <c r="AB24" s="7">
        <v>34.1</v>
      </c>
      <c r="AC24" s="7">
        <v>36.799999999999997</v>
      </c>
      <c r="AD24" s="7">
        <v>39.300000000000004</v>
      </c>
      <c r="AE24" s="7">
        <v>42.599999999999994</v>
      </c>
      <c r="AF24" s="7">
        <v>46.400000000000013</v>
      </c>
      <c r="AG24" s="7">
        <v>49.500000000000014</v>
      </c>
      <c r="AH24" s="7">
        <v>53</v>
      </c>
      <c r="AI24" s="7">
        <v>61.40000000000002</v>
      </c>
      <c r="AJ24" s="7">
        <v>71.099999999999994</v>
      </c>
      <c r="AK24" s="7">
        <v>85</v>
      </c>
      <c r="AL24" s="7">
        <v>99.200000000000031</v>
      </c>
      <c r="AM24" s="7">
        <v>112.29999999999998</v>
      </c>
      <c r="AN24" s="7">
        <v>124.10000000000002</v>
      </c>
      <c r="AO24" s="7">
        <v>136</v>
      </c>
      <c r="AP24" s="7">
        <v>150.09999999999997</v>
      </c>
      <c r="AQ24" s="7">
        <v>161.30000000000001</v>
      </c>
      <c r="AR24" s="7">
        <v>173.20000000000002</v>
      </c>
      <c r="AS24" s="7">
        <v>190.2</v>
      </c>
      <c r="AT24" s="7">
        <v>205.20000000000002</v>
      </c>
      <c r="AU24" s="7">
        <v>223.79999999999998</v>
      </c>
      <c r="AV24" s="7">
        <v>237.20000000000002</v>
      </c>
      <c r="AW24" s="7">
        <v>253.09999999999997</v>
      </c>
      <c r="AX24" s="7">
        <v>270.99999999999994</v>
      </c>
      <c r="AY24" s="7">
        <v>295.29999999999995</v>
      </c>
      <c r="AZ24" s="7">
        <v>319.39999999999998</v>
      </c>
      <c r="BA24" s="7">
        <v>339.90000000000003</v>
      </c>
      <c r="BB24" s="7">
        <v>362.9</v>
      </c>
      <c r="BC24" s="7">
        <v>386.6</v>
      </c>
      <c r="BD24" s="7">
        <v>422.1</v>
      </c>
      <c r="BE24" s="7">
        <v>455</v>
      </c>
      <c r="BF24" s="7">
        <v>487.8</v>
      </c>
      <c r="BG24" s="7">
        <v>499.80000000000007</v>
      </c>
      <c r="BH24" s="7">
        <v>498.09999999999997</v>
      </c>
      <c r="BI24" s="7">
        <v>517.20000000000005</v>
      </c>
      <c r="BJ24" s="7">
        <v>552.9</v>
      </c>
      <c r="BK24" s="7">
        <v>585.20000000000005</v>
      </c>
      <c r="BL24" s="7">
        <v>615.9</v>
      </c>
      <c r="BM24" s="7">
        <v>680.39999999999986</v>
      </c>
      <c r="BN24" s="7">
        <v>684.00000000000023</v>
      </c>
      <c r="BO24" s="7">
        <v>674.09999999999991</v>
      </c>
      <c r="BP24" s="7">
        <v>682.90000000000009</v>
      </c>
    </row>
    <row r="25" spans="1:68" x14ac:dyDescent="0.35">
      <c r="A25" s="18" t="s">
        <v>50</v>
      </c>
      <c r="B25" s="8" t="s">
        <v>51</v>
      </c>
      <c r="C25" s="13" t="s">
        <v>24</v>
      </c>
      <c r="D25" s="7">
        <v>1.1000000000000001</v>
      </c>
      <c r="E25" s="7">
        <v>1.3</v>
      </c>
      <c r="F25" s="7">
        <v>1.4</v>
      </c>
      <c r="G25" s="7">
        <v>1.6</v>
      </c>
      <c r="H25" s="7">
        <v>1.9</v>
      </c>
      <c r="I25" s="7">
        <v>2.2000000000000002</v>
      </c>
      <c r="J25" s="7">
        <v>2.5</v>
      </c>
      <c r="K25" s="7">
        <v>2.9</v>
      </c>
      <c r="L25" s="7">
        <v>3.3</v>
      </c>
      <c r="M25" s="7">
        <v>3.9</v>
      </c>
      <c r="N25" s="7">
        <v>4.5999999999999996</v>
      </c>
      <c r="O25" s="7">
        <v>5.2</v>
      </c>
      <c r="P25" s="7">
        <v>5.9</v>
      </c>
      <c r="Q25" s="7">
        <v>6.6</v>
      </c>
      <c r="R25" s="7">
        <v>7.2</v>
      </c>
      <c r="S25" s="7">
        <v>8.1</v>
      </c>
      <c r="T25" s="7">
        <v>8.8000000000000007</v>
      </c>
      <c r="U25" s="7">
        <v>9.8000000000000007</v>
      </c>
      <c r="V25" s="7">
        <v>10.7</v>
      </c>
      <c r="W25" s="7">
        <v>11.5</v>
      </c>
      <c r="X25" s="7">
        <v>12.2</v>
      </c>
      <c r="Y25" s="7">
        <v>13.1</v>
      </c>
      <c r="Z25" s="7">
        <v>14.5</v>
      </c>
      <c r="AA25" s="7">
        <v>15.9</v>
      </c>
      <c r="AB25" s="7">
        <v>18.2</v>
      </c>
      <c r="AC25" s="7">
        <v>21</v>
      </c>
      <c r="AD25" s="7">
        <v>24</v>
      </c>
      <c r="AE25" s="7">
        <v>27.5</v>
      </c>
      <c r="AF25" s="7">
        <v>32.1</v>
      </c>
      <c r="AG25" s="7">
        <v>36.1</v>
      </c>
      <c r="AH25" s="7">
        <v>42.6</v>
      </c>
      <c r="AI25" s="7">
        <v>50.3</v>
      </c>
      <c r="AJ25" s="7">
        <v>60.2</v>
      </c>
      <c r="AK25" s="7">
        <v>71.5</v>
      </c>
      <c r="AL25" s="7">
        <v>83.3</v>
      </c>
      <c r="AM25" s="7">
        <v>99.3</v>
      </c>
      <c r="AN25" s="7">
        <v>112.7</v>
      </c>
      <c r="AO25" s="7">
        <v>125.6</v>
      </c>
      <c r="AP25" s="7">
        <v>142.19999999999999</v>
      </c>
      <c r="AQ25" s="7">
        <v>156.6</v>
      </c>
      <c r="AR25" s="7">
        <v>165.9</v>
      </c>
      <c r="AS25" s="7">
        <v>176.2</v>
      </c>
      <c r="AT25" s="7">
        <v>190.2</v>
      </c>
      <c r="AU25" s="7">
        <v>205</v>
      </c>
      <c r="AV25" s="7">
        <v>211.9</v>
      </c>
      <c r="AW25" s="7">
        <v>213.6</v>
      </c>
      <c r="AX25" s="7">
        <v>204.7</v>
      </c>
      <c r="AY25" s="7">
        <v>204.9</v>
      </c>
      <c r="AZ25" s="7">
        <v>221.9</v>
      </c>
      <c r="BA25" s="7">
        <v>231.3</v>
      </c>
      <c r="BB25" s="7">
        <v>246.2</v>
      </c>
      <c r="BC25" s="7">
        <v>257.7</v>
      </c>
      <c r="BD25" s="7">
        <v>276.10000000000002</v>
      </c>
      <c r="BE25" s="7">
        <v>303.2</v>
      </c>
      <c r="BF25" s="7">
        <v>324.89999999999998</v>
      </c>
      <c r="BG25" s="7">
        <v>341.2</v>
      </c>
      <c r="BH25" s="7">
        <v>348.2</v>
      </c>
      <c r="BI25" s="7">
        <v>371.9</v>
      </c>
      <c r="BJ25" s="7">
        <v>423.9</v>
      </c>
      <c r="BK25" s="7">
        <v>491.2</v>
      </c>
      <c r="BL25" s="7">
        <v>538.9</v>
      </c>
      <c r="BM25" s="7">
        <v>547.20000000000005</v>
      </c>
      <c r="BN25" s="7">
        <v>488.8</v>
      </c>
      <c r="BO25" s="7">
        <v>434</v>
      </c>
      <c r="BP25" s="7">
        <v>401.1</v>
      </c>
    </row>
    <row r="26" spans="1:68" x14ac:dyDescent="0.35">
      <c r="A26" s="18" t="s">
        <v>52</v>
      </c>
      <c r="B26" s="8" t="s">
        <v>53</v>
      </c>
      <c r="C26" s="12" t="s">
        <v>27</v>
      </c>
      <c r="D26" s="7">
        <v>0</v>
      </c>
      <c r="E26" s="7">
        <v>0</v>
      </c>
      <c r="F26" s="7">
        <v>0</v>
      </c>
      <c r="G26" s="7">
        <v>0</v>
      </c>
      <c r="H26" s="7">
        <v>0</v>
      </c>
      <c r="I26" s="7">
        <v>0</v>
      </c>
      <c r="J26" s="7">
        <v>0</v>
      </c>
      <c r="K26" s="7">
        <v>0</v>
      </c>
      <c r="L26" s="7">
        <v>0</v>
      </c>
      <c r="M26" s="7">
        <v>0</v>
      </c>
      <c r="N26" s="7">
        <v>0</v>
      </c>
      <c r="O26" s="7">
        <v>0</v>
      </c>
      <c r="P26" s="7">
        <v>0</v>
      </c>
      <c r="Q26" s="7">
        <v>0</v>
      </c>
      <c r="R26" s="7">
        <v>-0.1</v>
      </c>
      <c r="S26" s="7">
        <v>-0.1</v>
      </c>
      <c r="T26" s="7">
        <v>-0.1</v>
      </c>
      <c r="U26" s="7">
        <v>-0.1</v>
      </c>
      <c r="V26" s="7">
        <v>-0.1</v>
      </c>
      <c r="W26" s="7">
        <v>0</v>
      </c>
      <c r="X26" s="7">
        <v>0</v>
      </c>
      <c r="Y26" s="7">
        <v>0</v>
      </c>
      <c r="Z26" s="7">
        <v>0</v>
      </c>
      <c r="AA26" s="7">
        <v>0</v>
      </c>
      <c r="AB26" s="7">
        <v>0.1</v>
      </c>
      <c r="AC26" s="7">
        <v>0.2</v>
      </c>
      <c r="AD26" s="7">
        <v>0.1</v>
      </c>
      <c r="AE26" s="7">
        <v>-0.3</v>
      </c>
      <c r="AF26" s="7">
        <v>-0.2</v>
      </c>
      <c r="AG26" s="7">
        <v>0.1</v>
      </c>
      <c r="AH26" s="7">
        <v>0.4</v>
      </c>
      <c r="AI26" s="7">
        <v>0.5</v>
      </c>
      <c r="AJ26" s="7">
        <v>-0.1</v>
      </c>
      <c r="AK26" s="7">
        <v>-0.3</v>
      </c>
      <c r="AL26" s="7">
        <v>0.2</v>
      </c>
      <c r="AM26" s="7">
        <v>0</v>
      </c>
      <c r="AN26" s="7">
        <v>-0.1</v>
      </c>
      <c r="AO26" s="7">
        <v>-0.1</v>
      </c>
      <c r="AP26" s="7">
        <v>-0.3</v>
      </c>
      <c r="AQ26" s="7">
        <v>1</v>
      </c>
      <c r="AR26" s="7">
        <v>1.6</v>
      </c>
      <c r="AS26" s="7">
        <v>0.7</v>
      </c>
      <c r="AT26" s="7">
        <v>-0.9</v>
      </c>
      <c r="AU26" s="7">
        <v>-0.8</v>
      </c>
      <c r="AV26" s="7">
        <v>-0.6</v>
      </c>
      <c r="AW26" s="7">
        <v>-1.4</v>
      </c>
      <c r="AX26" s="7">
        <v>1.5</v>
      </c>
      <c r="AY26" s="7">
        <v>1.8</v>
      </c>
      <c r="AZ26" s="7">
        <v>1.7</v>
      </c>
      <c r="BA26" s="7">
        <v>-0.7</v>
      </c>
      <c r="BB26" s="7">
        <v>4.5999999999999996</v>
      </c>
      <c r="BC26" s="7">
        <v>1.8</v>
      </c>
      <c r="BD26" s="7">
        <v>2</v>
      </c>
      <c r="BE26" s="7">
        <v>0.8</v>
      </c>
      <c r="BF26" s="7">
        <v>-1</v>
      </c>
      <c r="BG26" s="7">
        <v>2.6</v>
      </c>
      <c r="BH26" s="7">
        <v>4.4000000000000004</v>
      </c>
      <c r="BI26" s="7">
        <v>5.8</v>
      </c>
      <c r="BJ26" s="7">
        <v>11.3</v>
      </c>
      <c r="BK26" s="7">
        <v>10.7</v>
      </c>
      <c r="BL26" s="7">
        <v>8.9</v>
      </c>
      <c r="BM26" s="7">
        <v>3.2</v>
      </c>
      <c r="BN26" s="7">
        <v>5.7</v>
      </c>
      <c r="BO26" s="7">
        <v>3.9</v>
      </c>
      <c r="BP26" s="7">
        <v>-2</v>
      </c>
    </row>
    <row r="27" spans="1:68" ht="21" x14ac:dyDescent="0.35">
      <c r="A27" s="19" t="s">
        <v>54</v>
      </c>
      <c r="B27" s="8" t="s">
        <v>55</v>
      </c>
      <c r="C27" s="13" t="s">
        <v>33</v>
      </c>
      <c r="D27" s="7">
        <v>3</v>
      </c>
      <c r="E27" s="7">
        <v>3.2</v>
      </c>
      <c r="F27" s="7">
        <v>3.6</v>
      </c>
      <c r="G27" s="7">
        <v>4.3</v>
      </c>
      <c r="H27" s="7">
        <v>4.9000000000000004</v>
      </c>
      <c r="I27" s="7">
        <v>5.9</v>
      </c>
      <c r="J27" s="7">
        <v>7</v>
      </c>
      <c r="K27" s="7">
        <v>8</v>
      </c>
      <c r="L27" s="7">
        <v>8.4</v>
      </c>
      <c r="M27" s="7">
        <v>8.6</v>
      </c>
      <c r="N27" s="7">
        <v>9.1</v>
      </c>
      <c r="O27" s="7">
        <v>9.6</v>
      </c>
      <c r="P27" s="7">
        <v>10.5</v>
      </c>
      <c r="Q27" s="7">
        <v>11.5</v>
      </c>
      <c r="R27" s="7">
        <v>12.2</v>
      </c>
      <c r="S27" s="7">
        <v>13</v>
      </c>
      <c r="T27" s="7">
        <v>13.5</v>
      </c>
      <c r="U27" s="7">
        <v>13.6</v>
      </c>
      <c r="V27" s="7">
        <v>13.9</v>
      </c>
      <c r="W27" s="7">
        <v>14.4</v>
      </c>
      <c r="X27" s="7">
        <v>14.9</v>
      </c>
      <c r="Y27" s="7">
        <v>14.5</v>
      </c>
      <c r="Z27" s="7">
        <v>14.9</v>
      </c>
      <c r="AA27" s="7">
        <v>14.8</v>
      </c>
      <c r="AB27" s="7">
        <v>15.8</v>
      </c>
      <c r="AC27" s="7">
        <v>15.7</v>
      </c>
      <c r="AD27" s="7">
        <v>15.1</v>
      </c>
      <c r="AE27" s="7">
        <v>15.5</v>
      </c>
      <c r="AF27" s="7">
        <v>14.6</v>
      </c>
      <c r="AG27" s="7">
        <v>13.3</v>
      </c>
      <c r="AH27" s="7">
        <v>9.9</v>
      </c>
      <c r="AI27" s="7">
        <v>10.5</v>
      </c>
      <c r="AJ27" s="7">
        <v>11</v>
      </c>
      <c r="AK27" s="7">
        <v>13.8</v>
      </c>
      <c r="AL27" s="7">
        <v>15.7</v>
      </c>
      <c r="AM27" s="7">
        <v>13</v>
      </c>
      <c r="AN27" s="7">
        <v>11.4</v>
      </c>
      <c r="AO27" s="7">
        <v>10.6</v>
      </c>
      <c r="AP27" s="7">
        <v>8.1999999999999993</v>
      </c>
      <c r="AQ27" s="7">
        <v>3.7</v>
      </c>
      <c r="AR27" s="7">
        <v>5.7</v>
      </c>
      <c r="AS27" s="7">
        <v>13.4</v>
      </c>
      <c r="AT27" s="7">
        <v>16</v>
      </c>
      <c r="AU27" s="7">
        <v>19.399999999999999</v>
      </c>
      <c r="AV27" s="7">
        <v>25.9</v>
      </c>
      <c r="AW27" s="7">
        <v>40.9</v>
      </c>
      <c r="AX27" s="7">
        <v>64.8</v>
      </c>
      <c r="AY27" s="7">
        <v>88.8</v>
      </c>
      <c r="AZ27" s="7">
        <v>95.9</v>
      </c>
      <c r="BA27" s="7">
        <v>109.2</v>
      </c>
      <c r="BB27" s="7">
        <v>112.1</v>
      </c>
      <c r="BC27" s="7">
        <v>127.3</v>
      </c>
      <c r="BD27" s="7">
        <v>144</v>
      </c>
      <c r="BE27" s="7">
        <v>151</v>
      </c>
      <c r="BF27" s="7">
        <v>163.9</v>
      </c>
      <c r="BG27" s="7">
        <v>156</v>
      </c>
      <c r="BH27" s="7">
        <v>145.5</v>
      </c>
      <c r="BI27" s="7">
        <v>139.5</v>
      </c>
      <c r="BJ27" s="7">
        <v>117.9</v>
      </c>
      <c r="BK27" s="7">
        <v>83.4</v>
      </c>
      <c r="BL27" s="7">
        <v>68.099999999999994</v>
      </c>
      <c r="BM27" s="7">
        <v>130</v>
      </c>
      <c r="BN27" s="7">
        <v>189.5</v>
      </c>
      <c r="BO27" s="7">
        <v>236.2</v>
      </c>
      <c r="BP27" s="7">
        <v>283.89999999999998</v>
      </c>
    </row>
    <row r="28" spans="1:68" s="16" customFormat="1" x14ac:dyDescent="0.35">
      <c r="A28" s="14"/>
      <c r="B28" s="14"/>
      <c r="C28" s="14"/>
      <c r="D28" s="20"/>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8" x14ac:dyDescent="0.35">
      <c r="A29" s="21" t="s">
        <v>56</v>
      </c>
      <c r="B29" s="8" t="s">
        <v>57</v>
      </c>
      <c r="C29" s="21" t="s">
        <v>56</v>
      </c>
      <c r="D29" s="7">
        <v>3.5</v>
      </c>
      <c r="E29" s="7">
        <v>4</v>
      </c>
      <c r="F29" s="7">
        <v>4.4000000000000004</v>
      </c>
      <c r="G29" s="7">
        <v>4.8</v>
      </c>
      <c r="H29" s="7">
        <v>5.3</v>
      </c>
      <c r="I29" s="7">
        <v>5.7</v>
      </c>
      <c r="J29" s="7">
        <v>6.3</v>
      </c>
      <c r="K29" s="7">
        <v>6.8</v>
      </c>
      <c r="L29" s="7">
        <v>7.4</v>
      </c>
      <c r="M29" s="7">
        <v>8.1</v>
      </c>
      <c r="N29" s="7">
        <v>8.9</v>
      </c>
      <c r="O29" s="7">
        <v>9.6999999999999993</v>
      </c>
      <c r="P29" s="7">
        <v>10.6</v>
      </c>
      <c r="Q29" s="7">
        <v>12</v>
      </c>
      <c r="R29" s="7">
        <v>12.8</v>
      </c>
      <c r="S29" s="7">
        <v>14</v>
      </c>
      <c r="T29" s="7">
        <v>15.2</v>
      </c>
      <c r="U29" s="7">
        <v>16.5</v>
      </c>
      <c r="V29" s="7">
        <v>18.2</v>
      </c>
      <c r="W29" s="7">
        <v>20.399999999999999</v>
      </c>
      <c r="X29" s="7">
        <v>22.7</v>
      </c>
      <c r="Y29" s="7">
        <v>25.6</v>
      </c>
      <c r="Z29" s="7">
        <v>29.4</v>
      </c>
      <c r="AA29" s="7">
        <v>32.799999999999997</v>
      </c>
      <c r="AB29" s="7">
        <v>36.700000000000003</v>
      </c>
      <c r="AC29" s="7">
        <v>40.5</v>
      </c>
      <c r="AD29" s="7">
        <v>45.2</v>
      </c>
      <c r="AE29" s="7">
        <v>50.6</v>
      </c>
      <c r="AF29" s="7">
        <v>56.7</v>
      </c>
      <c r="AG29" s="7">
        <v>61.8</v>
      </c>
      <c r="AH29" s="7">
        <v>67.599999999999994</v>
      </c>
      <c r="AI29" s="7">
        <v>75.599999999999994</v>
      </c>
      <c r="AJ29" s="7">
        <v>84.8</v>
      </c>
      <c r="AK29" s="7">
        <v>97</v>
      </c>
      <c r="AL29" s="7">
        <v>109.7</v>
      </c>
      <c r="AM29" s="7">
        <v>122.7</v>
      </c>
      <c r="AN29" s="7">
        <v>135.6</v>
      </c>
      <c r="AO29" s="7">
        <v>149.30000000000001</v>
      </c>
      <c r="AP29" s="7">
        <v>159.80000000000001</v>
      </c>
      <c r="AQ29" s="7">
        <v>174.3</v>
      </c>
      <c r="AR29" s="7">
        <v>194.8</v>
      </c>
      <c r="AS29" s="7">
        <v>216.6</v>
      </c>
      <c r="AT29" s="7">
        <v>237</v>
      </c>
      <c r="AU29" s="7">
        <v>260.60000000000002</v>
      </c>
      <c r="AV29" s="7">
        <v>282.2</v>
      </c>
      <c r="AW29" s="7">
        <v>305.89999999999998</v>
      </c>
      <c r="AX29" s="7">
        <v>323.8</v>
      </c>
      <c r="AY29" s="7">
        <v>338.7</v>
      </c>
      <c r="AZ29" s="7">
        <v>359.9</v>
      </c>
      <c r="BA29" s="7">
        <v>377.2</v>
      </c>
      <c r="BB29" s="7">
        <v>398.3</v>
      </c>
      <c r="BC29" s="7">
        <v>426.3</v>
      </c>
      <c r="BD29" s="7">
        <v>454.5</v>
      </c>
      <c r="BE29" s="7">
        <v>483.7</v>
      </c>
      <c r="BF29" s="7">
        <v>513.4</v>
      </c>
      <c r="BG29" s="7">
        <v>552.1</v>
      </c>
      <c r="BH29" s="7">
        <v>584.5</v>
      </c>
      <c r="BI29" s="7">
        <v>617.70000000000005</v>
      </c>
      <c r="BJ29" s="7">
        <v>642</v>
      </c>
      <c r="BK29" s="7">
        <v>678.1</v>
      </c>
      <c r="BL29" s="7">
        <v>717.8</v>
      </c>
      <c r="BM29" s="7">
        <v>762.9</v>
      </c>
      <c r="BN29" s="7">
        <v>796.5</v>
      </c>
      <c r="BO29" s="7">
        <v>812.7</v>
      </c>
      <c r="BP29" s="7">
        <v>836.9</v>
      </c>
    </row>
    <row r="30" spans="1:68" x14ac:dyDescent="0.35">
      <c r="A30" s="9" t="s">
        <v>58</v>
      </c>
      <c r="B30" s="8" t="s">
        <v>59</v>
      </c>
      <c r="C30" s="8" t="s">
        <v>58</v>
      </c>
      <c r="D30" s="7">
        <v>2.9</v>
      </c>
      <c r="E30" s="7">
        <v>3.3</v>
      </c>
      <c r="F30" s="7">
        <v>3.7</v>
      </c>
      <c r="G30" s="7">
        <v>4</v>
      </c>
      <c r="H30" s="7">
        <v>4.3999999999999995</v>
      </c>
      <c r="I30" s="7">
        <v>4.7</v>
      </c>
      <c r="J30" s="7">
        <v>5.3</v>
      </c>
      <c r="K30" s="7">
        <v>5.6999999999999993</v>
      </c>
      <c r="L30" s="7">
        <v>6.2</v>
      </c>
      <c r="M30" s="7">
        <v>6.8</v>
      </c>
      <c r="N30" s="7">
        <v>7.5</v>
      </c>
      <c r="O30" s="7">
        <v>8.1999999999999993</v>
      </c>
      <c r="P30" s="7">
        <v>9</v>
      </c>
      <c r="Q30" s="7">
        <v>10.3</v>
      </c>
      <c r="R30" s="7">
        <v>11</v>
      </c>
      <c r="S30" s="7">
        <v>12.1</v>
      </c>
      <c r="T30" s="7">
        <v>13.1</v>
      </c>
      <c r="U30" s="7">
        <v>14.2</v>
      </c>
      <c r="V30" s="7">
        <v>15.6</v>
      </c>
      <c r="W30" s="7">
        <v>17.599999999999998</v>
      </c>
      <c r="X30" s="7">
        <v>19.5</v>
      </c>
      <c r="Y30" s="7">
        <v>22.1</v>
      </c>
      <c r="Z30" s="7">
        <v>25.4</v>
      </c>
      <c r="AA30" s="7">
        <v>28.299999999999997</v>
      </c>
      <c r="AB30" s="7">
        <v>31.6</v>
      </c>
      <c r="AC30" s="7">
        <v>34.699999999999996</v>
      </c>
      <c r="AD30" s="7">
        <v>38.800000000000004</v>
      </c>
      <c r="AE30" s="7">
        <v>43.2</v>
      </c>
      <c r="AF30" s="7">
        <v>48</v>
      </c>
      <c r="AG30" s="7">
        <v>52.4</v>
      </c>
      <c r="AH30" s="7">
        <v>57.29999999999999</v>
      </c>
      <c r="AI30" s="7">
        <v>63.999999999999986</v>
      </c>
      <c r="AJ30" s="7">
        <v>71.699999999999989</v>
      </c>
      <c r="AK30" s="7">
        <v>81.699999999999989</v>
      </c>
      <c r="AL30" s="7">
        <v>92</v>
      </c>
      <c r="AM30" s="7">
        <v>102.60000000000001</v>
      </c>
      <c r="AN30" s="7">
        <v>113.3</v>
      </c>
      <c r="AO30" s="7">
        <v>124.20000000000002</v>
      </c>
      <c r="AP30" s="7">
        <v>133.9</v>
      </c>
      <c r="AQ30" s="7">
        <v>146.20000000000002</v>
      </c>
      <c r="AR30" s="7">
        <v>165.20000000000002</v>
      </c>
      <c r="AS30" s="7">
        <v>184.5</v>
      </c>
      <c r="AT30" s="7">
        <v>202.3</v>
      </c>
      <c r="AU30" s="7">
        <v>223.40000000000003</v>
      </c>
      <c r="AV30" s="7">
        <v>242.2</v>
      </c>
      <c r="AW30" s="7">
        <v>263.19999999999993</v>
      </c>
      <c r="AX30" s="7">
        <v>277.5</v>
      </c>
      <c r="AY30" s="7">
        <v>291.59999999999997</v>
      </c>
      <c r="AZ30" s="7">
        <v>310.19999999999993</v>
      </c>
      <c r="BA30" s="7">
        <v>325.2</v>
      </c>
      <c r="BB30" s="7">
        <v>343.5</v>
      </c>
      <c r="BC30" s="7">
        <v>367.90000000000003</v>
      </c>
      <c r="BD30" s="7">
        <v>392.5</v>
      </c>
      <c r="BE30" s="7">
        <v>418.09999999999997</v>
      </c>
      <c r="BF30" s="7">
        <v>443.9</v>
      </c>
      <c r="BG30" s="7">
        <v>479.40000000000003</v>
      </c>
      <c r="BH30" s="7">
        <v>509.40000000000003</v>
      </c>
      <c r="BI30" s="7">
        <v>538.90000000000009</v>
      </c>
      <c r="BJ30" s="7">
        <v>559.4</v>
      </c>
      <c r="BK30" s="7">
        <v>590.90000000000009</v>
      </c>
      <c r="BL30" s="7">
        <v>620.49999999999989</v>
      </c>
      <c r="BM30" s="7">
        <v>656.5</v>
      </c>
      <c r="BN30" s="7">
        <v>687.30000000000007</v>
      </c>
      <c r="BO30" s="7">
        <v>703.60000000000014</v>
      </c>
      <c r="BP30" s="7">
        <v>724.5</v>
      </c>
    </row>
    <row r="31" spans="1:68" x14ac:dyDescent="0.35">
      <c r="A31" s="9" t="s">
        <v>60</v>
      </c>
      <c r="B31" s="8" t="s">
        <v>61</v>
      </c>
      <c r="C31" s="8" t="s">
        <v>60</v>
      </c>
      <c r="D31" s="7">
        <v>0.1</v>
      </c>
      <c r="E31" s="7">
        <v>0.1</v>
      </c>
      <c r="F31" s="7">
        <v>0.1</v>
      </c>
      <c r="G31" s="7">
        <v>0.1</v>
      </c>
      <c r="H31" s="7">
        <v>0.1</v>
      </c>
      <c r="I31" s="7">
        <v>0.2</v>
      </c>
      <c r="J31" s="7">
        <v>0.2</v>
      </c>
      <c r="K31" s="7">
        <v>0.2</v>
      </c>
      <c r="L31" s="7">
        <v>0.2</v>
      </c>
      <c r="M31" s="7">
        <v>0.2</v>
      </c>
      <c r="N31" s="7">
        <v>0.2</v>
      </c>
      <c r="O31" s="7">
        <v>0.3</v>
      </c>
      <c r="P31" s="7">
        <v>0.3</v>
      </c>
      <c r="Q31" s="7">
        <v>0.3</v>
      </c>
      <c r="R31" s="7">
        <v>0.3</v>
      </c>
      <c r="S31" s="7">
        <v>0.4</v>
      </c>
      <c r="T31" s="7">
        <v>0.4</v>
      </c>
      <c r="U31" s="7">
        <v>0.4</v>
      </c>
      <c r="V31" s="7">
        <v>0.5</v>
      </c>
      <c r="W31" s="7">
        <v>0.5</v>
      </c>
      <c r="X31" s="7">
        <v>0.6</v>
      </c>
      <c r="Y31" s="7">
        <v>0.6</v>
      </c>
      <c r="Z31" s="7">
        <v>0.7</v>
      </c>
      <c r="AA31" s="7">
        <v>0.8</v>
      </c>
      <c r="AB31" s="7">
        <v>0.9</v>
      </c>
      <c r="AC31" s="7">
        <v>1</v>
      </c>
      <c r="AD31" s="7">
        <v>1</v>
      </c>
      <c r="AE31" s="7">
        <v>1.1000000000000001</v>
      </c>
      <c r="AF31" s="7">
        <v>1.1000000000000001</v>
      </c>
      <c r="AG31" s="7">
        <v>1.2</v>
      </c>
      <c r="AH31" s="7">
        <v>1.3</v>
      </c>
      <c r="AI31" s="7">
        <v>1.3</v>
      </c>
      <c r="AJ31" s="7">
        <v>1.3</v>
      </c>
      <c r="AK31" s="7">
        <v>1.3</v>
      </c>
      <c r="AL31" s="7">
        <v>1.5</v>
      </c>
      <c r="AM31" s="7">
        <v>1.7</v>
      </c>
      <c r="AN31" s="7">
        <v>1.8</v>
      </c>
      <c r="AO31" s="7">
        <v>2</v>
      </c>
      <c r="AP31" s="7">
        <v>2.1</v>
      </c>
      <c r="AQ31" s="7">
        <v>2.2000000000000002</v>
      </c>
      <c r="AR31" s="7">
        <v>2.5</v>
      </c>
      <c r="AS31" s="7">
        <v>2.6</v>
      </c>
      <c r="AT31" s="7">
        <v>2.9</v>
      </c>
      <c r="AU31" s="7">
        <v>3.1</v>
      </c>
      <c r="AV31" s="7">
        <v>3.4</v>
      </c>
      <c r="AW31" s="7">
        <v>3.6</v>
      </c>
      <c r="AX31" s="7">
        <v>3.6</v>
      </c>
      <c r="AY31" s="7">
        <v>3.9</v>
      </c>
      <c r="AZ31" s="7">
        <v>3.9</v>
      </c>
      <c r="BA31" s="7">
        <v>4</v>
      </c>
      <c r="BB31" s="7">
        <v>4.3</v>
      </c>
      <c r="BC31" s="7">
        <v>4.4000000000000004</v>
      </c>
      <c r="BD31" s="7">
        <v>4.7</v>
      </c>
      <c r="BE31" s="7">
        <v>4.9000000000000004</v>
      </c>
      <c r="BF31" s="7">
        <v>5.0999999999999996</v>
      </c>
      <c r="BG31" s="7">
        <v>5.6</v>
      </c>
      <c r="BH31" s="7">
        <v>5.9</v>
      </c>
      <c r="BI31" s="7">
        <v>6.3</v>
      </c>
      <c r="BJ31" s="7">
        <v>6.6</v>
      </c>
      <c r="BK31" s="7">
        <v>7.1</v>
      </c>
      <c r="BL31" s="7">
        <v>7.8</v>
      </c>
      <c r="BM31" s="7">
        <v>8.3000000000000007</v>
      </c>
      <c r="BN31" s="7">
        <v>8.8000000000000007</v>
      </c>
      <c r="BO31" s="7">
        <v>8.8000000000000007</v>
      </c>
      <c r="BP31" s="7">
        <v>9</v>
      </c>
    </row>
    <row r="32" spans="1:68" x14ac:dyDescent="0.35">
      <c r="A32" s="10" t="s">
        <v>62</v>
      </c>
      <c r="B32" s="8"/>
      <c r="C32" s="10" t="s">
        <v>62</v>
      </c>
      <c r="D32" s="7">
        <v>0.50000000000000011</v>
      </c>
      <c r="E32" s="7">
        <v>0.6000000000000002</v>
      </c>
      <c r="F32" s="7">
        <v>0.6000000000000002</v>
      </c>
      <c r="G32" s="7">
        <v>0.69999999999999984</v>
      </c>
      <c r="H32" s="7">
        <v>0.80000000000000038</v>
      </c>
      <c r="I32" s="7">
        <v>0.8</v>
      </c>
      <c r="J32" s="7">
        <v>0.8</v>
      </c>
      <c r="K32" s="7">
        <v>0.90000000000000058</v>
      </c>
      <c r="L32" s="7">
        <v>1.0000000000000002</v>
      </c>
      <c r="M32" s="7">
        <v>1.0999999999999999</v>
      </c>
      <c r="N32" s="7">
        <v>1.2000000000000004</v>
      </c>
      <c r="O32" s="7">
        <v>1.2</v>
      </c>
      <c r="P32" s="7">
        <v>1.2999999999999996</v>
      </c>
      <c r="Q32" s="7">
        <v>1.3999999999999992</v>
      </c>
      <c r="R32" s="7">
        <v>1.5000000000000007</v>
      </c>
      <c r="S32" s="7">
        <v>1.5000000000000004</v>
      </c>
      <c r="T32" s="7">
        <v>1.6999999999999997</v>
      </c>
      <c r="U32" s="7">
        <v>1.9000000000000008</v>
      </c>
      <c r="V32" s="7">
        <v>2.0999999999999996</v>
      </c>
      <c r="W32" s="7">
        <v>2.3000000000000007</v>
      </c>
      <c r="X32" s="7">
        <v>2.5999999999999992</v>
      </c>
      <c r="Y32" s="7">
        <v>2.9</v>
      </c>
      <c r="Z32" s="7">
        <v>3.3</v>
      </c>
      <c r="AA32" s="7">
        <v>3.7</v>
      </c>
      <c r="AB32" s="7">
        <v>4.2000000000000011</v>
      </c>
      <c r="AC32" s="7">
        <v>4.8000000000000043</v>
      </c>
      <c r="AD32" s="7">
        <v>5.3999999999999986</v>
      </c>
      <c r="AE32" s="7">
        <v>6.2999999999999989</v>
      </c>
      <c r="AF32" s="7">
        <v>7.6000000000000032</v>
      </c>
      <c r="AG32" s="7">
        <v>8.1999999999999993</v>
      </c>
      <c r="AH32" s="7">
        <v>9.0000000000000036</v>
      </c>
      <c r="AI32" s="7">
        <v>10.300000000000008</v>
      </c>
      <c r="AJ32" s="7">
        <v>11.800000000000008</v>
      </c>
      <c r="AK32" s="7">
        <v>14.000000000000011</v>
      </c>
      <c r="AL32" s="7">
        <v>16.200000000000003</v>
      </c>
      <c r="AM32" s="7">
        <v>18.399999999999995</v>
      </c>
      <c r="AN32" s="7">
        <v>20.499999999999996</v>
      </c>
      <c r="AO32" s="7">
        <v>23.099999999999994</v>
      </c>
      <c r="AP32" s="7">
        <v>23.800000000000004</v>
      </c>
      <c r="AQ32" s="7">
        <v>25.899999999999995</v>
      </c>
      <c r="AR32" s="7">
        <v>27.099999999999994</v>
      </c>
      <c r="AS32" s="7">
        <v>29.499999999999993</v>
      </c>
      <c r="AT32" s="7">
        <v>31.79999999999999</v>
      </c>
      <c r="AU32" s="7">
        <v>34.099999999999987</v>
      </c>
      <c r="AV32" s="7">
        <v>36.6</v>
      </c>
      <c r="AW32" s="7">
        <v>39.100000000000044</v>
      </c>
      <c r="AX32" s="7">
        <v>42.70000000000001</v>
      </c>
      <c r="AY32" s="7">
        <v>43.200000000000024</v>
      </c>
      <c r="AZ32" s="7">
        <v>45.800000000000047</v>
      </c>
      <c r="BA32" s="7">
        <v>48</v>
      </c>
      <c r="BB32" s="7">
        <v>50.500000000000014</v>
      </c>
      <c r="BC32" s="7">
        <v>53.999999999999979</v>
      </c>
      <c r="BD32" s="7">
        <v>57.3</v>
      </c>
      <c r="BE32" s="7">
        <v>60.700000000000024</v>
      </c>
      <c r="BF32" s="7">
        <v>64.400000000000006</v>
      </c>
      <c r="BG32" s="7">
        <v>67.099999999999994</v>
      </c>
      <c r="BH32" s="7">
        <v>69.19999999999996</v>
      </c>
      <c r="BI32" s="7">
        <v>72.499999999999957</v>
      </c>
      <c r="BJ32" s="7">
        <v>76.000000000000028</v>
      </c>
      <c r="BK32" s="7">
        <v>80.099999999999937</v>
      </c>
      <c r="BL32" s="7">
        <v>89.500000000000071</v>
      </c>
      <c r="BM32" s="7">
        <v>98.09999999999998</v>
      </c>
      <c r="BN32" s="7">
        <v>100.39999999999993</v>
      </c>
      <c r="BO32" s="7">
        <v>100.29999999999991</v>
      </c>
      <c r="BP32" s="7">
        <v>103.39999999999998</v>
      </c>
    </row>
    <row r="33" spans="1:68" x14ac:dyDescent="0.35">
      <c r="A33" s="9" t="s">
        <v>63</v>
      </c>
      <c r="B33" s="8" t="s">
        <v>64</v>
      </c>
      <c r="C33" s="8" t="s">
        <v>63</v>
      </c>
      <c r="D33" s="7">
        <v>0.4</v>
      </c>
      <c r="E33" s="7">
        <v>0.5</v>
      </c>
      <c r="F33" s="7">
        <v>0.5</v>
      </c>
      <c r="G33" s="7">
        <v>0.6</v>
      </c>
      <c r="H33" s="7">
        <v>0.7</v>
      </c>
      <c r="I33" s="7">
        <v>0.7</v>
      </c>
      <c r="J33" s="7">
        <v>0.8</v>
      </c>
      <c r="K33" s="7">
        <v>0.8</v>
      </c>
      <c r="L33" s="7">
        <v>0.9</v>
      </c>
      <c r="M33" s="7">
        <v>1</v>
      </c>
      <c r="N33" s="7">
        <v>1.1000000000000001</v>
      </c>
      <c r="O33" s="7">
        <v>1.2</v>
      </c>
      <c r="P33" s="7">
        <v>1.2</v>
      </c>
      <c r="Q33" s="7">
        <v>1.3</v>
      </c>
      <c r="R33" s="7">
        <v>1.4</v>
      </c>
      <c r="S33" s="7">
        <v>1.5</v>
      </c>
      <c r="T33" s="7">
        <v>1.6</v>
      </c>
      <c r="U33" s="7">
        <v>1.7</v>
      </c>
      <c r="V33" s="7">
        <v>1.8</v>
      </c>
      <c r="W33" s="7">
        <v>2</v>
      </c>
      <c r="X33" s="7">
        <v>2.2000000000000002</v>
      </c>
      <c r="Y33" s="7">
        <v>2.4</v>
      </c>
      <c r="Z33" s="7">
        <v>2.7</v>
      </c>
      <c r="AA33" s="7">
        <v>3</v>
      </c>
      <c r="AB33" s="7">
        <v>3.3</v>
      </c>
      <c r="AC33" s="7">
        <v>3.7</v>
      </c>
      <c r="AD33" s="7">
        <v>4.3</v>
      </c>
      <c r="AE33" s="7">
        <v>5.0999999999999996</v>
      </c>
      <c r="AF33" s="7">
        <v>6</v>
      </c>
      <c r="AG33" s="7">
        <v>6.6</v>
      </c>
      <c r="AH33" s="7">
        <v>7.3</v>
      </c>
      <c r="AI33" s="7">
        <v>8.1999999999999993</v>
      </c>
      <c r="AJ33" s="7">
        <v>9.3000000000000007</v>
      </c>
      <c r="AK33" s="7">
        <v>10.6</v>
      </c>
      <c r="AL33" s="7">
        <v>11.8</v>
      </c>
      <c r="AM33" s="7">
        <v>12.9</v>
      </c>
      <c r="AN33" s="7">
        <v>13.6</v>
      </c>
      <c r="AO33" s="7">
        <v>14.4</v>
      </c>
      <c r="AP33" s="7">
        <v>15.2</v>
      </c>
      <c r="AQ33" s="7">
        <v>16.2</v>
      </c>
      <c r="AR33" s="7">
        <v>17.3</v>
      </c>
      <c r="AS33" s="7">
        <v>18.600000000000001</v>
      </c>
      <c r="AT33" s="7">
        <v>20.2</v>
      </c>
      <c r="AU33" s="7">
        <v>22.1</v>
      </c>
      <c r="AV33" s="7">
        <v>23.8</v>
      </c>
      <c r="AW33" s="7">
        <v>25.5</v>
      </c>
      <c r="AX33" s="7">
        <v>27.2</v>
      </c>
      <c r="AY33" s="7">
        <v>28.5</v>
      </c>
      <c r="AZ33" s="7">
        <v>29.8</v>
      </c>
      <c r="BA33" s="7">
        <v>30.7</v>
      </c>
      <c r="BB33" s="7">
        <v>32.200000000000003</v>
      </c>
      <c r="BC33" s="7">
        <v>34.799999999999997</v>
      </c>
      <c r="BD33" s="7">
        <v>37.799999999999997</v>
      </c>
      <c r="BE33" s="7">
        <v>41.3</v>
      </c>
      <c r="BF33" s="7">
        <v>44.6</v>
      </c>
      <c r="BG33" s="7">
        <v>47.7</v>
      </c>
      <c r="BH33" s="7">
        <v>51.2</v>
      </c>
      <c r="BI33" s="7">
        <v>55.4</v>
      </c>
      <c r="BJ33" s="7">
        <v>60.1</v>
      </c>
      <c r="BK33" s="7">
        <v>65</v>
      </c>
      <c r="BL33" s="7">
        <v>73.5</v>
      </c>
      <c r="BM33" s="7">
        <v>81.099999999999994</v>
      </c>
      <c r="BN33" s="7">
        <v>84.2</v>
      </c>
      <c r="BO33" s="7">
        <v>85.4</v>
      </c>
      <c r="BP33" s="7">
        <v>88.2</v>
      </c>
    </row>
    <row r="34" spans="1:68" x14ac:dyDescent="0.35">
      <c r="A34" s="17" t="s">
        <v>65</v>
      </c>
      <c r="B34" s="8"/>
      <c r="C34" s="17" t="s">
        <v>65</v>
      </c>
      <c r="D34" s="7">
        <v>0.10000000000000009</v>
      </c>
      <c r="E34" s="7">
        <v>0.1000000000000002</v>
      </c>
      <c r="F34" s="7">
        <v>0.1000000000000002</v>
      </c>
      <c r="G34" s="7">
        <v>9.9999999999999867E-2</v>
      </c>
      <c r="H34" s="7">
        <v>0.10000000000000042</v>
      </c>
      <c r="I34" s="7">
        <v>0.10000000000000009</v>
      </c>
      <c r="J34" s="7">
        <v>0</v>
      </c>
      <c r="K34" s="7">
        <v>0.10000000000000053</v>
      </c>
      <c r="L34" s="7">
        <v>0.1000000000000002</v>
      </c>
      <c r="M34" s="7">
        <v>9.9999999999999867E-2</v>
      </c>
      <c r="N34" s="7">
        <v>0.10000000000000031</v>
      </c>
      <c r="O34" s="7">
        <v>0</v>
      </c>
      <c r="P34" s="7">
        <v>9.9999999999999645E-2</v>
      </c>
      <c r="Q34" s="7">
        <v>9.9999999999999201E-2</v>
      </c>
      <c r="R34" s="7">
        <v>0.10000000000000075</v>
      </c>
      <c r="S34" s="7">
        <v>0</v>
      </c>
      <c r="T34" s="7">
        <v>9.9999999999999645E-2</v>
      </c>
      <c r="U34" s="7">
        <v>0.20000000000000084</v>
      </c>
      <c r="V34" s="7">
        <v>0.2999999999999996</v>
      </c>
      <c r="W34" s="7">
        <v>0.30000000000000071</v>
      </c>
      <c r="X34" s="7">
        <v>0.39999999999999902</v>
      </c>
      <c r="Y34" s="7">
        <v>0.5</v>
      </c>
      <c r="Z34" s="7">
        <v>0.59999999999999964</v>
      </c>
      <c r="AA34" s="7">
        <v>0.70000000000000018</v>
      </c>
      <c r="AB34" s="7">
        <v>0.90000000000000124</v>
      </c>
      <c r="AC34" s="7">
        <v>1.1000000000000041</v>
      </c>
      <c r="AD34" s="7">
        <v>1.0999999999999988</v>
      </c>
      <c r="AE34" s="7">
        <v>1.1999999999999993</v>
      </c>
      <c r="AF34" s="7">
        <v>1.6000000000000032</v>
      </c>
      <c r="AG34" s="7">
        <v>1.5999999999999996</v>
      </c>
      <c r="AH34" s="7">
        <v>1.7000000000000037</v>
      </c>
      <c r="AI34" s="7">
        <v>2.1000000000000085</v>
      </c>
      <c r="AJ34" s="7">
        <v>2.5000000000000071</v>
      </c>
      <c r="AK34" s="7">
        <v>3.400000000000011</v>
      </c>
      <c r="AL34" s="7">
        <v>4.4000000000000021</v>
      </c>
      <c r="AM34" s="7">
        <v>5.4999999999999947</v>
      </c>
      <c r="AN34" s="7">
        <v>6.8999999999999968</v>
      </c>
      <c r="AO34" s="7">
        <v>8.699999999999994</v>
      </c>
      <c r="AP34" s="7">
        <v>8.600000000000005</v>
      </c>
      <c r="AQ34" s="7">
        <v>9.6999999999999957</v>
      </c>
      <c r="AR34" s="7">
        <v>9.7999999999999936</v>
      </c>
      <c r="AS34" s="7">
        <v>10.899999999999991</v>
      </c>
      <c r="AT34" s="7">
        <v>11.599999999999991</v>
      </c>
      <c r="AU34" s="7">
        <v>11.999999999999986</v>
      </c>
      <c r="AV34" s="7">
        <v>12.8</v>
      </c>
      <c r="AW34" s="7">
        <v>13.600000000000044</v>
      </c>
      <c r="AX34" s="7">
        <v>15.500000000000011</v>
      </c>
      <c r="AY34" s="7">
        <v>14.700000000000024</v>
      </c>
      <c r="AZ34" s="7">
        <v>16.000000000000046</v>
      </c>
      <c r="BA34" s="7">
        <v>17.3</v>
      </c>
      <c r="BB34" s="7">
        <v>18.300000000000011</v>
      </c>
      <c r="BC34" s="7">
        <v>19.199999999999982</v>
      </c>
      <c r="BD34" s="7">
        <v>19.5</v>
      </c>
      <c r="BE34" s="7">
        <v>19.400000000000027</v>
      </c>
      <c r="BF34" s="7">
        <v>19.800000000000004</v>
      </c>
      <c r="BG34" s="7">
        <v>19.399999999999991</v>
      </c>
      <c r="BH34" s="7">
        <v>17.999999999999957</v>
      </c>
      <c r="BI34" s="7">
        <v>17.099999999999959</v>
      </c>
      <c r="BJ34" s="7">
        <v>15.900000000000027</v>
      </c>
      <c r="BK34" s="7">
        <v>15.099999999999937</v>
      </c>
      <c r="BL34" s="7">
        <v>16.000000000000071</v>
      </c>
      <c r="BM34" s="7">
        <v>16.999999999999986</v>
      </c>
      <c r="BN34" s="7">
        <v>16.199999999999932</v>
      </c>
      <c r="BO34" s="7">
        <v>14.899999999999906</v>
      </c>
      <c r="BP34" s="7">
        <v>15.199999999999974</v>
      </c>
    </row>
    <row r="35" spans="1:68" x14ac:dyDescent="0.35">
      <c r="A35" s="18" t="s">
        <v>66</v>
      </c>
      <c r="B35" s="8" t="s">
        <v>67</v>
      </c>
      <c r="C35" s="13" t="s">
        <v>24</v>
      </c>
      <c r="D35" s="7">
        <v>0.1</v>
      </c>
      <c r="E35" s="7">
        <v>0.1</v>
      </c>
      <c r="F35" s="7">
        <v>0.1</v>
      </c>
      <c r="G35" s="7">
        <v>0.1</v>
      </c>
      <c r="H35" s="7">
        <v>0.1</v>
      </c>
      <c r="I35" s="7">
        <v>0.1</v>
      </c>
      <c r="J35" s="7">
        <v>0.1</v>
      </c>
      <c r="K35" s="7">
        <v>0.1</v>
      </c>
      <c r="L35" s="7">
        <v>0.1</v>
      </c>
      <c r="M35" s="7">
        <v>0.1</v>
      </c>
      <c r="N35" s="7">
        <v>0.1</v>
      </c>
      <c r="O35" s="7">
        <v>0.1</v>
      </c>
      <c r="P35" s="7">
        <v>0.1</v>
      </c>
      <c r="Q35" s="7">
        <v>0.1</v>
      </c>
      <c r="R35" s="7">
        <v>0.1</v>
      </c>
      <c r="S35" s="7">
        <v>0.1</v>
      </c>
      <c r="T35" s="7">
        <v>0.1</v>
      </c>
      <c r="U35" s="7">
        <v>0.2</v>
      </c>
      <c r="V35" s="7">
        <v>0.2</v>
      </c>
      <c r="W35" s="7">
        <v>0.3</v>
      </c>
      <c r="X35" s="7">
        <v>0.4</v>
      </c>
      <c r="Y35" s="7">
        <v>0.5</v>
      </c>
      <c r="Z35" s="7">
        <v>0.6</v>
      </c>
      <c r="AA35" s="7">
        <v>0.7</v>
      </c>
      <c r="AB35" s="7">
        <v>0.8</v>
      </c>
      <c r="AC35" s="7">
        <v>0.8</v>
      </c>
      <c r="AD35" s="7">
        <v>0.9</v>
      </c>
      <c r="AE35" s="7">
        <v>1.1000000000000001</v>
      </c>
      <c r="AF35" s="7">
        <v>1.4</v>
      </c>
      <c r="AG35" s="7">
        <v>1.4</v>
      </c>
      <c r="AH35" s="7">
        <v>1.5</v>
      </c>
      <c r="AI35" s="7">
        <v>1.9</v>
      </c>
      <c r="AJ35" s="7">
        <v>2.2999999999999998</v>
      </c>
      <c r="AK35" s="7">
        <v>3</v>
      </c>
      <c r="AL35" s="7">
        <v>3.7</v>
      </c>
      <c r="AM35" s="7">
        <v>4.8</v>
      </c>
      <c r="AN35" s="7">
        <v>5.9</v>
      </c>
      <c r="AO35" s="7">
        <v>7.7</v>
      </c>
      <c r="AP35" s="7">
        <v>7.5</v>
      </c>
      <c r="AQ35" s="7">
        <v>8.6</v>
      </c>
      <c r="AR35" s="7">
        <v>8.6999999999999993</v>
      </c>
      <c r="AS35" s="7">
        <v>9.6999999999999993</v>
      </c>
      <c r="AT35" s="7">
        <v>10.4</v>
      </c>
      <c r="AU35" s="7">
        <v>10.8</v>
      </c>
      <c r="AV35" s="7">
        <v>11.4</v>
      </c>
      <c r="AW35" s="7">
        <v>11.9</v>
      </c>
      <c r="AX35" s="7">
        <v>13.8</v>
      </c>
      <c r="AY35" s="7">
        <v>12.7</v>
      </c>
      <c r="AZ35" s="7">
        <v>13.4</v>
      </c>
      <c r="BA35" s="7">
        <v>14.5</v>
      </c>
      <c r="BB35" s="7">
        <v>15.2</v>
      </c>
      <c r="BC35" s="7">
        <v>15.6</v>
      </c>
      <c r="BD35" s="7">
        <v>15.9</v>
      </c>
      <c r="BE35" s="7">
        <v>15.8</v>
      </c>
      <c r="BF35" s="7">
        <v>15.8</v>
      </c>
      <c r="BG35" s="7">
        <v>15.2</v>
      </c>
      <c r="BH35" s="7">
        <v>14.2</v>
      </c>
      <c r="BI35" s="7">
        <v>13.4</v>
      </c>
      <c r="BJ35" s="7">
        <v>12.3</v>
      </c>
      <c r="BK35" s="7">
        <v>11.2</v>
      </c>
      <c r="BL35" s="7">
        <v>11.4</v>
      </c>
      <c r="BM35" s="7">
        <v>11.8</v>
      </c>
      <c r="BN35" s="7">
        <v>9.8000000000000007</v>
      </c>
      <c r="BO35" s="7">
        <v>8.1999999999999993</v>
      </c>
      <c r="BP35" s="7">
        <v>7.5</v>
      </c>
    </row>
    <row r="36" spans="1:68" x14ac:dyDescent="0.35">
      <c r="A36" s="19" t="s">
        <v>68</v>
      </c>
      <c r="B36" s="8" t="s">
        <v>69</v>
      </c>
      <c r="C36" s="13" t="s">
        <v>27</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c r="AF36" s="7">
        <v>0</v>
      </c>
      <c r="AG36" s="7">
        <v>0</v>
      </c>
      <c r="AH36" s="7">
        <v>0</v>
      </c>
      <c r="AI36" s="7">
        <v>0</v>
      </c>
      <c r="AJ36" s="7">
        <v>0</v>
      </c>
      <c r="AK36" s="7">
        <v>0</v>
      </c>
      <c r="AL36" s="7">
        <v>0</v>
      </c>
      <c r="AM36" s="7">
        <v>0</v>
      </c>
      <c r="AN36" s="7">
        <v>0</v>
      </c>
      <c r="AO36" s="7">
        <v>0</v>
      </c>
      <c r="AP36" s="7">
        <v>0</v>
      </c>
      <c r="AQ36" s="7">
        <v>0</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0</v>
      </c>
      <c r="BI36" s="7">
        <v>0</v>
      </c>
      <c r="BJ36" s="7">
        <v>0</v>
      </c>
      <c r="BK36" s="7">
        <v>0</v>
      </c>
      <c r="BL36" s="7">
        <v>0</v>
      </c>
      <c r="BM36" s="7">
        <v>0</v>
      </c>
      <c r="BN36" s="7">
        <v>0</v>
      </c>
      <c r="BO36" s="7">
        <v>0</v>
      </c>
      <c r="BP36" s="7">
        <v>0</v>
      </c>
    </row>
    <row r="37" spans="1:68" ht="21" x14ac:dyDescent="0.35">
      <c r="A37" s="12" t="s">
        <v>70</v>
      </c>
      <c r="B37" s="8" t="s">
        <v>71</v>
      </c>
      <c r="C37" s="13" t="s">
        <v>33</v>
      </c>
      <c r="D37" s="7">
        <v>0</v>
      </c>
      <c r="E37" s="7">
        <v>0</v>
      </c>
      <c r="F37" s="7">
        <v>0</v>
      </c>
      <c r="G37" s="7">
        <v>0</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0.1</v>
      </c>
      <c r="AC37" s="7">
        <v>0.2</v>
      </c>
      <c r="AD37" s="7">
        <v>0.1</v>
      </c>
      <c r="AE37" s="7">
        <v>0.1</v>
      </c>
      <c r="AF37" s="7">
        <v>0.1</v>
      </c>
      <c r="AG37" s="7">
        <v>0.1</v>
      </c>
      <c r="AH37" s="7">
        <v>0.2</v>
      </c>
      <c r="AI37" s="7">
        <v>0.2</v>
      </c>
      <c r="AJ37" s="7">
        <v>0.2</v>
      </c>
      <c r="AK37" s="7">
        <v>0.4</v>
      </c>
      <c r="AL37" s="7">
        <v>0.6</v>
      </c>
      <c r="AM37" s="7">
        <v>0.8</v>
      </c>
      <c r="AN37" s="7">
        <v>1</v>
      </c>
      <c r="AO37" s="7">
        <v>1</v>
      </c>
      <c r="AP37" s="7">
        <v>1.1000000000000001</v>
      </c>
      <c r="AQ37" s="7">
        <v>1.1000000000000001</v>
      </c>
      <c r="AR37" s="7">
        <v>1.1000000000000001</v>
      </c>
      <c r="AS37" s="7">
        <v>1.1000000000000001</v>
      </c>
      <c r="AT37" s="7">
        <v>1.1000000000000001</v>
      </c>
      <c r="AU37" s="7">
        <v>1.2</v>
      </c>
      <c r="AV37" s="7">
        <v>1.3</v>
      </c>
      <c r="AW37" s="7">
        <v>1.6</v>
      </c>
      <c r="AX37" s="7">
        <v>1.7</v>
      </c>
      <c r="AY37" s="7">
        <v>2.1</v>
      </c>
      <c r="AZ37" s="7">
        <v>2.6</v>
      </c>
      <c r="BA37" s="7">
        <v>2.8</v>
      </c>
      <c r="BB37" s="7">
        <v>3.1</v>
      </c>
      <c r="BC37" s="7">
        <v>3.5</v>
      </c>
      <c r="BD37" s="7">
        <v>3.6</v>
      </c>
      <c r="BE37" s="7">
        <v>3.6</v>
      </c>
      <c r="BF37" s="7">
        <v>4</v>
      </c>
      <c r="BG37" s="7">
        <v>4.2</v>
      </c>
      <c r="BH37" s="7">
        <v>3.8</v>
      </c>
      <c r="BI37" s="7">
        <v>3.8</v>
      </c>
      <c r="BJ37" s="7">
        <v>3.6</v>
      </c>
      <c r="BK37" s="7">
        <v>3.8</v>
      </c>
      <c r="BL37" s="7">
        <v>4.5999999999999996</v>
      </c>
      <c r="BM37" s="7">
        <v>5.3</v>
      </c>
      <c r="BN37" s="7">
        <v>6.3</v>
      </c>
      <c r="BO37" s="7">
        <v>6.8</v>
      </c>
      <c r="BP37" s="7">
        <v>7.6</v>
      </c>
    </row>
    <row r="38" spans="1:68" x14ac:dyDescent="0.35">
      <c r="A38" s="14"/>
      <c r="B38" s="14"/>
      <c r="C38" s="22"/>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6"/>
      <c r="BP38" s="16"/>
    </row>
    <row r="39" spans="1:68" x14ac:dyDescent="0.35">
      <c r="A39" s="8" t="s">
        <v>72</v>
      </c>
      <c r="B39" s="8" t="s">
        <v>73</v>
      </c>
      <c r="C39" s="8" t="s">
        <v>72</v>
      </c>
      <c r="D39" s="7">
        <v>27.8</v>
      </c>
      <c r="E39" s="7">
        <v>27.2</v>
      </c>
      <c r="F39" s="7">
        <v>28.3</v>
      </c>
      <c r="G39" s="7">
        <v>28.6</v>
      </c>
      <c r="H39" s="7">
        <v>35.799999999999997</v>
      </c>
      <c r="I39" s="7">
        <v>40.4</v>
      </c>
      <c r="J39" s="7">
        <v>42.2</v>
      </c>
      <c r="K39" s="7">
        <v>43.5</v>
      </c>
      <c r="L39" s="7">
        <v>45.8</v>
      </c>
      <c r="M39" s="7">
        <v>49.1</v>
      </c>
      <c r="N39" s="7">
        <v>52.4</v>
      </c>
      <c r="O39" s="7">
        <v>55.8</v>
      </c>
      <c r="P39" s="7">
        <v>58.3</v>
      </c>
      <c r="Q39" s="7">
        <v>62</v>
      </c>
      <c r="R39" s="7">
        <v>66</v>
      </c>
      <c r="S39" s="7">
        <v>70.7</v>
      </c>
      <c r="T39" s="7">
        <v>75.5</v>
      </c>
      <c r="U39" s="7">
        <v>81.099999999999994</v>
      </c>
      <c r="V39" s="7">
        <v>86.6</v>
      </c>
      <c r="W39" s="7">
        <v>96.8</v>
      </c>
      <c r="X39" s="7">
        <v>107</v>
      </c>
      <c r="Y39" s="7">
        <v>118.8</v>
      </c>
      <c r="Z39" s="7">
        <v>130</v>
      </c>
      <c r="AA39" s="7">
        <v>143.5</v>
      </c>
      <c r="AB39" s="7">
        <v>156.4</v>
      </c>
      <c r="AC39" s="7">
        <v>169.4</v>
      </c>
      <c r="AD39" s="7">
        <v>183.2</v>
      </c>
      <c r="AE39" s="7">
        <v>201.3</v>
      </c>
      <c r="AF39" s="7">
        <v>224.5</v>
      </c>
      <c r="AG39" s="7">
        <v>243.5</v>
      </c>
      <c r="AH39" s="7">
        <v>264.60000000000002</v>
      </c>
      <c r="AI39" s="7">
        <v>287.5</v>
      </c>
      <c r="AJ39" s="7">
        <v>313</v>
      </c>
      <c r="AK39" s="7">
        <v>348.5</v>
      </c>
      <c r="AL39" s="7">
        <v>385.3</v>
      </c>
      <c r="AM39" s="7">
        <v>419</v>
      </c>
      <c r="AN39" s="7">
        <v>445.4</v>
      </c>
      <c r="AO39" s="7">
        <v>485.1</v>
      </c>
      <c r="AP39" s="7">
        <v>523.4</v>
      </c>
      <c r="AQ39" s="7">
        <v>556.29999999999995</v>
      </c>
      <c r="AR39" s="7">
        <v>591.5</v>
      </c>
      <c r="AS39" s="7">
        <v>630.6</v>
      </c>
      <c r="AT39" s="7">
        <v>672.2</v>
      </c>
      <c r="AU39" s="7">
        <v>722.7</v>
      </c>
      <c r="AV39" s="7">
        <v>767.6</v>
      </c>
      <c r="AW39" s="7">
        <v>801.9</v>
      </c>
      <c r="AX39" s="7">
        <v>831.2</v>
      </c>
      <c r="AY39" s="7">
        <v>859.9</v>
      </c>
      <c r="AZ39" s="7">
        <v>884.8</v>
      </c>
      <c r="BA39" s="7">
        <v>911.3</v>
      </c>
      <c r="BB39" s="7">
        <v>940.3</v>
      </c>
      <c r="BC39" s="7">
        <v>972.5</v>
      </c>
      <c r="BD39" s="7">
        <v>1021.6</v>
      </c>
      <c r="BE39" s="7">
        <v>1078.8</v>
      </c>
      <c r="BF39" s="7">
        <v>1139.5999999999999</v>
      </c>
      <c r="BG39" s="7">
        <v>1211.4000000000001</v>
      </c>
      <c r="BH39" s="7">
        <v>1292.2</v>
      </c>
      <c r="BI39" s="7">
        <v>1359.3</v>
      </c>
      <c r="BJ39" s="7">
        <v>1436.5</v>
      </c>
      <c r="BK39" s="7">
        <v>1512</v>
      </c>
      <c r="BL39" s="7">
        <v>1604.6</v>
      </c>
      <c r="BM39" s="7">
        <v>1698</v>
      </c>
      <c r="BN39" s="7">
        <v>1761.9</v>
      </c>
      <c r="BO39" s="7">
        <v>1811.7</v>
      </c>
      <c r="BP39" s="7">
        <v>1842.4</v>
      </c>
    </row>
    <row r="40" spans="1:68" x14ac:dyDescent="0.35">
      <c r="A40" s="8" t="s">
        <v>74</v>
      </c>
      <c r="B40" s="23" t="s">
        <v>75</v>
      </c>
      <c r="C40" s="8" t="s">
        <v>74</v>
      </c>
      <c r="D40" s="7">
        <v>17.643000000000001</v>
      </c>
      <c r="E40" s="7">
        <v>18.077000000000002</v>
      </c>
      <c r="F40" s="7">
        <v>20.120999999999999</v>
      </c>
      <c r="G40" s="7">
        <v>21.24</v>
      </c>
      <c r="H40" s="7">
        <v>27.741</v>
      </c>
      <c r="I40" s="7">
        <v>31.527000000000001</v>
      </c>
      <c r="J40" s="7">
        <v>32.408999999999999</v>
      </c>
      <c r="K40" s="7">
        <v>33.043999999999997</v>
      </c>
      <c r="L40" s="7">
        <v>34.795999999999999</v>
      </c>
      <c r="M40" s="7">
        <v>37.223999999999997</v>
      </c>
      <c r="N40" s="7">
        <v>39.783000000000001</v>
      </c>
      <c r="O40" s="7">
        <v>42.902999999999999</v>
      </c>
      <c r="P40" s="7">
        <v>44.860999999999997</v>
      </c>
      <c r="Q40" s="7">
        <v>48.073999999999998</v>
      </c>
      <c r="R40" s="7">
        <v>51.591000000000001</v>
      </c>
      <c r="S40" s="7">
        <v>55.454000000000001</v>
      </c>
      <c r="T40" s="7">
        <v>59.34</v>
      </c>
      <c r="U40" s="7">
        <v>64.408000000000001</v>
      </c>
      <c r="V40" s="7">
        <v>69.28</v>
      </c>
      <c r="W40" s="7">
        <v>78.418999999999997</v>
      </c>
      <c r="X40" s="7">
        <v>87.405000000000001</v>
      </c>
      <c r="Y40" s="7">
        <v>97.801000000000002</v>
      </c>
      <c r="Z40" s="7">
        <v>107.461</v>
      </c>
      <c r="AA40" s="7">
        <v>119.393</v>
      </c>
      <c r="AB40" s="7">
        <v>130.89500000000001</v>
      </c>
      <c r="AC40" s="7">
        <v>143.077</v>
      </c>
      <c r="AD40" s="7">
        <v>155.41800000000001</v>
      </c>
      <c r="AE40" s="7">
        <v>169.739</v>
      </c>
      <c r="AF40" s="7">
        <v>189.59800000000001</v>
      </c>
      <c r="AG40" s="7">
        <v>206.35300000000001</v>
      </c>
      <c r="AH40" s="7">
        <v>224.995</v>
      </c>
      <c r="AI40" s="7">
        <v>244.672</v>
      </c>
      <c r="AJ40" s="7">
        <v>266.10399999999998</v>
      </c>
      <c r="AK40" s="7">
        <v>295.50200000000001</v>
      </c>
      <c r="AL40" s="7">
        <v>325.18400000000003</v>
      </c>
      <c r="AM40" s="7">
        <v>352.71899999999999</v>
      </c>
      <c r="AN40" s="7">
        <v>375.28</v>
      </c>
      <c r="AO40" s="7">
        <v>410.428</v>
      </c>
      <c r="AP40" s="7">
        <v>443.68900000000002</v>
      </c>
      <c r="AQ40" s="7">
        <v>470.63200000000001</v>
      </c>
      <c r="AR40" s="7">
        <v>499.54899999999998</v>
      </c>
      <c r="AS40" s="7">
        <v>532.31899999999996</v>
      </c>
      <c r="AT40" s="7">
        <v>567.101</v>
      </c>
      <c r="AU40" s="7">
        <v>609.73599999999999</v>
      </c>
      <c r="AV40" s="7">
        <v>647.51</v>
      </c>
      <c r="AW40" s="7">
        <v>677.26099999999997</v>
      </c>
      <c r="AX40" s="7">
        <v>700.654</v>
      </c>
      <c r="AY40" s="7">
        <v>724.077</v>
      </c>
      <c r="AZ40" s="7">
        <v>743.53700000000003</v>
      </c>
      <c r="BA40" s="7">
        <v>766.76199999999994</v>
      </c>
      <c r="BB40" s="7">
        <v>792.17600000000004</v>
      </c>
      <c r="BC40" s="7">
        <v>820.66399999999999</v>
      </c>
      <c r="BD40" s="7">
        <v>863.05499999999995</v>
      </c>
      <c r="BE40" s="7">
        <v>911.96</v>
      </c>
      <c r="BF40" s="7">
        <v>967.13800000000003</v>
      </c>
      <c r="BG40" s="7">
        <v>1034.1389999999999</v>
      </c>
      <c r="BH40" s="7">
        <v>1109.423</v>
      </c>
      <c r="BI40" s="7">
        <v>1165.924</v>
      </c>
      <c r="BJ40" s="7">
        <v>1227.7860000000001</v>
      </c>
      <c r="BK40" s="7">
        <v>1287.2729999999999</v>
      </c>
      <c r="BL40" s="7">
        <v>1361.375</v>
      </c>
      <c r="BM40" s="7">
        <v>1438.386</v>
      </c>
      <c r="BN40" s="7">
        <v>1491.4639999999999</v>
      </c>
      <c r="BO40" s="7">
        <v>1533.51</v>
      </c>
      <c r="BP40" s="7">
        <v>1551.4390000000001</v>
      </c>
    </row>
    <row r="41" spans="1:68" x14ac:dyDescent="0.35">
      <c r="A41" s="9" t="s">
        <v>76</v>
      </c>
      <c r="B41" s="8" t="s">
        <v>69</v>
      </c>
      <c r="C41" s="8" t="s">
        <v>76</v>
      </c>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row>
    <row r="42" spans="1:68" x14ac:dyDescent="0.35">
      <c r="A42" s="10" t="s">
        <v>77</v>
      </c>
      <c r="B42" s="24"/>
      <c r="C42" s="10" t="s">
        <v>77</v>
      </c>
      <c r="D42" s="25">
        <v>10.157</v>
      </c>
      <c r="E42" s="25">
        <v>9.1229999999999976</v>
      </c>
      <c r="F42" s="25">
        <v>8.179000000000002</v>
      </c>
      <c r="G42" s="25">
        <v>7.360000000000003</v>
      </c>
      <c r="H42" s="25">
        <v>8.0589999999999975</v>
      </c>
      <c r="I42" s="25">
        <v>8.8729999999999976</v>
      </c>
      <c r="J42" s="25">
        <v>9.7910000000000039</v>
      </c>
      <c r="K42" s="25">
        <v>10.456000000000003</v>
      </c>
      <c r="L42" s="25">
        <v>11.003999999999998</v>
      </c>
      <c r="M42" s="25">
        <v>11.876000000000005</v>
      </c>
      <c r="N42" s="25">
        <v>12.616999999999997</v>
      </c>
      <c r="O42" s="25">
        <v>12.896999999999998</v>
      </c>
      <c r="P42" s="25">
        <v>13.439</v>
      </c>
      <c r="Q42" s="25">
        <v>13.926000000000002</v>
      </c>
      <c r="R42" s="25">
        <v>14.408999999999999</v>
      </c>
      <c r="S42" s="25">
        <v>15.246000000000002</v>
      </c>
      <c r="T42" s="25">
        <v>16.159999999999997</v>
      </c>
      <c r="U42" s="25">
        <v>16.691999999999993</v>
      </c>
      <c r="V42" s="25">
        <v>17.319999999999993</v>
      </c>
      <c r="W42" s="25">
        <v>18.381</v>
      </c>
      <c r="X42" s="25">
        <v>19.594999999999999</v>
      </c>
      <c r="Y42" s="25">
        <v>20.998999999999995</v>
      </c>
      <c r="Z42" s="25">
        <v>22.539000000000001</v>
      </c>
      <c r="AA42" s="25">
        <v>24.106999999999999</v>
      </c>
      <c r="AB42" s="25">
        <v>25.504999999999995</v>
      </c>
      <c r="AC42" s="25">
        <v>26.323000000000008</v>
      </c>
      <c r="AD42" s="25">
        <v>27.781999999999982</v>
      </c>
      <c r="AE42" s="25">
        <v>31.561000000000007</v>
      </c>
      <c r="AF42" s="25">
        <v>34.901999999999987</v>
      </c>
      <c r="AG42" s="25">
        <v>37.146999999999991</v>
      </c>
      <c r="AH42" s="25">
        <v>39.605000000000018</v>
      </c>
      <c r="AI42" s="25">
        <v>42.828000000000003</v>
      </c>
      <c r="AJ42" s="25">
        <v>46.896000000000015</v>
      </c>
      <c r="AK42" s="25">
        <v>52.99799999999999</v>
      </c>
      <c r="AL42" s="25">
        <v>60.115999999999985</v>
      </c>
      <c r="AM42" s="25">
        <v>66.281000000000006</v>
      </c>
      <c r="AN42" s="25">
        <v>70.12</v>
      </c>
      <c r="AO42" s="25">
        <v>74.672000000000025</v>
      </c>
      <c r="AP42" s="25">
        <v>79.710999999999956</v>
      </c>
      <c r="AQ42" s="25">
        <v>85.66799999999995</v>
      </c>
      <c r="AR42" s="25">
        <v>91.951000000000022</v>
      </c>
      <c r="AS42" s="25">
        <v>98.281000000000063</v>
      </c>
      <c r="AT42" s="25">
        <v>105.09900000000005</v>
      </c>
      <c r="AU42" s="25">
        <v>112.96400000000006</v>
      </c>
      <c r="AV42" s="25">
        <v>120.09000000000003</v>
      </c>
      <c r="AW42" s="25">
        <v>124.63900000000001</v>
      </c>
      <c r="AX42" s="25">
        <v>130.54600000000005</v>
      </c>
      <c r="AY42" s="25">
        <v>135.82299999999998</v>
      </c>
      <c r="AZ42" s="25">
        <v>141.26299999999992</v>
      </c>
      <c r="BA42" s="25">
        <v>144.53800000000001</v>
      </c>
      <c r="BB42" s="25">
        <v>148.12399999999991</v>
      </c>
      <c r="BC42" s="25">
        <v>151.83600000000001</v>
      </c>
      <c r="BD42" s="25">
        <v>158.54500000000007</v>
      </c>
      <c r="BE42" s="25">
        <v>166.83999999999992</v>
      </c>
      <c r="BF42" s="25">
        <v>172.46199999999988</v>
      </c>
      <c r="BG42" s="25">
        <v>177.26100000000019</v>
      </c>
      <c r="BH42" s="25">
        <v>182.77700000000004</v>
      </c>
      <c r="BI42" s="25">
        <v>193.37599999999998</v>
      </c>
      <c r="BJ42" s="25">
        <v>208.71399999999994</v>
      </c>
      <c r="BK42" s="25">
        <v>224.72700000000009</v>
      </c>
      <c r="BL42" s="25">
        <v>243.22499999999991</v>
      </c>
      <c r="BM42" s="25">
        <v>259.61400000000003</v>
      </c>
      <c r="BN42" s="25">
        <v>270.43600000000015</v>
      </c>
      <c r="BO42" s="25">
        <v>278.19000000000005</v>
      </c>
      <c r="BP42" s="25">
        <v>290.96100000000001</v>
      </c>
    </row>
    <row r="43" spans="1:68" ht="15.5" customHeight="1" x14ac:dyDescent="0.35">
      <c r="A43" s="8" t="s">
        <v>78</v>
      </c>
      <c r="B43" s="8" t="s">
        <v>79</v>
      </c>
      <c r="C43" s="9" t="s">
        <v>78</v>
      </c>
      <c r="D43" s="25">
        <v>10.199999999999999</v>
      </c>
      <c r="E43" s="25">
        <v>9.1</v>
      </c>
      <c r="F43" s="25">
        <v>8.1999999999999993</v>
      </c>
      <c r="G43" s="25">
        <v>7.4</v>
      </c>
      <c r="H43" s="25">
        <v>8</v>
      </c>
      <c r="I43" s="25">
        <v>8.9</v>
      </c>
      <c r="J43" s="25">
        <v>9.6999999999999993</v>
      </c>
      <c r="K43" s="25">
        <v>10.4</v>
      </c>
      <c r="L43" s="25">
        <v>11</v>
      </c>
      <c r="M43" s="25">
        <v>11.9</v>
      </c>
      <c r="N43" s="25">
        <v>12.7</v>
      </c>
      <c r="O43" s="25">
        <v>12.9</v>
      </c>
      <c r="P43" s="25">
        <v>13.4</v>
      </c>
      <c r="Q43" s="25">
        <v>13.9</v>
      </c>
      <c r="R43" s="25">
        <v>14.4</v>
      </c>
      <c r="S43" s="25">
        <v>15.2</v>
      </c>
      <c r="T43" s="25">
        <v>16.100000000000001</v>
      </c>
      <c r="U43" s="25">
        <v>16.7</v>
      </c>
      <c r="V43" s="25">
        <v>17.399999999999999</v>
      </c>
      <c r="W43" s="25">
        <v>18.3</v>
      </c>
      <c r="X43" s="25">
        <v>19.600000000000001</v>
      </c>
      <c r="Y43" s="25">
        <v>21</v>
      </c>
      <c r="Z43" s="25">
        <v>22.5</v>
      </c>
      <c r="AA43" s="25">
        <v>24.1</v>
      </c>
      <c r="AB43" s="25">
        <v>25.5</v>
      </c>
      <c r="AC43" s="25">
        <v>26.3</v>
      </c>
      <c r="AD43" s="25">
        <v>27.8</v>
      </c>
      <c r="AE43" s="25">
        <v>31.6</v>
      </c>
      <c r="AF43" s="25">
        <v>34.9</v>
      </c>
      <c r="AG43" s="25">
        <v>37.1</v>
      </c>
      <c r="AH43" s="25">
        <v>39.6</v>
      </c>
      <c r="AI43" s="25">
        <v>42.8</v>
      </c>
      <c r="AJ43" s="25">
        <v>46.9</v>
      </c>
      <c r="AK43" s="25">
        <v>53</v>
      </c>
      <c r="AL43" s="25">
        <v>60.1</v>
      </c>
      <c r="AM43" s="25">
        <v>66.2</v>
      </c>
      <c r="AN43" s="25">
        <v>70.099999999999994</v>
      </c>
      <c r="AO43" s="25">
        <v>74.7</v>
      </c>
      <c r="AP43" s="25">
        <v>79.7</v>
      </c>
      <c r="AQ43" s="25">
        <v>85.6</v>
      </c>
      <c r="AR43" s="25">
        <v>92</v>
      </c>
      <c r="AS43" s="25">
        <v>98.3</v>
      </c>
      <c r="AT43" s="25">
        <v>105.1</v>
      </c>
      <c r="AU43" s="25">
        <v>112.9</v>
      </c>
      <c r="AV43" s="25">
        <v>120.1</v>
      </c>
      <c r="AW43" s="25">
        <v>124.7</v>
      </c>
      <c r="AX43" s="25">
        <v>130.5</v>
      </c>
      <c r="AY43" s="25">
        <v>135.80000000000001</v>
      </c>
      <c r="AZ43" s="25">
        <v>141.19999999999999</v>
      </c>
      <c r="BA43" s="25">
        <v>144.5</v>
      </c>
      <c r="BB43" s="25">
        <v>148.1</v>
      </c>
      <c r="BC43" s="25">
        <v>151.9</v>
      </c>
      <c r="BD43" s="25">
        <v>158.5</v>
      </c>
      <c r="BE43" s="25">
        <v>166.8</v>
      </c>
      <c r="BF43" s="25">
        <v>172.5</v>
      </c>
      <c r="BG43" s="25">
        <v>177.3</v>
      </c>
      <c r="BH43" s="25">
        <v>182.8</v>
      </c>
      <c r="BI43" s="25">
        <v>193.4</v>
      </c>
      <c r="BJ43" s="25">
        <v>208.7</v>
      </c>
      <c r="BK43" s="25">
        <v>224.7</v>
      </c>
      <c r="BL43" s="25">
        <v>243.2</v>
      </c>
      <c r="BM43" s="25">
        <v>259.60000000000002</v>
      </c>
      <c r="BN43" s="25">
        <v>270.39999999999998</v>
      </c>
      <c r="BO43" s="25">
        <v>278.2</v>
      </c>
      <c r="BP43" s="25">
        <v>291</v>
      </c>
    </row>
    <row r="44" spans="1:68" x14ac:dyDescent="0.35">
      <c r="A44" s="26" t="s">
        <v>80</v>
      </c>
      <c r="B44" s="27" t="s">
        <v>81</v>
      </c>
      <c r="C44" s="17" t="s">
        <v>80</v>
      </c>
      <c r="D44" s="28">
        <v>0</v>
      </c>
      <c r="E44" s="28">
        <v>0</v>
      </c>
      <c r="F44" s="28">
        <v>0</v>
      </c>
      <c r="G44" s="28">
        <v>0</v>
      </c>
      <c r="H44" s="28">
        <v>0</v>
      </c>
      <c r="I44" s="28">
        <v>0</v>
      </c>
      <c r="J44" s="28">
        <v>0</v>
      </c>
      <c r="K44" s="28">
        <v>0</v>
      </c>
      <c r="L44" s="28">
        <v>0</v>
      </c>
      <c r="M44" s="28">
        <v>0</v>
      </c>
      <c r="N44" s="28">
        <v>0</v>
      </c>
      <c r="O44" s="28">
        <v>0</v>
      </c>
      <c r="P44" s="28">
        <v>0</v>
      </c>
      <c r="Q44" s="28">
        <v>0</v>
      </c>
      <c r="R44" s="28">
        <v>0</v>
      </c>
      <c r="S44" s="28">
        <v>0</v>
      </c>
      <c r="T44" s="28">
        <v>0</v>
      </c>
      <c r="U44" s="28">
        <v>0</v>
      </c>
      <c r="V44" s="28">
        <v>0</v>
      </c>
      <c r="W44" s="28">
        <v>0</v>
      </c>
      <c r="X44" s="28">
        <v>0</v>
      </c>
      <c r="Y44" s="28">
        <v>0</v>
      </c>
      <c r="Z44" s="28">
        <v>0</v>
      </c>
      <c r="AA44" s="28">
        <v>0</v>
      </c>
      <c r="AB44" s="28">
        <v>0</v>
      </c>
      <c r="AC44" s="28">
        <v>0</v>
      </c>
      <c r="AD44" s="28">
        <v>0</v>
      </c>
      <c r="AE44" s="28">
        <v>0</v>
      </c>
      <c r="AF44" s="28">
        <v>0</v>
      </c>
      <c r="AG44" s="28">
        <v>0</v>
      </c>
      <c r="AH44" s="28">
        <v>0</v>
      </c>
      <c r="AI44" s="28">
        <v>0</v>
      </c>
      <c r="AJ44" s="28">
        <v>0</v>
      </c>
      <c r="AK44" s="28">
        <v>0</v>
      </c>
      <c r="AL44" s="28">
        <v>0</v>
      </c>
      <c r="AM44" s="28">
        <v>0</v>
      </c>
      <c r="AN44" s="28">
        <v>0</v>
      </c>
      <c r="AO44" s="28">
        <v>0</v>
      </c>
      <c r="AP44" s="28">
        <v>0</v>
      </c>
      <c r="AQ44" s="28">
        <v>0</v>
      </c>
      <c r="AR44" s="28">
        <v>0</v>
      </c>
      <c r="AS44" s="28">
        <v>0</v>
      </c>
      <c r="AT44" s="28">
        <v>0</v>
      </c>
      <c r="AU44" s="28">
        <v>0</v>
      </c>
      <c r="AV44" s="28">
        <v>0</v>
      </c>
      <c r="AW44" s="28">
        <v>0</v>
      </c>
      <c r="AX44" s="28">
        <v>0</v>
      </c>
      <c r="AY44" s="28">
        <v>0</v>
      </c>
      <c r="AZ44" s="28">
        <v>0</v>
      </c>
      <c r="BA44" s="28">
        <v>0</v>
      </c>
      <c r="BB44" s="28">
        <v>0</v>
      </c>
      <c r="BC44" s="28">
        <v>0</v>
      </c>
      <c r="BD44" s="28">
        <v>0</v>
      </c>
      <c r="BE44" s="28">
        <v>0</v>
      </c>
      <c r="BF44" s="28">
        <v>0</v>
      </c>
      <c r="BG44" s="28">
        <v>0</v>
      </c>
      <c r="BH44" s="28">
        <v>0</v>
      </c>
      <c r="BI44" s="28">
        <v>0</v>
      </c>
      <c r="BJ44" s="28">
        <v>0</v>
      </c>
      <c r="BK44" s="28">
        <v>0</v>
      </c>
      <c r="BL44" s="28">
        <v>0</v>
      </c>
      <c r="BM44" s="28">
        <v>0</v>
      </c>
      <c r="BN44" s="28">
        <v>0</v>
      </c>
      <c r="BO44" s="28">
        <v>0</v>
      </c>
      <c r="BP44" s="28">
        <v>0</v>
      </c>
    </row>
    <row r="45" spans="1:68" x14ac:dyDescent="0.35">
      <c r="A45" s="18" t="s">
        <v>66</v>
      </c>
      <c r="B45" s="8" t="s">
        <v>69</v>
      </c>
      <c r="C45" s="13" t="s">
        <v>24</v>
      </c>
      <c r="BM45" s="3"/>
      <c r="BN45" s="3"/>
    </row>
    <row r="46" spans="1:68" x14ac:dyDescent="0.35">
      <c r="A46" s="18" t="s">
        <v>82</v>
      </c>
      <c r="B46" s="8" t="s">
        <v>69</v>
      </c>
      <c r="C46" s="13" t="s">
        <v>27</v>
      </c>
      <c r="BM46" s="3"/>
      <c r="BN46" s="3"/>
    </row>
    <row r="47" spans="1:68" ht="20.399999999999999" customHeight="1" x14ac:dyDescent="0.35">
      <c r="A47" s="12" t="s">
        <v>83</v>
      </c>
      <c r="B47" s="8" t="s">
        <v>69</v>
      </c>
      <c r="C47" s="12" t="s">
        <v>33</v>
      </c>
      <c r="BM47" s="3"/>
      <c r="BN47" s="3"/>
    </row>
    <row r="48" spans="1:68" s="16" customFormat="1" x14ac:dyDescent="0.35">
      <c r="A48" s="14"/>
      <c r="B48" s="14"/>
      <c r="C48" s="22"/>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row>
    <row r="49" spans="1:68" x14ac:dyDescent="0.35">
      <c r="A49" s="9" t="s">
        <v>84</v>
      </c>
      <c r="B49" s="24"/>
      <c r="C49" s="8" t="s">
        <v>84</v>
      </c>
      <c r="D49" s="25">
        <v>2.3650000000000002</v>
      </c>
      <c r="E49" s="25">
        <v>2.7669999999999999</v>
      </c>
      <c r="F49" s="25">
        <v>3.012</v>
      </c>
      <c r="G49" s="25">
        <v>3.14</v>
      </c>
      <c r="H49" s="25">
        <v>3.5449999999999999</v>
      </c>
      <c r="I49" s="25">
        <v>4.032</v>
      </c>
      <c r="J49" s="25">
        <v>4.1509999999999998</v>
      </c>
      <c r="K49" s="25">
        <v>4.1980000000000004</v>
      </c>
      <c r="L49" s="25">
        <v>4.5519999999999996</v>
      </c>
      <c r="M49" s="25">
        <v>4.8340000000000005</v>
      </c>
      <c r="N49" s="25">
        <v>5.07</v>
      </c>
      <c r="O49" s="25">
        <v>5.6289999999999996</v>
      </c>
      <c r="P49" s="25">
        <v>7.008</v>
      </c>
      <c r="Q49" s="25">
        <v>7.4589999999999996</v>
      </c>
      <c r="R49" s="25">
        <v>7.7130000000000001</v>
      </c>
      <c r="S49" s="25">
        <v>8.2100000000000009</v>
      </c>
      <c r="T49" s="25">
        <v>9.2800000000000011</v>
      </c>
      <c r="U49" s="25">
        <v>9.7970000000000006</v>
      </c>
      <c r="V49" s="25">
        <v>10.423</v>
      </c>
      <c r="W49" s="25">
        <v>10.875</v>
      </c>
      <c r="X49" s="25">
        <v>11.533000000000001</v>
      </c>
      <c r="Y49" s="25">
        <v>13.148</v>
      </c>
      <c r="Z49" s="25">
        <v>14.176000000000002</v>
      </c>
      <c r="AA49" s="25">
        <v>15.318</v>
      </c>
      <c r="AB49" s="25">
        <v>16.643999999999998</v>
      </c>
      <c r="AC49" s="25">
        <v>18.809000000000001</v>
      </c>
      <c r="AD49" s="25">
        <v>19.867000000000001</v>
      </c>
      <c r="AE49" s="25">
        <v>22.700999999999997</v>
      </c>
      <c r="AF49" s="25">
        <v>24.123999999999999</v>
      </c>
      <c r="AG49" s="25">
        <v>27.747999999999998</v>
      </c>
      <c r="AH49" s="25">
        <v>29.237000000000002</v>
      </c>
      <c r="AI49" s="25">
        <v>32.832999999999998</v>
      </c>
      <c r="AJ49" s="25">
        <v>36.082000000000001</v>
      </c>
      <c r="AK49" s="25">
        <v>39.484000000000002</v>
      </c>
      <c r="AL49" s="25">
        <v>45.021000000000001</v>
      </c>
      <c r="AM49" s="25">
        <v>49.196999999999996</v>
      </c>
      <c r="AN49" s="25">
        <v>54.274000000000001</v>
      </c>
      <c r="AO49" s="25">
        <v>59.587999999999994</v>
      </c>
      <c r="AP49" s="25">
        <v>66.941000000000003</v>
      </c>
      <c r="AQ49" s="25">
        <v>70.271000000000001</v>
      </c>
      <c r="AR49" s="25">
        <v>73.69</v>
      </c>
      <c r="AS49" s="25">
        <v>82.222000000000008</v>
      </c>
      <c r="AT49" s="25">
        <v>88.863</v>
      </c>
      <c r="AU49" s="25">
        <v>92.992999999999995</v>
      </c>
      <c r="AV49" s="25">
        <v>101.72</v>
      </c>
      <c r="AW49" s="25">
        <v>109.783</v>
      </c>
      <c r="AX49" s="25">
        <v>112.839</v>
      </c>
      <c r="AY49" s="25">
        <v>118.783</v>
      </c>
      <c r="AZ49" s="25">
        <v>125.69200000000001</v>
      </c>
      <c r="BA49" s="25">
        <v>130.67400000000001</v>
      </c>
      <c r="BB49" s="25">
        <v>134.88300000000001</v>
      </c>
      <c r="BC49" s="25">
        <v>138.43299999999999</v>
      </c>
      <c r="BD49" s="25">
        <v>144.328</v>
      </c>
      <c r="BE49" s="25">
        <v>148.09300000000002</v>
      </c>
      <c r="BF49" s="25">
        <v>148.26500000000001</v>
      </c>
      <c r="BG49" s="25">
        <v>156.28399999999999</v>
      </c>
      <c r="BH49" s="25">
        <v>158.89599999999999</v>
      </c>
      <c r="BI49" s="25">
        <v>164.911</v>
      </c>
      <c r="BJ49" s="25">
        <v>166.46700000000001</v>
      </c>
      <c r="BK49" s="25">
        <v>173.38400000000001</v>
      </c>
      <c r="BL49" s="25">
        <v>173.96199999999999</v>
      </c>
      <c r="BM49" s="25">
        <v>176.64599999999999</v>
      </c>
      <c r="BN49" s="25">
        <v>177.44399999999999</v>
      </c>
      <c r="BO49" s="25">
        <v>175.80399999999997</v>
      </c>
      <c r="BP49" s="25">
        <v>173.56800000000001</v>
      </c>
    </row>
    <row r="50" spans="1:68" x14ac:dyDescent="0.35">
      <c r="A50" s="9" t="s">
        <v>85</v>
      </c>
      <c r="B50" s="24" t="s">
        <v>86</v>
      </c>
      <c r="C50" s="8" t="s">
        <v>85</v>
      </c>
      <c r="D50" s="25">
        <v>1.9650000000000001</v>
      </c>
      <c r="E50" s="25">
        <v>2.2669999999999999</v>
      </c>
      <c r="F50" s="25">
        <v>2.512</v>
      </c>
      <c r="G50" s="25">
        <v>2.64</v>
      </c>
      <c r="H50" s="25">
        <v>2.9449999999999998</v>
      </c>
      <c r="I50" s="25">
        <v>3.4319999999999999</v>
      </c>
      <c r="J50" s="25">
        <v>3.4510000000000001</v>
      </c>
      <c r="K50" s="25">
        <v>3.4980000000000002</v>
      </c>
      <c r="L50" s="25">
        <v>3.7519999999999998</v>
      </c>
      <c r="M50" s="25">
        <v>3.9340000000000002</v>
      </c>
      <c r="N50" s="25">
        <v>4.17</v>
      </c>
      <c r="O50" s="25">
        <v>4.6289999999999996</v>
      </c>
      <c r="P50" s="25">
        <v>5.008</v>
      </c>
      <c r="Q50" s="25">
        <v>5.4589999999999996</v>
      </c>
      <c r="R50" s="25">
        <v>5.7130000000000001</v>
      </c>
      <c r="S50" s="25">
        <v>6.11</v>
      </c>
      <c r="T50" s="25">
        <v>6.58</v>
      </c>
      <c r="U50" s="25">
        <v>7.0970000000000004</v>
      </c>
      <c r="V50" s="25">
        <v>7.6230000000000002</v>
      </c>
      <c r="W50" s="25">
        <v>8.2750000000000004</v>
      </c>
      <c r="X50" s="25">
        <v>8.8330000000000002</v>
      </c>
      <c r="Y50" s="25">
        <v>9.9480000000000004</v>
      </c>
      <c r="Z50" s="25">
        <v>10.976000000000001</v>
      </c>
      <c r="AA50" s="25">
        <v>12.818</v>
      </c>
      <c r="AB50" s="25">
        <v>14.044</v>
      </c>
      <c r="AC50" s="25">
        <v>15.209</v>
      </c>
      <c r="AD50" s="25">
        <v>16.766999999999999</v>
      </c>
      <c r="AE50" s="25">
        <v>19.300999999999998</v>
      </c>
      <c r="AF50" s="25">
        <v>22.224</v>
      </c>
      <c r="AG50" s="25">
        <v>24.047999999999998</v>
      </c>
      <c r="AH50" s="25">
        <v>25.937000000000001</v>
      </c>
      <c r="AI50" s="25">
        <v>28.332999999999998</v>
      </c>
      <c r="AJ50" s="25">
        <v>31.382000000000001</v>
      </c>
      <c r="AK50" s="25">
        <v>35.783999999999999</v>
      </c>
      <c r="AL50" s="25">
        <v>40.621000000000002</v>
      </c>
      <c r="AM50" s="25">
        <v>42.796999999999997</v>
      </c>
      <c r="AN50" s="25">
        <v>45.973999999999997</v>
      </c>
      <c r="AO50" s="25">
        <v>49.287999999999997</v>
      </c>
      <c r="AP50" s="25">
        <v>53.441000000000003</v>
      </c>
      <c r="AQ50" s="25">
        <v>55.570999999999998</v>
      </c>
      <c r="AR50" s="25">
        <v>58.89</v>
      </c>
      <c r="AS50" s="25">
        <v>64.022000000000006</v>
      </c>
      <c r="AT50" s="25">
        <v>67.263000000000005</v>
      </c>
      <c r="AU50" s="25">
        <v>73.492999999999995</v>
      </c>
      <c r="AV50" s="25">
        <v>77.22</v>
      </c>
      <c r="AW50" s="25">
        <v>81.783000000000001</v>
      </c>
      <c r="AX50" s="25">
        <v>83.039000000000001</v>
      </c>
      <c r="AY50" s="25">
        <v>86.783000000000001</v>
      </c>
      <c r="AZ50" s="25">
        <v>88.992000000000004</v>
      </c>
      <c r="BA50" s="25">
        <v>91.674000000000007</v>
      </c>
      <c r="BB50" s="25">
        <v>94.783000000000001</v>
      </c>
      <c r="BC50" s="25">
        <v>98.033000000000001</v>
      </c>
      <c r="BD50" s="25">
        <v>101.628</v>
      </c>
      <c r="BE50" s="25">
        <v>108.29300000000001</v>
      </c>
      <c r="BF50" s="25">
        <v>112.16500000000001</v>
      </c>
      <c r="BG50" s="25">
        <v>116.28400000000001</v>
      </c>
      <c r="BH50" s="25">
        <v>116.496</v>
      </c>
      <c r="BI50" s="25">
        <v>125.211</v>
      </c>
      <c r="BJ50" s="25">
        <v>128.06700000000001</v>
      </c>
      <c r="BK50" s="25">
        <v>132.98400000000001</v>
      </c>
      <c r="BL50" s="25">
        <v>137.66200000000001</v>
      </c>
      <c r="BM50" s="25">
        <v>141.14599999999999</v>
      </c>
      <c r="BN50" s="25">
        <v>139.94399999999999</v>
      </c>
      <c r="BO50" s="25">
        <v>140.00399999999999</v>
      </c>
      <c r="BP50" s="25">
        <v>141.66800000000001</v>
      </c>
    </row>
    <row r="51" spans="1:68" x14ac:dyDescent="0.35">
      <c r="A51" s="9" t="s">
        <v>87</v>
      </c>
      <c r="B51" s="8"/>
      <c r="C51" s="8" t="s">
        <v>87</v>
      </c>
      <c r="D51" s="28">
        <v>0</v>
      </c>
      <c r="E51" s="28">
        <v>0</v>
      </c>
      <c r="F51" s="28">
        <v>0</v>
      </c>
      <c r="G51" s="28">
        <v>0</v>
      </c>
      <c r="H51" s="28">
        <v>0</v>
      </c>
      <c r="I51" s="28">
        <v>0</v>
      </c>
      <c r="J51" s="28">
        <v>0</v>
      </c>
      <c r="K51" s="28">
        <v>0</v>
      </c>
      <c r="L51" s="28">
        <v>0</v>
      </c>
      <c r="M51" s="28">
        <v>0</v>
      </c>
      <c r="N51" s="28">
        <v>0</v>
      </c>
      <c r="O51" s="28">
        <v>0</v>
      </c>
      <c r="P51" s="28">
        <v>0</v>
      </c>
      <c r="Q51" s="28">
        <v>0</v>
      </c>
      <c r="R51" s="28">
        <v>0</v>
      </c>
      <c r="S51" s="28">
        <v>0</v>
      </c>
      <c r="T51" s="28">
        <v>0</v>
      </c>
      <c r="U51" s="28">
        <v>0</v>
      </c>
      <c r="V51" s="28">
        <v>0</v>
      </c>
      <c r="W51" s="28">
        <v>0</v>
      </c>
      <c r="X51" s="28">
        <v>0</v>
      </c>
      <c r="Y51" s="28">
        <v>0</v>
      </c>
      <c r="Z51" s="28">
        <v>0</v>
      </c>
      <c r="AA51" s="28">
        <v>0</v>
      </c>
      <c r="AB51" s="28">
        <v>0</v>
      </c>
      <c r="AC51" s="28">
        <v>0</v>
      </c>
      <c r="AD51" s="28">
        <v>0</v>
      </c>
      <c r="AE51" s="28">
        <v>0</v>
      </c>
      <c r="AF51" s="28">
        <v>0</v>
      </c>
      <c r="AG51" s="28">
        <v>0</v>
      </c>
      <c r="AH51" s="28">
        <v>0</v>
      </c>
      <c r="AI51" s="28">
        <v>0</v>
      </c>
      <c r="AJ51" s="28">
        <v>0</v>
      </c>
      <c r="AK51" s="28">
        <v>0</v>
      </c>
      <c r="AL51" s="28">
        <v>0</v>
      </c>
      <c r="AM51" s="28">
        <v>0</v>
      </c>
      <c r="AN51" s="28">
        <v>0</v>
      </c>
      <c r="AO51" s="28">
        <v>0</v>
      </c>
      <c r="AP51" s="28">
        <v>0</v>
      </c>
      <c r="AQ51" s="28">
        <v>0</v>
      </c>
      <c r="AR51" s="28">
        <v>0</v>
      </c>
      <c r="AS51" s="28">
        <v>0</v>
      </c>
      <c r="AT51" s="28">
        <v>0</v>
      </c>
      <c r="AU51" s="28">
        <v>0</v>
      </c>
      <c r="AV51" s="28">
        <v>0</v>
      </c>
      <c r="AW51" s="28">
        <v>0</v>
      </c>
      <c r="AX51" s="28">
        <v>0</v>
      </c>
      <c r="AY51" s="28">
        <v>0</v>
      </c>
      <c r="AZ51" s="28">
        <v>0</v>
      </c>
      <c r="BA51" s="28">
        <v>0</v>
      </c>
      <c r="BB51" s="28">
        <v>0</v>
      </c>
      <c r="BC51" s="28">
        <v>0</v>
      </c>
      <c r="BD51" s="28">
        <v>0</v>
      </c>
      <c r="BE51" s="28">
        <v>0</v>
      </c>
      <c r="BF51" s="28">
        <v>0</v>
      </c>
      <c r="BG51" s="28">
        <v>0</v>
      </c>
      <c r="BH51" s="28">
        <v>0</v>
      </c>
      <c r="BI51" s="28">
        <v>0</v>
      </c>
      <c r="BJ51" s="28">
        <v>0</v>
      </c>
      <c r="BK51" s="28">
        <v>0</v>
      </c>
      <c r="BL51" s="28">
        <v>0</v>
      </c>
      <c r="BM51" s="28">
        <v>0</v>
      </c>
      <c r="BN51" s="28">
        <v>0</v>
      </c>
      <c r="BO51" s="28">
        <v>0</v>
      </c>
      <c r="BP51" s="28">
        <v>0</v>
      </c>
    </row>
    <row r="52" spans="1:68" x14ac:dyDescent="0.35">
      <c r="A52" s="11" t="s">
        <v>88</v>
      </c>
      <c r="B52" s="8"/>
      <c r="C52" s="10" t="s">
        <v>88</v>
      </c>
      <c r="D52" s="25">
        <v>0.4</v>
      </c>
      <c r="E52" s="25">
        <v>0.5</v>
      </c>
      <c r="F52" s="25">
        <v>0.5</v>
      </c>
      <c r="G52" s="25">
        <v>0.5</v>
      </c>
      <c r="H52" s="25">
        <v>0.6</v>
      </c>
      <c r="I52" s="25">
        <v>0.6</v>
      </c>
      <c r="J52" s="25">
        <v>0.7</v>
      </c>
      <c r="K52" s="25">
        <v>0.7</v>
      </c>
      <c r="L52" s="25">
        <v>0.8</v>
      </c>
      <c r="M52" s="25">
        <v>0.9</v>
      </c>
      <c r="N52" s="25">
        <v>0.9</v>
      </c>
      <c r="O52" s="25">
        <v>1</v>
      </c>
      <c r="P52" s="25">
        <v>2</v>
      </c>
      <c r="Q52" s="25">
        <v>2</v>
      </c>
      <c r="R52" s="25">
        <v>2</v>
      </c>
      <c r="S52" s="25">
        <v>2.1</v>
      </c>
      <c r="T52" s="25">
        <v>2.7</v>
      </c>
      <c r="U52" s="25">
        <v>2.7</v>
      </c>
      <c r="V52" s="25">
        <v>2.8</v>
      </c>
      <c r="W52" s="25">
        <v>2.6</v>
      </c>
      <c r="X52" s="25">
        <v>2.7</v>
      </c>
      <c r="Y52" s="25">
        <v>3.2</v>
      </c>
      <c r="Z52" s="25">
        <v>3.2</v>
      </c>
      <c r="AA52" s="25">
        <v>2.5</v>
      </c>
      <c r="AB52" s="25">
        <v>2.5999999999999996</v>
      </c>
      <c r="AC52" s="25">
        <v>3.6</v>
      </c>
      <c r="AD52" s="25">
        <v>3.1</v>
      </c>
      <c r="AE52" s="25">
        <v>3.4</v>
      </c>
      <c r="AF52" s="25">
        <v>1.8999999999999995</v>
      </c>
      <c r="AG52" s="25">
        <v>3.7</v>
      </c>
      <c r="AH52" s="25">
        <v>3.3</v>
      </c>
      <c r="AI52" s="25">
        <v>4.5</v>
      </c>
      <c r="AJ52" s="25">
        <v>4.6999999999999993</v>
      </c>
      <c r="AK52" s="25">
        <v>3.7000000000000011</v>
      </c>
      <c r="AL52" s="25">
        <v>4.4000000000000004</v>
      </c>
      <c r="AM52" s="25">
        <v>6.4</v>
      </c>
      <c r="AN52" s="25">
        <v>8.3000000000000007</v>
      </c>
      <c r="AO52" s="25">
        <v>10.299999999999999</v>
      </c>
      <c r="AP52" s="25">
        <v>13.5</v>
      </c>
      <c r="AQ52" s="25">
        <v>14.700000000000001</v>
      </c>
      <c r="AR52" s="25">
        <v>14.799999999999999</v>
      </c>
      <c r="AS52" s="25">
        <v>18.2</v>
      </c>
      <c r="AT52" s="25">
        <v>21.6</v>
      </c>
      <c r="AU52" s="25">
        <v>19.5</v>
      </c>
      <c r="AV52" s="25">
        <v>24.5</v>
      </c>
      <c r="AW52" s="25">
        <v>28</v>
      </c>
      <c r="AX52" s="25">
        <v>29.8</v>
      </c>
      <c r="AY52" s="25">
        <v>32</v>
      </c>
      <c r="AZ52" s="25">
        <v>36.700000000000003</v>
      </c>
      <c r="BA52" s="25">
        <v>39</v>
      </c>
      <c r="BB52" s="25">
        <v>40.1</v>
      </c>
      <c r="BC52" s="25">
        <v>40.400000000000006</v>
      </c>
      <c r="BD52" s="25">
        <v>42.7</v>
      </c>
      <c r="BE52" s="25">
        <v>39.799999999999997</v>
      </c>
      <c r="BF52" s="25">
        <v>36.1</v>
      </c>
      <c r="BG52" s="25">
        <v>40</v>
      </c>
      <c r="BH52" s="25">
        <v>42.4</v>
      </c>
      <c r="BI52" s="25">
        <v>39.700000000000003</v>
      </c>
      <c r="BJ52" s="25">
        <v>38.4</v>
      </c>
      <c r="BK52" s="25">
        <v>40.4</v>
      </c>
      <c r="BL52" s="25">
        <v>36.299999999999997</v>
      </c>
      <c r="BM52" s="25">
        <v>35.5</v>
      </c>
      <c r="BN52" s="25">
        <v>37.5</v>
      </c>
      <c r="BO52" s="25">
        <v>35.799999999999997</v>
      </c>
      <c r="BP52" s="25">
        <v>31.9</v>
      </c>
    </row>
    <row r="53" spans="1:68" x14ac:dyDescent="0.35">
      <c r="A53" s="9" t="s">
        <v>89</v>
      </c>
      <c r="B53" s="8" t="s">
        <v>90</v>
      </c>
      <c r="C53" s="8" t="s">
        <v>89</v>
      </c>
      <c r="D53" s="25">
        <v>0.4</v>
      </c>
      <c r="E53" s="25">
        <v>0.5</v>
      </c>
      <c r="F53" s="25">
        <v>0.5</v>
      </c>
      <c r="G53" s="25">
        <v>0.5</v>
      </c>
      <c r="H53" s="25">
        <v>0.6</v>
      </c>
      <c r="I53" s="25">
        <v>0.6</v>
      </c>
      <c r="J53" s="25">
        <v>0.7</v>
      </c>
      <c r="K53" s="25">
        <v>0.7</v>
      </c>
      <c r="L53" s="25">
        <v>0.8</v>
      </c>
      <c r="M53" s="25">
        <v>0.9</v>
      </c>
      <c r="N53" s="25">
        <v>0.9</v>
      </c>
      <c r="O53" s="25">
        <v>1</v>
      </c>
      <c r="P53" s="25">
        <v>1</v>
      </c>
      <c r="Q53" s="25">
        <v>1.1000000000000001</v>
      </c>
      <c r="R53" s="25">
        <v>1.2</v>
      </c>
      <c r="S53" s="25">
        <v>1.2</v>
      </c>
      <c r="T53" s="25">
        <v>1.3</v>
      </c>
      <c r="U53" s="25">
        <v>1.4</v>
      </c>
      <c r="V53" s="25">
        <v>1.5</v>
      </c>
      <c r="W53" s="25">
        <v>1.6</v>
      </c>
      <c r="X53" s="25">
        <v>1.8</v>
      </c>
      <c r="Y53" s="25">
        <v>2</v>
      </c>
      <c r="Z53" s="25">
        <v>2.2000000000000002</v>
      </c>
      <c r="AA53" s="25">
        <v>2.5</v>
      </c>
      <c r="AB53" s="25">
        <v>2.8</v>
      </c>
      <c r="AC53" s="25">
        <v>3.1</v>
      </c>
      <c r="AD53" s="25">
        <v>3.5</v>
      </c>
      <c r="AE53" s="25">
        <v>4.3</v>
      </c>
      <c r="AF53" s="25">
        <v>5.0999999999999996</v>
      </c>
      <c r="AG53" s="25">
        <v>5.5</v>
      </c>
      <c r="AH53" s="25">
        <v>6</v>
      </c>
      <c r="AI53" s="25">
        <v>6.7</v>
      </c>
      <c r="AJ53" s="25">
        <v>7.6</v>
      </c>
      <c r="AK53" s="25">
        <v>8.8000000000000007</v>
      </c>
      <c r="AL53" s="25">
        <v>10</v>
      </c>
      <c r="AM53" s="25">
        <v>10.9</v>
      </c>
      <c r="AN53" s="25">
        <v>11.5</v>
      </c>
      <c r="AO53" s="25">
        <v>12.2</v>
      </c>
      <c r="AP53" s="25">
        <v>12.9</v>
      </c>
      <c r="AQ53" s="25">
        <v>13.8</v>
      </c>
      <c r="AR53" s="25">
        <v>14.6</v>
      </c>
      <c r="AS53" s="25">
        <v>15.6</v>
      </c>
      <c r="AT53" s="25">
        <v>16.7</v>
      </c>
      <c r="AU53" s="25">
        <v>17.899999999999999</v>
      </c>
      <c r="AV53" s="25">
        <v>18.8</v>
      </c>
      <c r="AW53" s="25">
        <v>19.8</v>
      </c>
      <c r="AX53" s="25">
        <v>21.1</v>
      </c>
      <c r="AY53" s="25">
        <v>22.4</v>
      </c>
      <c r="AZ53" s="25">
        <v>23.6</v>
      </c>
      <c r="BA53" s="25">
        <v>24.6</v>
      </c>
      <c r="BB53" s="25">
        <v>26</v>
      </c>
      <c r="BC53" s="25">
        <v>27.1</v>
      </c>
      <c r="BD53" s="25">
        <v>28.6</v>
      </c>
      <c r="BE53" s="25">
        <v>30.7</v>
      </c>
      <c r="BF53" s="25">
        <v>32.1</v>
      </c>
      <c r="BG53" s="25">
        <v>33.700000000000003</v>
      </c>
      <c r="BH53" s="25">
        <v>35.4</v>
      </c>
      <c r="BI53" s="25">
        <v>38.5</v>
      </c>
      <c r="BJ53" s="25">
        <v>41.9</v>
      </c>
      <c r="BK53" s="25">
        <v>44.6</v>
      </c>
      <c r="BL53" s="25">
        <v>48.1</v>
      </c>
      <c r="BM53" s="25">
        <v>51.5</v>
      </c>
      <c r="BN53" s="25">
        <v>53.1</v>
      </c>
      <c r="BO53" s="25">
        <v>55.3</v>
      </c>
      <c r="BP53" s="25">
        <v>58.4</v>
      </c>
    </row>
    <row r="54" spans="1:68" s="32" customFormat="1" ht="24.5" x14ac:dyDescent="0.35">
      <c r="A54" s="29" t="s">
        <v>91</v>
      </c>
      <c r="B54" s="30" t="s">
        <v>92</v>
      </c>
      <c r="C54" s="31" t="s">
        <v>93</v>
      </c>
      <c r="D54" s="28">
        <v>0</v>
      </c>
      <c r="E54" s="28">
        <v>0</v>
      </c>
      <c r="F54" s="28">
        <v>0</v>
      </c>
      <c r="G54" s="28">
        <v>0</v>
      </c>
      <c r="H54" s="28">
        <v>0</v>
      </c>
      <c r="I54" s="28">
        <v>0</v>
      </c>
      <c r="J54" s="28">
        <v>0</v>
      </c>
      <c r="K54" s="28">
        <v>0</v>
      </c>
      <c r="L54" s="28">
        <v>0</v>
      </c>
      <c r="M54" s="28">
        <v>0</v>
      </c>
      <c r="N54" s="28">
        <v>0</v>
      </c>
      <c r="O54" s="28">
        <v>0</v>
      </c>
      <c r="P54" s="28">
        <v>1</v>
      </c>
      <c r="Q54" s="28">
        <v>0.9</v>
      </c>
      <c r="R54" s="28">
        <v>0.8</v>
      </c>
      <c r="S54" s="28">
        <v>0.9</v>
      </c>
      <c r="T54" s="28">
        <v>1.4</v>
      </c>
      <c r="U54" s="28">
        <v>1.3</v>
      </c>
      <c r="V54" s="28">
        <v>1.3</v>
      </c>
      <c r="W54" s="28">
        <v>1</v>
      </c>
      <c r="X54" s="28">
        <v>0.9</v>
      </c>
      <c r="Y54" s="28">
        <v>1.2</v>
      </c>
      <c r="Z54" s="28">
        <v>1</v>
      </c>
      <c r="AA54" s="28">
        <v>0</v>
      </c>
      <c r="AB54" s="28">
        <v>-0.2</v>
      </c>
      <c r="AC54" s="28">
        <v>0.5</v>
      </c>
      <c r="AD54" s="28">
        <v>-0.4</v>
      </c>
      <c r="AE54" s="28">
        <v>-0.9</v>
      </c>
      <c r="AF54" s="28">
        <v>-3.2</v>
      </c>
      <c r="AG54" s="28">
        <v>-1.8</v>
      </c>
      <c r="AH54" s="28">
        <v>-2.7</v>
      </c>
      <c r="AI54" s="28">
        <v>-2.2000000000000002</v>
      </c>
      <c r="AJ54" s="28">
        <v>-2.9</v>
      </c>
      <c r="AK54" s="28">
        <v>-5.0999999999999996</v>
      </c>
      <c r="AL54" s="28">
        <v>-5.6</v>
      </c>
      <c r="AM54" s="28">
        <v>-4.5</v>
      </c>
      <c r="AN54" s="28">
        <v>-3.2</v>
      </c>
      <c r="AO54" s="28">
        <v>-1.9</v>
      </c>
      <c r="AP54" s="28">
        <v>0.6</v>
      </c>
      <c r="AQ54" s="28">
        <v>0.9</v>
      </c>
      <c r="AR54" s="28">
        <v>0.2</v>
      </c>
      <c r="AS54" s="28">
        <v>2.6</v>
      </c>
      <c r="AT54" s="28">
        <v>4.9000000000000004</v>
      </c>
      <c r="AU54" s="28">
        <v>1.6</v>
      </c>
      <c r="AV54" s="28">
        <v>5.7</v>
      </c>
      <c r="AW54" s="28">
        <v>8.1999999999999993</v>
      </c>
      <c r="AX54" s="28">
        <v>8.6999999999999993</v>
      </c>
      <c r="AY54" s="25">
        <v>9.6</v>
      </c>
      <c r="AZ54" s="25">
        <v>13.1</v>
      </c>
      <c r="BA54" s="25">
        <v>14.4</v>
      </c>
      <c r="BB54" s="25">
        <v>14.1</v>
      </c>
      <c r="BC54" s="25">
        <v>13.3</v>
      </c>
      <c r="BD54" s="25">
        <v>14.1</v>
      </c>
      <c r="BE54" s="25">
        <v>9.1</v>
      </c>
      <c r="BF54" s="25">
        <v>4</v>
      </c>
      <c r="BG54" s="25">
        <v>6.3</v>
      </c>
      <c r="BH54" s="25">
        <v>7</v>
      </c>
      <c r="BI54" s="25">
        <v>1.2</v>
      </c>
      <c r="BJ54" s="25">
        <v>-3.5</v>
      </c>
      <c r="BK54" s="25">
        <v>-4.2</v>
      </c>
      <c r="BL54" s="25">
        <v>-11.8</v>
      </c>
      <c r="BM54" s="25">
        <v>-16</v>
      </c>
      <c r="BN54" s="25">
        <v>-15.6</v>
      </c>
      <c r="BO54" s="25">
        <v>-19.5</v>
      </c>
      <c r="BP54" s="25">
        <v>-26.5</v>
      </c>
    </row>
    <row r="55" spans="1:68" x14ac:dyDescent="0.35">
      <c r="A55" s="19" t="s">
        <v>66</v>
      </c>
      <c r="B55" s="8" t="s">
        <v>69</v>
      </c>
      <c r="C55" s="13" t="s">
        <v>24</v>
      </c>
      <c r="BM55" s="3"/>
      <c r="BN55" s="3"/>
    </row>
    <row r="56" spans="1:68" x14ac:dyDescent="0.35">
      <c r="A56" s="19" t="s">
        <v>68</v>
      </c>
      <c r="B56" s="8" t="s">
        <v>69</v>
      </c>
      <c r="C56" s="13" t="s">
        <v>27</v>
      </c>
      <c r="BM56" s="3"/>
      <c r="BN56" s="3"/>
    </row>
    <row r="57" spans="1:68" ht="20.399999999999999" customHeight="1" x14ac:dyDescent="0.35">
      <c r="A57" s="12" t="s">
        <v>83</v>
      </c>
      <c r="B57" s="8" t="s">
        <v>69</v>
      </c>
      <c r="C57" s="13" t="s">
        <v>33</v>
      </c>
      <c r="BM57" s="3"/>
      <c r="BN57" s="174"/>
    </row>
    <row r="58" spans="1:68" x14ac:dyDescent="0.35">
      <c r="A58" s="14"/>
      <c r="B58" s="14"/>
      <c r="C58" s="14"/>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6"/>
      <c r="BP58" s="16"/>
    </row>
    <row r="59" spans="1:68" s="32" customFormat="1" ht="25.75" customHeight="1" x14ac:dyDescent="0.35">
      <c r="A59" s="33" t="s">
        <v>94</v>
      </c>
      <c r="B59" s="34" t="s">
        <v>218</v>
      </c>
      <c r="C59" s="35" t="s">
        <v>94</v>
      </c>
      <c r="D59" s="36">
        <v>200.73499999999999</v>
      </c>
      <c r="E59" s="37">
        <v>224.53300000000002</v>
      </c>
      <c r="F59" s="37">
        <v>219.88799999999998</v>
      </c>
      <c r="G59" s="37">
        <v>244.16</v>
      </c>
      <c r="H59" s="37">
        <v>280.05499999999995</v>
      </c>
      <c r="I59" s="37">
        <v>291.76800000000009</v>
      </c>
      <c r="J59" s="37">
        <v>308.34899999999999</v>
      </c>
      <c r="K59" s="37">
        <v>305.90199999999999</v>
      </c>
      <c r="L59" s="37">
        <v>334.94799999999998</v>
      </c>
      <c r="M59" s="37">
        <v>351.46599999999995</v>
      </c>
      <c r="N59" s="37">
        <v>368.93000000000006</v>
      </c>
      <c r="O59" s="37">
        <v>368.27099999999996</v>
      </c>
      <c r="P59" s="37">
        <v>400.59199999999998</v>
      </c>
      <c r="Q59" s="37">
        <v>412.34099999999995</v>
      </c>
      <c r="R59" s="37">
        <v>423.6869999999999</v>
      </c>
      <c r="S59" s="37">
        <v>455.79000000000008</v>
      </c>
      <c r="T59" s="37">
        <v>478.71999999999991</v>
      </c>
      <c r="U59" s="37">
        <v>515.00299999999993</v>
      </c>
      <c r="V59" s="37">
        <v>560.27699999999993</v>
      </c>
      <c r="W59" s="37">
        <v>613.42500000000007</v>
      </c>
      <c r="X59" s="37">
        <v>642.06699999999989</v>
      </c>
      <c r="Y59" s="37">
        <v>700.35199999999998</v>
      </c>
      <c r="Z59" s="37">
        <v>754.82399999999996</v>
      </c>
      <c r="AA59" s="37">
        <v>786.88200000000006</v>
      </c>
      <c r="AB59" s="37">
        <v>851.55599999999993</v>
      </c>
      <c r="AC59" s="37">
        <v>938.39100000000019</v>
      </c>
      <c r="AD59" s="37">
        <v>1057.5329999999999</v>
      </c>
      <c r="AE59" s="37">
        <v>1141.8990000000001</v>
      </c>
      <c r="AF59" s="37">
        <v>1241.576</v>
      </c>
      <c r="AG59" s="37">
        <v>1392.8519999999999</v>
      </c>
      <c r="AH59" s="37">
        <v>1560.7629999999999</v>
      </c>
      <c r="AI59" s="37">
        <v>1776.567</v>
      </c>
      <c r="AJ59" s="37">
        <v>1992.3179999999995</v>
      </c>
      <c r="AK59" s="37">
        <v>2146.616</v>
      </c>
      <c r="AL59" s="37">
        <v>2408.9789999999998</v>
      </c>
      <c r="AM59" s="37">
        <v>2465.6030000000001</v>
      </c>
      <c r="AN59" s="37">
        <v>2686.826</v>
      </c>
      <c r="AO59" s="37">
        <v>3005.9119999999998</v>
      </c>
      <c r="AP59" s="37">
        <v>3217.0589999999997</v>
      </c>
      <c r="AQ59" s="37">
        <v>3391.2289999999998</v>
      </c>
      <c r="AR59" s="37">
        <v>3588.4099999999994</v>
      </c>
      <c r="AS59" s="37">
        <v>3857.8779999999988</v>
      </c>
      <c r="AT59" s="37">
        <v>4146.8370000000004</v>
      </c>
      <c r="AU59" s="37">
        <v>4360.9069999999992</v>
      </c>
      <c r="AV59" s="37">
        <v>4456.88</v>
      </c>
      <c r="AW59" s="37">
        <v>4719.4170000000004</v>
      </c>
      <c r="AX59" s="37">
        <v>4971.2609999999995</v>
      </c>
      <c r="AY59" s="37">
        <v>5306.5169999999998</v>
      </c>
      <c r="AZ59" s="37">
        <v>5552.1080000000002</v>
      </c>
      <c r="BA59" s="37">
        <v>5899.5259999999998</v>
      </c>
      <c r="BB59" s="37">
        <v>6308.0169999999998</v>
      </c>
      <c r="BC59" s="37">
        <v>6672.3670000000002</v>
      </c>
      <c r="BD59" s="37">
        <v>7104.6719999999996</v>
      </c>
      <c r="BE59" s="37">
        <v>7567.4069999999992</v>
      </c>
      <c r="BF59" s="37">
        <v>7765.4350000000004</v>
      </c>
      <c r="BG59" s="37">
        <v>7976.5159999999996</v>
      </c>
      <c r="BH59" s="37">
        <v>8343.8039999999983</v>
      </c>
      <c r="BI59" s="37">
        <v>8905.3889999999992</v>
      </c>
      <c r="BJ59" s="37">
        <v>9513.6329999999998</v>
      </c>
      <c r="BK59" s="37">
        <v>10088.916000000001</v>
      </c>
      <c r="BL59" s="37">
        <v>10564.238000000001</v>
      </c>
      <c r="BM59" s="37">
        <v>10611.154</v>
      </c>
      <c r="BN59" s="37">
        <v>10189.556</v>
      </c>
      <c r="BO59" s="37">
        <v>10660.195999999998</v>
      </c>
      <c r="BP59" s="37">
        <v>11167.632000000001</v>
      </c>
    </row>
    <row r="60" spans="1:68" x14ac:dyDescent="0.35">
      <c r="A60" s="38" t="s">
        <v>95</v>
      </c>
      <c r="B60" s="39"/>
      <c r="C60" s="21" t="s">
        <v>181</v>
      </c>
      <c r="D60" s="40">
        <v>2.2999999999999998</v>
      </c>
      <c r="E60" s="40">
        <v>-0.5</v>
      </c>
      <c r="F60" s="40">
        <v>1.8</v>
      </c>
      <c r="G60" s="40">
        <v>1.4</v>
      </c>
      <c r="H60" s="40">
        <v>3.6</v>
      </c>
      <c r="I60" s="40">
        <v>2.7</v>
      </c>
      <c r="J60" s="40">
        <v>4</v>
      </c>
      <c r="K60" s="40">
        <v>3.1</v>
      </c>
      <c r="L60" s="40">
        <v>2.4</v>
      </c>
      <c r="M60" s="40">
        <v>-1.8</v>
      </c>
      <c r="N60" s="40">
        <v>-0.1</v>
      </c>
      <c r="O60" s="40">
        <v>1</v>
      </c>
      <c r="P60" s="40">
        <v>0.5</v>
      </c>
      <c r="Q60" s="40">
        <v>-1</v>
      </c>
      <c r="R60" s="40">
        <v>-0.6</v>
      </c>
      <c r="S60" s="40">
        <v>0.3</v>
      </c>
      <c r="T60" s="40">
        <v>-0.8</v>
      </c>
      <c r="U60" s="40">
        <v>0.8</v>
      </c>
      <c r="V60" s="40">
        <v>1.5</v>
      </c>
      <c r="W60" s="40">
        <v>6.2</v>
      </c>
      <c r="X60" s="40">
        <v>4.5</v>
      </c>
      <c r="Y60" s="40">
        <v>4.3</v>
      </c>
      <c r="Z60" s="40">
        <v>2.9</v>
      </c>
      <c r="AA60" s="40">
        <v>6.9</v>
      </c>
      <c r="AB60" s="40">
        <v>11</v>
      </c>
      <c r="AC60" s="40">
        <v>8.9</v>
      </c>
      <c r="AD60" s="40">
        <v>8</v>
      </c>
      <c r="AE60" s="40">
        <v>9.8000000000000007</v>
      </c>
      <c r="AF60" s="40">
        <v>16.3</v>
      </c>
      <c r="AG60" s="40">
        <v>23.5</v>
      </c>
      <c r="AH60" s="40">
        <v>21.2</v>
      </c>
      <c r="AI60" s="40">
        <v>26.1</v>
      </c>
      <c r="AJ60" s="40">
        <v>47</v>
      </c>
      <c r="AK60" s="40">
        <v>45.3</v>
      </c>
      <c r="AL60" s="40">
        <v>36.6</v>
      </c>
      <c r="AM60" s="40">
        <v>4.8</v>
      </c>
      <c r="AN60" s="40">
        <v>49.7</v>
      </c>
      <c r="AO60" s="40">
        <v>31.5</v>
      </c>
      <c r="AP60" s="40">
        <v>42.3</v>
      </c>
      <c r="AQ60" s="40">
        <v>67.7</v>
      </c>
      <c r="AR60" s="40">
        <v>32.9</v>
      </c>
      <c r="AS60" s="40">
        <v>-9.5</v>
      </c>
      <c r="AT60" s="40">
        <v>56.1</v>
      </c>
      <c r="AU60" s="40">
        <v>84.2</v>
      </c>
      <c r="AV60" s="40">
        <v>79.7</v>
      </c>
      <c r="AW60" s="40">
        <v>110</v>
      </c>
      <c r="AX60" s="40">
        <v>135.80000000000001</v>
      </c>
      <c r="AY60" s="40">
        <v>108.8</v>
      </c>
      <c r="AZ60" s="40">
        <v>52.5</v>
      </c>
      <c r="BA60" s="40">
        <v>25.9</v>
      </c>
      <c r="BB60" s="40">
        <v>-14</v>
      </c>
      <c r="BC60" s="40">
        <v>-85.3</v>
      </c>
      <c r="BD60" s="40">
        <v>-71.099999999999994</v>
      </c>
      <c r="BE60" s="40">
        <v>-134</v>
      </c>
      <c r="BF60" s="40">
        <v>-103.4</v>
      </c>
      <c r="BG60" s="40">
        <v>-22.1</v>
      </c>
      <c r="BH60" s="40">
        <v>16.600000000000001</v>
      </c>
      <c r="BI60" s="40">
        <v>-22.3</v>
      </c>
      <c r="BJ60" s="40">
        <v>-95.1</v>
      </c>
      <c r="BK60" s="40">
        <v>-242.3</v>
      </c>
      <c r="BL60" s="40">
        <v>-12</v>
      </c>
      <c r="BM60" s="40">
        <v>-2.4</v>
      </c>
      <c r="BN60" s="40">
        <v>118.3</v>
      </c>
      <c r="BO60" s="40">
        <v>23.3</v>
      </c>
      <c r="BP60" s="40">
        <v>31.9</v>
      </c>
    </row>
    <row r="61" spans="1:68" x14ac:dyDescent="0.35">
      <c r="A61" s="38" t="s">
        <v>96</v>
      </c>
      <c r="B61" s="39" t="s">
        <v>219</v>
      </c>
      <c r="C61" s="41" t="s">
        <v>402</v>
      </c>
      <c r="D61" s="40">
        <v>105.09199999999998</v>
      </c>
      <c r="E61" s="40">
        <v>115.95599999999999</v>
      </c>
      <c r="F61" s="40">
        <v>113.06700000000002</v>
      </c>
      <c r="G61" s="40">
        <v>124.72</v>
      </c>
      <c r="H61" s="40">
        <v>143.714</v>
      </c>
      <c r="I61" s="40">
        <v>153.941</v>
      </c>
      <c r="J61" s="40">
        <v>166.34</v>
      </c>
      <c r="K61" s="40">
        <v>164.358</v>
      </c>
      <c r="L61" s="40">
        <v>178.05200000000002</v>
      </c>
      <c r="M61" s="40">
        <v>193.34200000000001</v>
      </c>
      <c r="N61" s="40">
        <v>202.74700000000004</v>
      </c>
      <c r="O61" s="40">
        <v>200.46800000000007</v>
      </c>
      <c r="P61" s="40">
        <v>218.631</v>
      </c>
      <c r="Q61" s="40">
        <v>228.96699999999998</v>
      </c>
      <c r="R61" s="40">
        <v>233.39599999999999</v>
      </c>
      <c r="S61" s="40">
        <v>249.73599999999993</v>
      </c>
      <c r="T61" s="40">
        <v>262.47999999999996</v>
      </c>
      <c r="U61" s="40">
        <v>281.09499999999997</v>
      </c>
      <c r="V61" s="40">
        <v>303.09700000000004</v>
      </c>
      <c r="W61" s="40">
        <v>334.30600000000004</v>
      </c>
      <c r="X61" s="40">
        <v>355.16199999999998</v>
      </c>
      <c r="Y61" s="40">
        <v>390.05099999999999</v>
      </c>
      <c r="Z61" s="40">
        <v>429.36300000000006</v>
      </c>
      <c r="AA61" s="40">
        <v>452.18900000000008</v>
      </c>
      <c r="AB61" s="40">
        <v>477.86099999999999</v>
      </c>
      <c r="AC61" s="40">
        <v>527.51400000000001</v>
      </c>
      <c r="AD61" s="40">
        <v>595.41500000000008</v>
      </c>
      <c r="AE61" s="40">
        <v>653.45999999999981</v>
      </c>
      <c r="AF61" s="40">
        <v>684.678</v>
      </c>
      <c r="AG61" s="40">
        <v>771.19900000000007</v>
      </c>
      <c r="AH61" s="40">
        <v>866.46799999999985</v>
      </c>
      <c r="AI61" s="40">
        <v>992.09499999999991</v>
      </c>
      <c r="AJ61" s="40">
        <v>1122.8139999999999</v>
      </c>
      <c r="AK61" s="40">
        <v>1228.7139999999999</v>
      </c>
      <c r="AL61" s="40">
        <v>1355.895</v>
      </c>
      <c r="AM61" s="40">
        <v>1415.384</v>
      </c>
      <c r="AN61" s="40">
        <v>1494.9460000000001</v>
      </c>
      <c r="AO61" s="40">
        <v>1654.4839999999999</v>
      </c>
      <c r="AP61" s="40">
        <v>1773.5699999999997</v>
      </c>
      <c r="AQ61" s="40">
        <v>1879.1970000000001</v>
      </c>
      <c r="AR61" s="40">
        <v>2005.6610000000003</v>
      </c>
      <c r="AS61" s="40">
        <v>2165.759</v>
      </c>
      <c r="AT61" s="40">
        <v>2286.9359999999997</v>
      </c>
      <c r="AU61" s="40">
        <v>2412.6709999999998</v>
      </c>
      <c r="AV61" s="40">
        <v>2464.9700000000007</v>
      </c>
      <c r="AW61" s="40">
        <v>2601.8560000000002</v>
      </c>
      <c r="AX61" s="40">
        <v>2728.3069999999998</v>
      </c>
      <c r="AY61" s="40">
        <v>2888.7400000000002</v>
      </c>
      <c r="AZ61" s="40">
        <v>3044.4709999999995</v>
      </c>
      <c r="BA61" s="40">
        <v>3199.6640000000007</v>
      </c>
      <c r="BB61" s="40">
        <v>3427.3410000000003</v>
      </c>
      <c r="BC61" s="40">
        <v>3727.0030000000011</v>
      </c>
      <c r="BD61" s="40">
        <v>3989.1170000000002</v>
      </c>
      <c r="BE61" s="40">
        <v>4341.3469999999998</v>
      </c>
      <c r="BF61" s="40">
        <v>4448.2970000000005</v>
      </c>
      <c r="BG61" s="40">
        <v>4473.777</v>
      </c>
      <c r="BH61" s="40">
        <v>4638.6810000000005</v>
      </c>
      <c r="BI61" s="40">
        <v>4854.4650000000001</v>
      </c>
      <c r="BJ61" s="40">
        <v>5140.8470000000007</v>
      </c>
      <c r="BK61" s="40">
        <v>5455.9430000000002</v>
      </c>
      <c r="BL61" s="40">
        <v>5725.3629999999994</v>
      </c>
      <c r="BM61" s="40">
        <v>5823.8680000000013</v>
      </c>
      <c r="BN61" s="40">
        <v>5470.9919999999993</v>
      </c>
      <c r="BO61" s="40">
        <v>5584.7859999999991</v>
      </c>
      <c r="BP61" s="40">
        <v>5869.0930000000008</v>
      </c>
    </row>
    <row r="62" spans="1:68" x14ac:dyDescent="0.35">
      <c r="A62" s="38" t="s">
        <v>97</v>
      </c>
      <c r="B62" s="39" t="s">
        <v>220</v>
      </c>
      <c r="C62" s="41" t="s">
        <v>403</v>
      </c>
      <c r="D62" s="40">
        <v>16.5</v>
      </c>
      <c r="E62" s="40">
        <v>17.899999999999999</v>
      </c>
      <c r="F62" s="40">
        <v>18.899999999999995</v>
      </c>
      <c r="G62" s="40">
        <v>20.499999999999996</v>
      </c>
      <c r="H62" s="40">
        <v>21.9</v>
      </c>
      <c r="I62" s="40">
        <v>24.300000000000004</v>
      </c>
      <c r="J62" s="40">
        <v>26.3</v>
      </c>
      <c r="K62" s="40">
        <v>26.1</v>
      </c>
      <c r="L62" s="40">
        <v>28.4</v>
      </c>
      <c r="M62" s="40">
        <v>30.000000000000004</v>
      </c>
      <c r="N62" s="40">
        <v>31.7</v>
      </c>
      <c r="O62" s="40">
        <v>32.000000000000007</v>
      </c>
      <c r="P62" s="40">
        <v>34.900000000000006</v>
      </c>
      <c r="Q62" s="40">
        <v>37.800000000000004</v>
      </c>
      <c r="R62" s="40">
        <v>38.800000000000004</v>
      </c>
      <c r="S62" s="40">
        <v>41.300000000000004</v>
      </c>
      <c r="T62" s="40">
        <v>43.8</v>
      </c>
      <c r="U62" s="40">
        <v>46.499999999999993</v>
      </c>
      <c r="V62" s="40">
        <v>48.900000000000006</v>
      </c>
      <c r="W62" s="40">
        <v>49.800000000000004</v>
      </c>
      <c r="X62" s="40">
        <v>53.400000000000006</v>
      </c>
      <c r="Y62" s="40">
        <v>60.2</v>
      </c>
      <c r="Z62" s="40">
        <v>66</v>
      </c>
      <c r="AA62" s="40">
        <v>71.400000000000006</v>
      </c>
      <c r="AB62" s="40">
        <v>79.099999999999994</v>
      </c>
      <c r="AC62" s="40">
        <v>83.200000000000017</v>
      </c>
      <c r="AD62" s="40">
        <v>92.5</v>
      </c>
      <c r="AE62" s="40">
        <v>100.70000000000002</v>
      </c>
      <c r="AF62" s="40">
        <v>107.90000000000002</v>
      </c>
      <c r="AG62" s="40">
        <v>116.00000000000001</v>
      </c>
      <c r="AH62" s="40">
        <v>124.8</v>
      </c>
      <c r="AI62" s="40">
        <v>133.6</v>
      </c>
      <c r="AJ62" s="40">
        <v>142.29999999999998</v>
      </c>
      <c r="AK62" s="40">
        <v>158.69999999999999</v>
      </c>
      <c r="AL62" s="40">
        <v>188.9</v>
      </c>
      <c r="AM62" s="40">
        <v>187.5</v>
      </c>
      <c r="AN62" s="40">
        <v>201</v>
      </c>
      <c r="AO62" s="40">
        <v>224.5</v>
      </c>
      <c r="AP62" s="40">
        <v>239.70000000000005</v>
      </c>
      <c r="AQ62" s="40">
        <v>248.60000000000002</v>
      </c>
      <c r="AR62" s="40">
        <v>262.5</v>
      </c>
      <c r="AS62" s="40">
        <v>286.79999999999995</v>
      </c>
      <c r="AT62" s="40">
        <v>308.5</v>
      </c>
      <c r="AU62" s="40">
        <v>331.09999999999997</v>
      </c>
      <c r="AV62" s="40">
        <v>357.80000000000007</v>
      </c>
      <c r="AW62" s="40">
        <v>379.09999999999991</v>
      </c>
      <c r="AX62" s="40">
        <v>392.2</v>
      </c>
      <c r="AY62" s="40">
        <v>435.00000000000006</v>
      </c>
      <c r="AZ62" s="40">
        <v>445.1</v>
      </c>
      <c r="BA62" s="40">
        <v>465.09999999999991</v>
      </c>
      <c r="BB62" s="40">
        <v>494.30000000000007</v>
      </c>
      <c r="BC62" s="40">
        <v>517.90000000000009</v>
      </c>
      <c r="BD62" s="40">
        <v>540.29999999999995</v>
      </c>
      <c r="BE62" s="40">
        <v>571.70000000000016</v>
      </c>
      <c r="BF62" s="40">
        <v>572.9</v>
      </c>
      <c r="BG62" s="40">
        <v>617.4</v>
      </c>
      <c r="BH62" s="40">
        <v>647.69999999999993</v>
      </c>
      <c r="BI62" s="40">
        <v>700.5</v>
      </c>
      <c r="BJ62" s="40">
        <v>748</v>
      </c>
      <c r="BK62" s="40">
        <v>804.4</v>
      </c>
      <c r="BL62" s="40">
        <v>838.7</v>
      </c>
      <c r="BM62" s="40">
        <v>843.69999999999993</v>
      </c>
      <c r="BN62" s="40">
        <v>812.40000000000009</v>
      </c>
      <c r="BO62" s="40">
        <v>845.6</v>
      </c>
      <c r="BP62" s="40">
        <v>881.00000000000023</v>
      </c>
    </row>
    <row r="63" spans="1:68" x14ac:dyDescent="0.35">
      <c r="A63" s="42" t="s">
        <v>98</v>
      </c>
      <c r="B63" s="39" t="s">
        <v>99</v>
      </c>
      <c r="C63" s="43" t="s">
        <v>98</v>
      </c>
      <c r="D63" s="40">
        <v>76.842999999999975</v>
      </c>
      <c r="E63" s="40">
        <v>91.177000000000021</v>
      </c>
      <c r="F63" s="40">
        <v>86.120999999999981</v>
      </c>
      <c r="G63" s="40">
        <v>97.54000000000002</v>
      </c>
      <c r="H63" s="40">
        <v>110.84099999999999</v>
      </c>
      <c r="I63" s="40">
        <v>110.82700000000006</v>
      </c>
      <c r="J63" s="40">
        <v>111.70900000000002</v>
      </c>
      <c r="K63" s="40">
        <v>112.34399999999995</v>
      </c>
      <c r="L63" s="40">
        <v>126.09600000000002</v>
      </c>
      <c r="M63" s="40">
        <v>129.92399999999998</v>
      </c>
      <c r="N63" s="40">
        <v>134.58300000000003</v>
      </c>
      <c r="O63" s="40">
        <v>134.80299999999997</v>
      </c>
      <c r="P63" s="40">
        <v>146.56100000000001</v>
      </c>
      <c r="Q63" s="40">
        <v>146.57399999999996</v>
      </c>
      <c r="R63" s="40">
        <v>152.09100000000001</v>
      </c>
      <c r="S63" s="40">
        <v>164.45400000000012</v>
      </c>
      <c r="T63" s="40">
        <v>173.23999999999992</v>
      </c>
      <c r="U63" s="40">
        <v>186.60800000000012</v>
      </c>
      <c r="V63" s="40">
        <v>206.78000000000003</v>
      </c>
      <c r="W63" s="40">
        <v>223.11899999999997</v>
      </c>
      <c r="X63" s="40">
        <v>229.00499999999994</v>
      </c>
      <c r="Y63" s="40">
        <v>245.80100000000007</v>
      </c>
      <c r="Z63" s="40">
        <v>256.56100000000004</v>
      </c>
      <c r="AA63" s="40">
        <v>256.3929999999998</v>
      </c>
      <c r="AB63" s="40">
        <v>283.59499999999997</v>
      </c>
      <c r="AC63" s="40">
        <v>318.77699999999993</v>
      </c>
      <c r="AD63" s="40">
        <v>361.61799999999994</v>
      </c>
      <c r="AE63" s="40">
        <v>377.93900000000008</v>
      </c>
      <c r="AF63" s="40">
        <v>432.69800000000009</v>
      </c>
      <c r="AG63" s="40">
        <v>482.15299999999979</v>
      </c>
      <c r="AH63" s="40">
        <v>548.29499999999996</v>
      </c>
      <c r="AI63" s="40">
        <v>624.77200000000039</v>
      </c>
      <c r="AJ63" s="40">
        <v>680.20399999999972</v>
      </c>
      <c r="AK63" s="40">
        <v>713.90199999999959</v>
      </c>
      <c r="AL63" s="40">
        <v>827.5840000000004</v>
      </c>
      <c r="AM63" s="40">
        <v>857.91899999999953</v>
      </c>
      <c r="AN63" s="40">
        <v>941.18</v>
      </c>
      <c r="AO63" s="40">
        <v>1095.4280000000003</v>
      </c>
      <c r="AP63" s="40">
        <v>1161.4889999999998</v>
      </c>
      <c r="AQ63" s="40">
        <v>1195.7320000000004</v>
      </c>
      <c r="AR63" s="40">
        <v>1287.3489999999999</v>
      </c>
      <c r="AS63" s="40">
        <v>1414.8189999999997</v>
      </c>
      <c r="AT63" s="40">
        <v>1495.3010000000004</v>
      </c>
      <c r="AU63" s="40">
        <v>1532.9360000000001</v>
      </c>
      <c r="AV63" s="40">
        <v>1554.4100000000008</v>
      </c>
      <c r="AW63" s="40">
        <v>1628.4610000000002</v>
      </c>
      <c r="AX63" s="40">
        <v>1714.9539999999993</v>
      </c>
      <c r="AY63" s="40">
        <v>1873.9769999999999</v>
      </c>
      <c r="AZ63" s="40">
        <v>2010.0369999999996</v>
      </c>
      <c r="BA63" s="40">
        <v>2208.8620000000005</v>
      </c>
      <c r="BB63" s="40">
        <v>2400.3759999999997</v>
      </c>
      <c r="BC63" s="40">
        <v>2512.7639999999988</v>
      </c>
      <c r="BD63" s="40">
        <v>2646.3550000000005</v>
      </c>
      <c r="BE63" s="40">
        <v>2788.3599999999997</v>
      </c>
      <c r="BF63" s="40">
        <v>2847.6380000000004</v>
      </c>
      <c r="BG63" s="40">
        <v>2907.4389999999994</v>
      </c>
      <c r="BH63" s="40">
        <v>3040.8229999999999</v>
      </c>
      <c r="BI63" s="40">
        <v>3372.7239999999983</v>
      </c>
      <c r="BJ63" s="40">
        <v>3719.886</v>
      </c>
      <c r="BK63" s="40">
        <v>4070.873</v>
      </c>
      <c r="BL63" s="40">
        <v>4012.1750000000006</v>
      </c>
      <c r="BM63" s="40">
        <v>3945.9859999999994</v>
      </c>
      <c r="BN63" s="40">
        <v>3787.8640000000014</v>
      </c>
      <c r="BO63" s="40">
        <v>4206.5100000000011</v>
      </c>
      <c r="BP63" s="40">
        <v>4385.6390000000001</v>
      </c>
    </row>
    <row r="64" spans="1:68" s="32" customFormat="1" ht="24.5" x14ac:dyDescent="0.35">
      <c r="A64" s="44" t="s">
        <v>100</v>
      </c>
      <c r="B64" s="45" t="s">
        <v>221</v>
      </c>
      <c r="C64" s="46" t="s">
        <v>165</v>
      </c>
      <c r="D64" s="37">
        <v>13.600000000000003</v>
      </c>
      <c r="E64" s="37">
        <v>16.100000000000001</v>
      </c>
      <c r="F64" s="37">
        <v>17.5</v>
      </c>
      <c r="G64" s="37">
        <v>18.599999999999994</v>
      </c>
      <c r="H64" s="37">
        <v>21.299999999999997</v>
      </c>
      <c r="I64" s="37">
        <v>22.699999999999996</v>
      </c>
      <c r="J64" s="37">
        <v>23.700000000000003</v>
      </c>
      <c r="K64" s="37">
        <v>24.800000000000008</v>
      </c>
      <c r="L64" s="37">
        <v>25.899999999999995</v>
      </c>
      <c r="M64" s="37">
        <v>28.800000000000004</v>
      </c>
      <c r="N64" s="37">
        <v>31.300000000000004</v>
      </c>
      <c r="O64" s="37">
        <v>33.199999999999996</v>
      </c>
      <c r="P64" s="37">
        <v>34.599999999999994</v>
      </c>
      <c r="Q64" s="37">
        <v>34.800000000000004</v>
      </c>
      <c r="R64" s="37">
        <v>35.6</v>
      </c>
      <c r="S64" s="37">
        <v>36.900000000000006</v>
      </c>
      <c r="T64" s="37">
        <v>38.299999999999997</v>
      </c>
      <c r="U64" s="37">
        <v>40.300000000000004</v>
      </c>
      <c r="V64" s="37">
        <v>43.20000000000001</v>
      </c>
      <c r="W64" s="37">
        <v>47.300000000000004</v>
      </c>
      <c r="X64" s="37">
        <v>51.500000000000007</v>
      </c>
      <c r="Y64" s="37">
        <v>56.5</v>
      </c>
      <c r="Z64" s="37">
        <v>62.3</v>
      </c>
      <c r="AA64" s="37">
        <v>68.599999999999994</v>
      </c>
      <c r="AB64" s="37">
        <v>75.100000000000009</v>
      </c>
      <c r="AC64" s="37">
        <v>81.800000000000011</v>
      </c>
      <c r="AD64" s="37">
        <v>91.300000000000011</v>
      </c>
      <c r="AE64" s="37">
        <v>106.7</v>
      </c>
      <c r="AF64" s="37">
        <v>126.5</v>
      </c>
      <c r="AG64" s="37">
        <v>139.30000000000001</v>
      </c>
      <c r="AH64" s="37">
        <v>156.4</v>
      </c>
      <c r="AI64" s="37">
        <v>177.39999999999998</v>
      </c>
      <c r="AJ64" s="37">
        <v>204.59999999999997</v>
      </c>
      <c r="AK64" s="37">
        <v>236.7</v>
      </c>
      <c r="AL64" s="37">
        <v>272.59999999999997</v>
      </c>
      <c r="AM64" s="37">
        <v>302.10000000000008</v>
      </c>
      <c r="AN64" s="37">
        <v>312.89999999999998</v>
      </c>
      <c r="AO64" s="37">
        <v>327.50000000000006</v>
      </c>
      <c r="AP64" s="37">
        <v>349.70000000000005</v>
      </c>
      <c r="AQ64" s="37">
        <v>371.7</v>
      </c>
      <c r="AR64" s="37">
        <v>392.3</v>
      </c>
      <c r="AS64" s="37">
        <v>419.59999999999997</v>
      </c>
      <c r="AT64" s="37">
        <v>446.59999999999997</v>
      </c>
      <c r="AU64" s="37">
        <v>471.90000000000009</v>
      </c>
      <c r="AV64" s="37">
        <v>492.8</v>
      </c>
      <c r="AW64" s="37">
        <v>503.09999999999997</v>
      </c>
      <c r="AX64" s="37">
        <v>523.4</v>
      </c>
      <c r="AY64" s="37">
        <v>551.6</v>
      </c>
      <c r="AZ64" s="37">
        <v>588.30000000000007</v>
      </c>
      <c r="BA64" s="37">
        <v>621.49999999999989</v>
      </c>
      <c r="BB64" s="37">
        <v>660.89999999999986</v>
      </c>
      <c r="BC64" s="37">
        <v>704.40000000000009</v>
      </c>
      <c r="BD64" s="37">
        <v>759.50000000000011</v>
      </c>
      <c r="BE64" s="37">
        <v>827</v>
      </c>
      <c r="BF64" s="37">
        <v>879.30000000000007</v>
      </c>
      <c r="BG64" s="37">
        <v>911.3</v>
      </c>
      <c r="BH64" s="37">
        <v>938.49999999999989</v>
      </c>
      <c r="BI64" s="37">
        <v>981.99999999999989</v>
      </c>
      <c r="BJ64" s="37">
        <v>1049.3</v>
      </c>
      <c r="BK64" s="37">
        <v>1127.2</v>
      </c>
      <c r="BL64" s="37">
        <v>1194.7</v>
      </c>
      <c r="BM64" s="37">
        <v>1252.4000000000001</v>
      </c>
      <c r="BN64" s="37">
        <v>1254.0999999999999</v>
      </c>
      <c r="BO64" s="37">
        <v>1249</v>
      </c>
      <c r="BP64" s="37">
        <v>1289.6999999999998</v>
      </c>
    </row>
    <row r="65" spans="1:68" x14ac:dyDescent="0.35">
      <c r="A65" s="47" t="s">
        <v>101</v>
      </c>
      <c r="B65" s="39" t="s">
        <v>102</v>
      </c>
      <c r="C65" s="48" t="s">
        <v>101</v>
      </c>
      <c r="D65" s="40">
        <v>63.199999999999982</v>
      </c>
      <c r="E65" s="40">
        <v>75.100000000000023</v>
      </c>
      <c r="F65" s="40">
        <v>68.59999999999998</v>
      </c>
      <c r="G65" s="40">
        <v>78.90000000000002</v>
      </c>
      <c r="H65" s="40">
        <v>89.6</v>
      </c>
      <c r="I65" s="40">
        <v>88.100000000000051</v>
      </c>
      <c r="J65" s="40">
        <v>88.100000000000023</v>
      </c>
      <c r="K65" s="40">
        <v>87.59999999999998</v>
      </c>
      <c r="L65" s="40">
        <v>100.20000000000002</v>
      </c>
      <c r="M65" s="40">
        <v>101.1</v>
      </c>
      <c r="N65" s="40">
        <v>103.20000000000003</v>
      </c>
      <c r="O65" s="40">
        <v>101.59999999999997</v>
      </c>
      <c r="P65" s="40">
        <v>112</v>
      </c>
      <c r="Q65" s="40">
        <v>111.79999999999995</v>
      </c>
      <c r="R65" s="40">
        <v>116.50000000000001</v>
      </c>
      <c r="S65" s="40">
        <v>127.60000000000011</v>
      </c>
      <c r="T65" s="40">
        <v>134.99999999999989</v>
      </c>
      <c r="U65" s="40">
        <v>146.30000000000007</v>
      </c>
      <c r="V65" s="40">
        <v>163.50000000000003</v>
      </c>
      <c r="W65" s="40">
        <v>175.89999999999995</v>
      </c>
      <c r="X65" s="40">
        <v>177.49999999999991</v>
      </c>
      <c r="Y65" s="40">
        <v>189.30000000000007</v>
      </c>
      <c r="Z65" s="40">
        <v>194.3</v>
      </c>
      <c r="AA65" s="40">
        <v>187.79999999999978</v>
      </c>
      <c r="AB65" s="40">
        <v>208.49999999999994</v>
      </c>
      <c r="AC65" s="40">
        <v>236.99999999999997</v>
      </c>
      <c r="AD65" s="40">
        <v>270.29999999999984</v>
      </c>
      <c r="AE65" s="40">
        <v>271.2000000000001</v>
      </c>
      <c r="AF65" s="40">
        <v>306.20000000000005</v>
      </c>
      <c r="AG65" s="40">
        <v>342.89999999999986</v>
      </c>
      <c r="AH65" s="40">
        <v>391.89999999999992</v>
      </c>
      <c r="AI65" s="40">
        <v>447.40000000000032</v>
      </c>
      <c r="AJ65" s="40">
        <v>475.59999999999968</v>
      </c>
      <c r="AK65" s="40">
        <v>477.19999999999965</v>
      </c>
      <c r="AL65" s="40">
        <v>555.00000000000045</v>
      </c>
      <c r="AM65" s="40">
        <v>555.89999999999964</v>
      </c>
      <c r="AN65" s="40">
        <v>628.30000000000007</v>
      </c>
      <c r="AO65" s="40">
        <v>767.9000000000002</v>
      </c>
      <c r="AP65" s="40">
        <v>811.79999999999973</v>
      </c>
      <c r="AQ65" s="40">
        <v>824.10000000000048</v>
      </c>
      <c r="AR65" s="40">
        <v>894.99999999999977</v>
      </c>
      <c r="AS65" s="40">
        <v>995.19999999999959</v>
      </c>
      <c r="AT65" s="40">
        <v>1048.7</v>
      </c>
      <c r="AU65" s="40">
        <v>1061.1000000000004</v>
      </c>
      <c r="AV65" s="40">
        <v>1061.6000000000006</v>
      </c>
      <c r="AW65" s="40">
        <v>1125.3000000000002</v>
      </c>
      <c r="AX65" s="40">
        <v>1191.5999999999992</v>
      </c>
      <c r="AY65" s="40">
        <v>1322.3999999999999</v>
      </c>
      <c r="AZ65" s="40">
        <v>1421.7999999999997</v>
      </c>
      <c r="BA65" s="40">
        <v>1587.4000000000003</v>
      </c>
      <c r="BB65" s="40">
        <v>1739.4999999999993</v>
      </c>
      <c r="BC65" s="40">
        <v>1808.2999999999993</v>
      </c>
      <c r="BD65" s="40">
        <v>1886.9000000000005</v>
      </c>
      <c r="BE65" s="40">
        <v>1961.3999999999996</v>
      </c>
      <c r="BF65" s="40">
        <v>1968.3000000000006</v>
      </c>
      <c r="BG65" s="40">
        <v>1996.0999999999997</v>
      </c>
      <c r="BH65" s="40">
        <v>2102.3000000000002</v>
      </c>
      <c r="BI65" s="40">
        <v>2390.6999999999985</v>
      </c>
      <c r="BJ65" s="40">
        <v>2670.6</v>
      </c>
      <c r="BK65" s="40">
        <v>2943.7000000000003</v>
      </c>
      <c r="BL65" s="40">
        <v>2817.5000000000005</v>
      </c>
      <c r="BM65" s="40">
        <v>2693.5999999999995</v>
      </c>
      <c r="BN65" s="40">
        <v>2533.8000000000015</v>
      </c>
      <c r="BO65" s="40">
        <v>2957.5000000000005</v>
      </c>
      <c r="BP65" s="40">
        <v>3095.9</v>
      </c>
    </row>
    <row r="66" spans="1:68" s="32" customFormat="1" ht="22" x14ac:dyDescent="0.35">
      <c r="A66" s="49" t="s">
        <v>103</v>
      </c>
      <c r="B66" s="45" t="s">
        <v>104</v>
      </c>
      <c r="C66" s="49" t="s">
        <v>24</v>
      </c>
      <c r="D66" s="37">
        <v>1.1999999999999997</v>
      </c>
      <c r="E66" s="37">
        <v>1.0999999999999999</v>
      </c>
      <c r="F66" s="37">
        <v>1.2999999999999998</v>
      </c>
      <c r="G66" s="37">
        <v>1.4</v>
      </c>
      <c r="H66" s="37">
        <v>1.5</v>
      </c>
      <c r="I66" s="37">
        <v>1.6999999999999997</v>
      </c>
      <c r="J66" s="37">
        <v>1.9999999999999996</v>
      </c>
      <c r="K66" s="37">
        <v>2.4000000000000004</v>
      </c>
      <c r="L66" s="37">
        <v>2.6999999999999997</v>
      </c>
      <c r="M66" s="37">
        <v>2.8</v>
      </c>
      <c r="N66" s="37">
        <v>3.3000000000000003</v>
      </c>
      <c r="O66" s="37">
        <v>4.1000000000000005</v>
      </c>
      <c r="P66" s="37">
        <v>3.4999999999999996</v>
      </c>
      <c r="Q66" s="37">
        <v>3.7000000000000006</v>
      </c>
      <c r="R66" s="37">
        <v>4.8</v>
      </c>
      <c r="S66" s="37">
        <v>5.6000000000000014</v>
      </c>
      <c r="T66" s="37">
        <v>5.7999999999999989</v>
      </c>
      <c r="U66" s="37">
        <v>6.8999999999999977</v>
      </c>
      <c r="V66" s="37">
        <v>8.2000000000000028</v>
      </c>
      <c r="W66" s="37">
        <v>10.099999999999998</v>
      </c>
      <c r="X66" s="37">
        <v>12.299999999999999</v>
      </c>
      <c r="Y66" s="37">
        <v>13.1</v>
      </c>
      <c r="Z66" s="37">
        <v>18.100000000000001</v>
      </c>
      <c r="AA66" s="37">
        <v>23.3</v>
      </c>
      <c r="AB66" s="37">
        <v>25.200000000000003</v>
      </c>
      <c r="AC66" s="37">
        <v>27.099999999999998</v>
      </c>
      <c r="AD66" s="37">
        <v>32.6</v>
      </c>
      <c r="AE66" s="37">
        <v>44.1</v>
      </c>
      <c r="AF66" s="37">
        <v>49.7</v>
      </c>
      <c r="AG66" s="37">
        <v>47.7</v>
      </c>
      <c r="AH66" s="37">
        <v>55.699999999999996</v>
      </c>
      <c r="AI66" s="37">
        <v>64</v>
      </c>
      <c r="AJ66" s="37">
        <v>79</v>
      </c>
      <c r="AK66" s="37">
        <v>108.5</v>
      </c>
      <c r="AL66" s="37">
        <v>141.90000000000003</v>
      </c>
      <c r="AM66" s="37">
        <v>162.89999999999998</v>
      </c>
      <c r="AN66" s="37">
        <v>164.50000000000003</v>
      </c>
      <c r="AO66" s="37">
        <v>193.80000000000004</v>
      </c>
      <c r="AP66" s="37">
        <v>203.10000000000002</v>
      </c>
      <c r="AQ66" s="37">
        <v>222</v>
      </c>
      <c r="AR66" s="37">
        <v>221.1</v>
      </c>
      <c r="AS66" s="37">
        <v>232.20000000000005</v>
      </c>
      <c r="AT66" s="37">
        <v>273.40000000000003</v>
      </c>
      <c r="AU66" s="37">
        <v>267.8</v>
      </c>
      <c r="AV66" s="37">
        <v>238.7</v>
      </c>
      <c r="AW66" s="37">
        <v>203.2</v>
      </c>
      <c r="AX66" s="37">
        <v>188.5</v>
      </c>
      <c r="AY66" s="37">
        <v>194.50000000000003</v>
      </c>
      <c r="AZ66" s="37">
        <v>182.2</v>
      </c>
      <c r="BA66" s="37">
        <v>191.39999999999998</v>
      </c>
      <c r="BB66" s="37">
        <v>225.90000000000003</v>
      </c>
      <c r="BC66" s="37">
        <v>286.90000000000003</v>
      </c>
      <c r="BD66" s="37">
        <v>277.89999999999998</v>
      </c>
      <c r="BE66" s="37">
        <v>323.5</v>
      </c>
      <c r="BF66" s="37">
        <v>316.2</v>
      </c>
      <c r="BG66" s="37">
        <v>253.20000000000005</v>
      </c>
      <c r="BH66" s="37">
        <v>233.10000000000002</v>
      </c>
      <c r="BI66" s="37">
        <v>183.99999999999997</v>
      </c>
      <c r="BJ66" s="37">
        <v>242.7</v>
      </c>
      <c r="BK66" s="37">
        <v>327.70000000000005</v>
      </c>
      <c r="BL66" s="37">
        <v>401.80000000000007</v>
      </c>
      <c r="BM66" s="37">
        <v>537.79999999999995</v>
      </c>
      <c r="BN66" s="37">
        <v>343.29999999999995</v>
      </c>
      <c r="BO66" s="37">
        <v>310.8</v>
      </c>
      <c r="BP66" s="37">
        <v>297.79999999999995</v>
      </c>
    </row>
    <row r="67" spans="1:68" s="32" customFormat="1" ht="24" customHeight="1" x14ac:dyDescent="0.35">
      <c r="A67" s="49" t="s">
        <v>105</v>
      </c>
      <c r="B67" s="45" t="s">
        <v>222</v>
      </c>
      <c r="C67" s="49" t="s">
        <v>27</v>
      </c>
      <c r="D67" s="37">
        <v>0.7</v>
      </c>
      <c r="E67" s="37">
        <v>0.7</v>
      </c>
      <c r="F67" s="37">
        <v>0.7</v>
      </c>
      <c r="G67" s="37">
        <v>0.9</v>
      </c>
      <c r="H67" s="37">
        <v>1.2</v>
      </c>
      <c r="I67" s="37">
        <v>1.3</v>
      </c>
      <c r="J67" s="37">
        <v>1.2</v>
      </c>
      <c r="K67" s="37">
        <v>1</v>
      </c>
      <c r="L67" s="37">
        <v>1.4</v>
      </c>
      <c r="M67" s="37">
        <v>1.7</v>
      </c>
      <c r="N67" s="37">
        <v>1.9</v>
      </c>
      <c r="O67" s="37">
        <v>1.8</v>
      </c>
      <c r="P67" s="37">
        <v>1.8</v>
      </c>
      <c r="Q67" s="37">
        <v>1.9</v>
      </c>
      <c r="R67" s="37">
        <v>2.1</v>
      </c>
      <c r="S67" s="37">
        <v>2.3000000000000003</v>
      </c>
      <c r="T67" s="37">
        <v>2.8000000000000003</v>
      </c>
      <c r="U67" s="37">
        <v>3.2</v>
      </c>
      <c r="V67" s="37">
        <v>3.7</v>
      </c>
      <c r="W67" s="37">
        <v>3.5</v>
      </c>
      <c r="X67" s="37">
        <v>3.8</v>
      </c>
      <c r="Y67" s="37">
        <v>4.3</v>
      </c>
      <c r="Z67" s="37">
        <v>4.9000000000000004</v>
      </c>
      <c r="AA67" s="37">
        <v>4.5</v>
      </c>
      <c r="AB67" s="37">
        <v>4.2</v>
      </c>
      <c r="AC67" s="37">
        <v>4.7</v>
      </c>
      <c r="AD67" s="37">
        <v>5.9</v>
      </c>
      <c r="AE67" s="37">
        <v>7.3999999999999995</v>
      </c>
      <c r="AF67" s="37">
        <v>9.6</v>
      </c>
      <c r="AG67" s="37">
        <v>9.4</v>
      </c>
      <c r="AH67" s="37">
        <v>8.1</v>
      </c>
      <c r="AI67" s="37">
        <v>10.3</v>
      </c>
      <c r="AJ67" s="37">
        <v>13.4</v>
      </c>
      <c r="AK67" s="37">
        <v>15</v>
      </c>
      <c r="AL67" s="37">
        <v>17.7</v>
      </c>
      <c r="AM67" s="37">
        <v>20.6</v>
      </c>
      <c r="AN67" s="37">
        <v>22.700000000000003</v>
      </c>
      <c r="AO67" s="37">
        <v>30.400000000000002</v>
      </c>
      <c r="AP67" s="37">
        <v>35.5</v>
      </c>
      <c r="AQ67" s="37">
        <v>35.9</v>
      </c>
      <c r="AR67" s="37">
        <v>32.5</v>
      </c>
      <c r="AS67" s="37">
        <v>32.9</v>
      </c>
      <c r="AT67" s="37">
        <v>40.1</v>
      </c>
      <c r="AU67" s="37">
        <v>40.9</v>
      </c>
      <c r="AV67" s="37">
        <v>40.5</v>
      </c>
      <c r="AW67" s="37">
        <v>42.1</v>
      </c>
      <c r="AX67" s="37">
        <v>39</v>
      </c>
      <c r="AY67" s="37">
        <v>40.1</v>
      </c>
      <c r="AZ67" s="37">
        <v>44.099999999999994</v>
      </c>
      <c r="BA67" s="37">
        <v>54.5</v>
      </c>
      <c r="BB67" s="37">
        <v>46.699999999999996</v>
      </c>
      <c r="BC67" s="37">
        <v>63.400000000000006</v>
      </c>
      <c r="BD67" s="37">
        <v>67</v>
      </c>
      <c r="BE67" s="37">
        <v>86.2</v>
      </c>
      <c r="BF67" s="37">
        <v>102.3</v>
      </c>
      <c r="BG67" s="37">
        <v>79.800000000000011</v>
      </c>
      <c r="BH67" s="37">
        <v>71.699999999999989</v>
      </c>
      <c r="BI67" s="37">
        <v>75.900000000000006</v>
      </c>
      <c r="BJ67" s="37">
        <v>84.600000000000009</v>
      </c>
      <c r="BK67" s="37">
        <v>72.3</v>
      </c>
      <c r="BL67" s="37">
        <v>94.399999999999991</v>
      </c>
      <c r="BM67" s="37">
        <v>119.8</v>
      </c>
      <c r="BN67" s="37">
        <v>127.7</v>
      </c>
      <c r="BO67" s="37">
        <v>136.1</v>
      </c>
      <c r="BP67" s="37">
        <v>134.6</v>
      </c>
    </row>
    <row r="68" spans="1:68" s="32" customFormat="1" ht="37.25" customHeight="1" x14ac:dyDescent="0.35">
      <c r="A68" s="49" t="s">
        <v>106</v>
      </c>
      <c r="B68" s="45"/>
      <c r="C68" s="49" t="s">
        <v>30</v>
      </c>
      <c r="D68" s="37">
        <v>34.5</v>
      </c>
      <c r="E68" s="37">
        <v>39.200000000000003</v>
      </c>
      <c r="F68" s="37">
        <v>34.6</v>
      </c>
      <c r="G68" s="37">
        <v>37.5</v>
      </c>
      <c r="H68" s="37">
        <v>42.7</v>
      </c>
      <c r="I68" s="37">
        <v>43.1</v>
      </c>
      <c r="J68" s="37">
        <v>42</v>
      </c>
      <c r="K68" s="37">
        <v>42.3</v>
      </c>
      <c r="L68" s="37">
        <v>44.3</v>
      </c>
      <c r="M68" s="37">
        <v>45.9</v>
      </c>
      <c r="N68" s="37">
        <v>47.8</v>
      </c>
      <c r="O68" s="37">
        <v>50.2</v>
      </c>
      <c r="P68" s="37">
        <v>50.3</v>
      </c>
      <c r="Q68" s="37">
        <v>50.7</v>
      </c>
      <c r="R68" s="37">
        <v>53.2</v>
      </c>
      <c r="S68" s="37">
        <v>55.3</v>
      </c>
      <c r="T68" s="37">
        <v>56.5</v>
      </c>
      <c r="U68" s="37">
        <v>59.4</v>
      </c>
      <c r="V68" s="37">
        <v>63.9</v>
      </c>
      <c r="W68" s="37">
        <v>68.2</v>
      </c>
      <c r="X68" s="37">
        <v>69.8</v>
      </c>
      <c r="Y68" s="37">
        <v>74.2</v>
      </c>
      <c r="Z68" s="37">
        <v>77.5</v>
      </c>
      <c r="AA68" s="37">
        <v>78.5</v>
      </c>
      <c r="AB68" s="37">
        <v>84.7</v>
      </c>
      <c r="AC68" s="37">
        <v>96</v>
      </c>
      <c r="AD68" s="37">
        <v>113.6</v>
      </c>
      <c r="AE68" s="37">
        <v>113.5</v>
      </c>
      <c r="AF68" s="37">
        <v>119.6</v>
      </c>
      <c r="AG68" s="37">
        <v>132.19999999999999</v>
      </c>
      <c r="AH68" s="37">
        <v>146</v>
      </c>
      <c r="AI68" s="37">
        <v>167.5</v>
      </c>
      <c r="AJ68" s="37">
        <v>181.1</v>
      </c>
      <c r="AK68" s="37">
        <v>173.5</v>
      </c>
      <c r="AL68" s="37">
        <v>181.6</v>
      </c>
      <c r="AM68" s="37">
        <v>174.8</v>
      </c>
      <c r="AN68" s="37">
        <v>190.7</v>
      </c>
      <c r="AO68" s="37">
        <v>233.1</v>
      </c>
      <c r="AP68" s="37">
        <v>246.1</v>
      </c>
      <c r="AQ68" s="37">
        <v>262.60000000000002</v>
      </c>
      <c r="AR68" s="37">
        <v>294.2</v>
      </c>
      <c r="AS68" s="37">
        <v>334.8</v>
      </c>
      <c r="AT68" s="37">
        <v>351.6</v>
      </c>
      <c r="AU68" s="37">
        <v>365.1</v>
      </c>
      <c r="AV68" s="37">
        <v>367.3</v>
      </c>
      <c r="AW68" s="37">
        <v>414.9</v>
      </c>
      <c r="AX68" s="37">
        <v>449.6</v>
      </c>
      <c r="AY68" s="37">
        <v>485.1</v>
      </c>
      <c r="AZ68" s="37">
        <v>516</v>
      </c>
      <c r="BA68" s="37">
        <v>583.70000000000005</v>
      </c>
      <c r="BB68" s="37">
        <v>628.20000000000005</v>
      </c>
      <c r="BC68" s="37">
        <v>687.5</v>
      </c>
      <c r="BD68" s="37">
        <v>746.8</v>
      </c>
      <c r="BE68" s="37">
        <v>817.5</v>
      </c>
      <c r="BF68" s="37">
        <v>870.7</v>
      </c>
      <c r="BG68" s="37">
        <v>890.3</v>
      </c>
      <c r="BH68" s="37">
        <v>930.6</v>
      </c>
      <c r="BI68" s="37">
        <v>1033.8</v>
      </c>
      <c r="BJ68" s="37">
        <v>1069.8</v>
      </c>
      <c r="BK68" s="37">
        <v>1133</v>
      </c>
      <c r="BL68" s="37">
        <v>1090.4000000000001</v>
      </c>
      <c r="BM68" s="37">
        <v>1097.9000000000001</v>
      </c>
      <c r="BN68" s="37">
        <v>979.4</v>
      </c>
      <c r="BO68" s="37">
        <v>1103.4000000000001</v>
      </c>
      <c r="BP68" s="37">
        <v>1157.3</v>
      </c>
    </row>
    <row r="69" spans="1:68" s="32" customFormat="1" ht="27" customHeight="1" x14ac:dyDescent="0.35">
      <c r="A69" s="49" t="s">
        <v>107</v>
      </c>
      <c r="B69" s="45" t="s">
        <v>108</v>
      </c>
      <c r="C69" s="50" t="s">
        <v>33</v>
      </c>
      <c r="D69" s="37">
        <v>4.2</v>
      </c>
      <c r="E69" s="37">
        <v>4.5999999999999996</v>
      </c>
      <c r="F69" s="37">
        <v>4.5</v>
      </c>
      <c r="G69" s="37">
        <v>4.8</v>
      </c>
      <c r="H69" s="37">
        <v>5.0999999999999996</v>
      </c>
      <c r="I69" s="37">
        <v>5.2999999999999989</v>
      </c>
      <c r="J69" s="37">
        <v>5.4</v>
      </c>
      <c r="K69" s="37">
        <v>5.4</v>
      </c>
      <c r="L69" s="37">
        <v>5.4</v>
      </c>
      <c r="M69" s="37">
        <v>5.5</v>
      </c>
      <c r="N69" s="37">
        <v>5.4</v>
      </c>
      <c r="O69" s="37">
        <v>5.6</v>
      </c>
      <c r="P69" s="37">
        <v>5.5</v>
      </c>
      <c r="Q69" s="37">
        <v>5.5</v>
      </c>
      <c r="R69" s="37">
        <v>5.5</v>
      </c>
      <c r="S69" s="37">
        <v>5.6000000000000014</v>
      </c>
      <c r="T69" s="37">
        <v>5.8000000000000007</v>
      </c>
      <c r="U69" s="37">
        <v>5.7999999999999989</v>
      </c>
      <c r="V69" s="37">
        <v>5.9999999999999982</v>
      </c>
      <c r="W69" s="37">
        <v>6.1</v>
      </c>
      <c r="X69" s="37">
        <v>5.9999999999999982</v>
      </c>
      <c r="Y69" s="37">
        <v>6.1000000000000014</v>
      </c>
      <c r="Z69" s="37">
        <v>5.9999999999999982</v>
      </c>
      <c r="AA69" s="37">
        <v>6.3000000000000007</v>
      </c>
      <c r="AB69" s="37">
        <v>6.2999999999999989</v>
      </c>
      <c r="AC69" s="37">
        <v>7.200000000000002</v>
      </c>
      <c r="AD69" s="37">
        <v>8.6999999999999993</v>
      </c>
      <c r="AE69" s="37">
        <v>8.4</v>
      </c>
      <c r="AF69" s="37">
        <v>8.6999999999999993</v>
      </c>
      <c r="AG69" s="37">
        <v>8.7000000000000011</v>
      </c>
      <c r="AH69" s="37">
        <v>9.5000000000000018</v>
      </c>
      <c r="AI69" s="37">
        <v>10.199999999999999</v>
      </c>
      <c r="AJ69" s="37">
        <v>11.400000000000002</v>
      </c>
      <c r="AK69" s="37">
        <v>14.299999999999999</v>
      </c>
      <c r="AL69" s="37">
        <v>20.2</v>
      </c>
      <c r="AM69" s="37">
        <v>24.3</v>
      </c>
      <c r="AN69" s="37">
        <v>25.800000000000004</v>
      </c>
      <c r="AO69" s="37">
        <v>28.4</v>
      </c>
      <c r="AP69" s="37">
        <v>32.6</v>
      </c>
      <c r="AQ69" s="37">
        <v>28.999999999999996</v>
      </c>
      <c r="AR69" s="37">
        <v>27.400000000000002</v>
      </c>
      <c r="AS69" s="37">
        <v>25.700000000000003</v>
      </c>
      <c r="AT69" s="37">
        <v>25.299999999999997</v>
      </c>
      <c r="AU69" s="37">
        <v>29.2</v>
      </c>
      <c r="AV69" s="37">
        <v>34.400000000000006</v>
      </c>
      <c r="AW69" s="37">
        <v>42.099999999999994</v>
      </c>
      <c r="AX69" s="37">
        <v>47.599999999999994</v>
      </c>
      <c r="AY69" s="37">
        <v>52.000000000000007</v>
      </c>
      <c r="AZ69" s="37">
        <v>56.099999999999987</v>
      </c>
      <c r="BA69" s="37">
        <v>58.400000000000006</v>
      </c>
      <c r="BB69" s="37">
        <v>61.300000000000004</v>
      </c>
      <c r="BC69" s="37">
        <v>60.7</v>
      </c>
      <c r="BD69" s="37">
        <v>60.599999999999987</v>
      </c>
      <c r="BE69" s="37">
        <v>60.70000000000001</v>
      </c>
      <c r="BF69" s="37">
        <v>64.5</v>
      </c>
      <c r="BG69" s="37">
        <v>58.499999999999986</v>
      </c>
      <c r="BH69" s="37">
        <v>54.899999999999991</v>
      </c>
      <c r="BI69" s="37">
        <v>55.100000000000009</v>
      </c>
      <c r="BJ69" s="37">
        <v>56.699999999999982</v>
      </c>
      <c r="BK69" s="37">
        <v>59.3</v>
      </c>
      <c r="BL69" s="37">
        <v>71</v>
      </c>
      <c r="BM69" s="37">
        <v>96.3</v>
      </c>
      <c r="BN69" s="37">
        <v>93.899999999999991</v>
      </c>
      <c r="BO69" s="37">
        <v>106.2</v>
      </c>
      <c r="BP69" s="37">
        <v>118.20000000000002</v>
      </c>
    </row>
    <row r="70" spans="1:68" s="32" customFormat="1" ht="35.4" customHeight="1" x14ac:dyDescent="0.35">
      <c r="A70" s="51" t="s">
        <v>109</v>
      </c>
      <c r="B70" s="45"/>
      <c r="C70" s="52" t="s">
        <v>36</v>
      </c>
      <c r="D70" s="37">
        <v>22.5</v>
      </c>
      <c r="E70" s="37">
        <v>29.6</v>
      </c>
      <c r="F70" s="37">
        <v>27.6</v>
      </c>
      <c r="G70" s="37">
        <v>34.4</v>
      </c>
      <c r="H70" s="37">
        <v>39.1</v>
      </c>
      <c r="I70" s="37">
        <v>37</v>
      </c>
      <c r="J70" s="37">
        <v>37.299999999999997</v>
      </c>
      <c r="K70" s="37">
        <v>36.4</v>
      </c>
      <c r="L70" s="37">
        <v>46.6</v>
      </c>
      <c r="M70" s="37">
        <v>45.2</v>
      </c>
      <c r="N70" s="37">
        <v>44.5</v>
      </c>
      <c r="O70" s="37">
        <v>39.9</v>
      </c>
      <c r="P70" s="37">
        <v>51.1</v>
      </c>
      <c r="Q70" s="37">
        <v>50</v>
      </c>
      <c r="R70" s="37">
        <v>50.9</v>
      </c>
      <c r="S70" s="37">
        <v>58.6</v>
      </c>
      <c r="T70" s="37">
        <v>64.3</v>
      </c>
      <c r="U70" s="37">
        <v>71.099999999999994</v>
      </c>
      <c r="V70" s="37">
        <v>81.8</v>
      </c>
      <c r="W70" s="37">
        <v>88</v>
      </c>
      <c r="X70" s="37">
        <v>85.4</v>
      </c>
      <c r="Y70" s="37">
        <v>91.6</v>
      </c>
      <c r="Z70" s="37">
        <v>87.9</v>
      </c>
      <c r="AA70" s="37">
        <v>75.400000000000006</v>
      </c>
      <c r="AB70" s="37">
        <v>88.2</v>
      </c>
      <c r="AC70" s="37">
        <v>101.9</v>
      </c>
      <c r="AD70" s="37">
        <v>109.6</v>
      </c>
      <c r="AE70" s="37">
        <v>97.7</v>
      </c>
      <c r="AF70" s="37">
        <v>118.7</v>
      </c>
      <c r="AG70" s="37">
        <v>145.1</v>
      </c>
      <c r="AH70" s="37">
        <v>172.7</v>
      </c>
      <c r="AI70" s="37">
        <v>195.6</v>
      </c>
      <c r="AJ70" s="37">
        <v>190.7</v>
      </c>
      <c r="AK70" s="37">
        <v>166</v>
      </c>
      <c r="AL70" s="37">
        <v>193.6</v>
      </c>
      <c r="AM70" s="37">
        <v>173.1</v>
      </c>
      <c r="AN70" s="37">
        <v>224.8</v>
      </c>
      <c r="AO70" s="37">
        <v>282</v>
      </c>
      <c r="AP70" s="37">
        <v>294.39999999999998</v>
      </c>
      <c r="AQ70" s="37">
        <v>274.7</v>
      </c>
      <c r="AR70" s="37">
        <v>319.8</v>
      </c>
      <c r="AS70" s="37">
        <v>369.6</v>
      </c>
      <c r="AT70" s="37">
        <v>358.4</v>
      </c>
      <c r="AU70" s="37">
        <v>358.4</v>
      </c>
      <c r="AV70" s="37">
        <v>380.8</v>
      </c>
      <c r="AW70" s="37">
        <v>423.1</v>
      </c>
      <c r="AX70" s="37">
        <v>466.8</v>
      </c>
      <c r="AY70" s="37">
        <v>550.29999999999995</v>
      </c>
      <c r="AZ70" s="37">
        <v>623.20000000000005</v>
      </c>
      <c r="BA70" s="37">
        <v>699.5</v>
      </c>
      <c r="BB70" s="37">
        <v>777.3</v>
      </c>
      <c r="BC70" s="37">
        <v>709.7</v>
      </c>
      <c r="BD70" s="37">
        <v>734.8</v>
      </c>
      <c r="BE70" s="37">
        <v>673.6</v>
      </c>
      <c r="BF70" s="37">
        <v>614.5</v>
      </c>
      <c r="BG70" s="37">
        <v>714.3</v>
      </c>
      <c r="BH70" s="37">
        <v>812</v>
      </c>
      <c r="BI70" s="37">
        <v>1041.9000000000001</v>
      </c>
      <c r="BJ70" s="37">
        <v>1216.5999999999999</v>
      </c>
      <c r="BK70" s="37">
        <v>1351.5</v>
      </c>
      <c r="BL70" s="37">
        <v>1159.8</v>
      </c>
      <c r="BM70" s="37">
        <v>841.8</v>
      </c>
      <c r="BN70" s="37">
        <v>989.5</v>
      </c>
      <c r="BO70" s="37">
        <v>1300.9000000000001</v>
      </c>
      <c r="BP70" s="37">
        <v>1388.1</v>
      </c>
    </row>
    <row r="72" spans="1:68" x14ac:dyDescent="0.35">
      <c r="A72" s="1" t="s">
        <v>438</v>
      </c>
      <c r="B72" s="7"/>
      <c r="C72" s="53"/>
      <c r="D72" s="54"/>
      <c r="E72" s="55"/>
      <c r="F72" s="54"/>
      <c r="G72" s="54"/>
      <c r="H72" s="54"/>
      <c r="I72" s="54"/>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3"/>
      <c r="BP72" s="3"/>
    </row>
    <row r="73" spans="1:68" x14ac:dyDescent="0.35">
      <c r="A73" s="4" t="s">
        <v>110</v>
      </c>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row>
    <row r="74" spans="1:68" x14ac:dyDescent="0.35">
      <c r="A74" s="5" t="s">
        <v>0</v>
      </c>
      <c r="B74" s="57" t="s">
        <v>1</v>
      </c>
      <c r="C74" s="58" t="s">
        <v>2</v>
      </c>
      <c r="D74" s="59">
        <v>1947</v>
      </c>
      <c r="E74" s="59">
        <v>1948</v>
      </c>
      <c r="F74" s="59">
        <v>1949</v>
      </c>
      <c r="G74" s="59">
        <v>1950</v>
      </c>
      <c r="H74" s="59">
        <v>1951</v>
      </c>
      <c r="I74" s="59">
        <v>1952</v>
      </c>
      <c r="J74" s="59">
        <v>1953</v>
      </c>
      <c r="K74" s="59">
        <v>1954</v>
      </c>
      <c r="L74" s="59">
        <v>1955</v>
      </c>
      <c r="M74" s="59">
        <v>1956</v>
      </c>
      <c r="N74" s="59">
        <v>1957</v>
      </c>
      <c r="O74" s="59">
        <v>1958</v>
      </c>
      <c r="P74" s="59">
        <v>1959</v>
      </c>
      <c r="Q74" s="59">
        <v>1960</v>
      </c>
      <c r="R74" s="59">
        <v>1961</v>
      </c>
      <c r="S74" s="59">
        <v>1962</v>
      </c>
      <c r="T74" s="59">
        <v>1963</v>
      </c>
      <c r="U74" s="59">
        <v>1964</v>
      </c>
      <c r="V74" s="59">
        <v>1965</v>
      </c>
      <c r="W74" s="59">
        <v>1966</v>
      </c>
      <c r="X74" s="59">
        <v>1967</v>
      </c>
      <c r="Y74" s="59">
        <v>1968</v>
      </c>
      <c r="Z74" s="59">
        <v>1969</v>
      </c>
      <c r="AA74" s="59">
        <v>1970</v>
      </c>
      <c r="AB74" s="59">
        <v>1971</v>
      </c>
      <c r="AC74" s="59">
        <v>1972</v>
      </c>
      <c r="AD74" s="59">
        <v>1973</v>
      </c>
      <c r="AE74" s="59">
        <v>1974</v>
      </c>
      <c r="AF74" s="59">
        <v>1975</v>
      </c>
      <c r="AG74" s="59">
        <v>1976</v>
      </c>
      <c r="AH74" s="59">
        <v>1977</v>
      </c>
      <c r="AI74" s="59">
        <v>1978</v>
      </c>
      <c r="AJ74" s="59">
        <v>1979</v>
      </c>
      <c r="AK74" s="59">
        <v>1980</v>
      </c>
      <c r="AL74" s="59">
        <v>1981</v>
      </c>
      <c r="AM74" s="59">
        <v>1982</v>
      </c>
      <c r="AN74" s="59">
        <v>1983</v>
      </c>
      <c r="AO74" s="59">
        <v>1984</v>
      </c>
      <c r="AP74" s="59">
        <v>1985</v>
      </c>
      <c r="AQ74" s="59">
        <v>1986</v>
      </c>
      <c r="AR74" s="59">
        <v>1987</v>
      </c>
      <c r="AS74" s="59">
        <v>1988</v>
      </c>
      <c r="AT74" s="59">
        <v>1989</v>
      </c>
      <c r="AU74" s="59">
        <v>1990</v>
      </c>
      <c r="AV74" s="59">
        <v>1991</v>
      </c>
      <c r="AW74" s="59">
        <v>1992</v>
      </c>
      <c r="AX74" s="59">
        <v>1993</v>
      </c>
      <c r="AY74" s="59">
        <v>1994</v>
      </c>
      <c r="AZ74" s="59">
        <v>1995</v>
      </c>
      <c r="BA74" s="59">
        <v>1996</v>
      </c>
      <c r="BB74" s="59">
        <v>1997</v>
      </c>
      <c r="BC74" s="59">
        <v>1998</v>
      </c>
      <c r="BD74" s="59">
        <v>1999</v>
      </c>
      <c r="BE74" s="59">
        <v>2000</v>
      </c>
      <c r="BF74" s="59">
        <v>2001</v>
      </c>
      <c r="BG74" s="59">
        <v>2002</v>
      </c>
      <c r="BH74" s="59">
        <v>2003</v>
      </c>
      <c r="BI74" s="59">
        <v>2004</v>
      </c>
      <c r="BJ74" s="59">
        <v>2005</v>
      </c>
      <c r="BK74" s="59">
        <v>2006</v>
      </c>
      <c r="BL74" s="59">
        <v>2007</v>
      </c>
      <c r="BM74" s="59">
        <v>2008</v>
      </c>
      <c r="BN74" s="59">
        <v>2009</v>
      </c>
      <c r="BO74" s="59">
        <v>2010</v>
      </c>
      <c r="BP74" s="59">
        <v>2011</v>
      </c>
    </row>
    <row r="75" spans="1:68" x14ac:dyDescent="0.35">
      <c r="A75" s="29" t="s">
        <v>178</v>
      </c>
      <c r="B75" s="57"/>
      <c r="C75" s="58"/>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row>
    <row r="76" spans="1:68" s="62" customFormat="1" ht="24" x14ac:dyDescent="0.35">
      <c r="A76" s="9" t="s">
        <v>111</v>
      </c>
      <c r="B76" s="60" t="s">
        <v>112</v>
      </c>
      <c r="C76" s="61" t="s">
        <v>113</v>
      </c>
      <c r="D76" s="56">
        <v>34.5</v>
      </c>
      <c r="E76" s="61">
        <v>39.200000000000003</v>
      </c>
      <c r="F76" s="61">
        <v>34.6</v>
      </c>
      <c r="G76" s="61">
        <v>37.5</v>
      </c>
      <c r="H76" s="61">
        <v>42.7</v>
      </c>
      <c r="I76" s="61">
        <v>43.1</v>
      </c>
      <c r="J76" s="61">
        <v>42</v>
      </c>
      <c r="K76" s="61">
        <v>42.3</v>
      </c>
      <c r="L76" s="61">
        <v>44.3</v>
      </c>
      <c r="M76" s="61">
        <v>45.9</v>
      </c>
      <c r="N76" s="61">
        <v>47.8</v>
      </c>
      <c r="O76" s="61">
        <v>50.2</v>
      </c>
      <c r="P76" s="61">
        <v>50.3</v>
      </c>
      <c r="Q76" s="61">
        <v>50.7</v>
      </c>
      <c r="R76" s="61">
        <v>53.2</v>
      </c>
      <c r="S76" s="61">
        <v>55.3</v>
      </c>
      <c r="T76" s="61">
        <v>56.5</v>
      </c>
      <c r="U76" s="61">
        <v>59.4</v>
      </c>
      <c r="V76" s="61">
        <v>63.9</v>
      </c>
      <c r="W76" s="61">
        <v>68.2</v>
      </c>
      <c r="X76" s="61">
        <v>69.8</v>
      </c>
      <c r="Y76" s="61">
        <v>74.2</v>
      </c>
      <c r="Z76" s="61">
        <v>77.5</v>
      </c>
      <c r="AA76" s="61">
        <v>78.5</v>
      </c>
      <c r="AB76" s="61">
        <v>84.7</v>
      </c>
      <c r="AC76" s="61">
        <v>96</v>
      </c>
      <c r="AD76" s="61">
        <v>113.6</v>
      </c>
      <c r="AE76" s="61">
        <v>113.5</v>
      </c>
      <c r="AF76" s="61">
        <v>119.6</v>
      </c>
      <c r="AG76" s="61">
        <v>132.19999999999999</v>
      </c>
      <c r="AH76" s="61">
        <v>146</v>
      </c>
      <c r="AI76" s="61">
        <v>167.5</v>
      </c>
      <c r="AJ76" s="61">
        <v>181.1</v>
      </c>
      <c r="AK76" s="61">
        <v>173.5</v>
      </c>
      <c r="AL76" s="61">
        <v>181.6</v>
      </c>
      <c r="AM76" s="61">
        <v>174.8</v>
      </c>
      <c r="AN76" s="61">
        <v>190.7</v>
      </c>
      <c r="AO76" s="61">
        <v>233.1</v>
      </c>
      <c r="AP76" s="61">
        <v>246.1</v>
      </c>
      <c r="AQ76" s="61">
        <v>262.60000000000002</v>
      </c>
      <c r="AR76" s="61">
        <v>294.2</v>
      </c>
      <c r="AS76" s="61">
        <v>334.8</v>
      </c>
      <c r="AT76" s="61">
        <v>351.6</v>
      </c>
      <c r="AU76" s="61">
        <v>365.1</v>
      </c>
      <c r="AV76" s="61">
        <v>367.3</v>
      </c>
      <c r="AW76" s="61">
        <v>414.9</v>
      </c>
      <c r="AX76" s="61">
        <v>449.6</v>
      </c>
      <c r="AY76" s="61">
        <v>485.1</v>
      </c>
      <c r="AZ76" s="61">
        <v>516</v>
      </c>
      <c r="BA76" s="61">
        <v>583.70000000000005</v>
      </c>
      <c r="BB76" s="61">
        <v>628.20000000000005</v>
      </c>
      <c r="BC76" s="61">
        <v>687.5</v>
      </c>
      <c r="BD76" s="61">
        <v>746.8</v>
      </c>
      <c r="BE76" s="61">
        <v>817.5</v>
      </c>
      <c r="BF76" s="61">
        <v>870.7</v>
      </c>
      <c r="BG76" s="61">
        <v>890.3</v>
      </c>
      <c r="BH76" s="61">
        <v>930.6</v>
      </c>
      <c r="BI76" s="61">
        <v>1033.8</v>
      </c>
      <c r="BJ76" s="61">
        <v>1069.8</v>
      </c>
      <c r="BK76" s="61">
        <v>1133</v>
      </c>
      <c r="BL76" s="61">
        <v>1090.4000000000001</v>
      </c>
      <c r="BM76" s="61">
        <v>1097.9000000000001</v>
      </c>
      <c r="BN76" s="61">
        <v>979.4</v>
      </c>
      <c r="BO76" s="61">
        <v>1103.4000000000001</v>
      </c>
      <c r="BP76" s="61">
        <v>1157.3</v>
      </c>
    </row>
    <row r="77" spans="1:68" s="62" customFormat="1" ht="24" x14ac:dyDescent="0.35">
      <c r="A77" s="9" t="s">
        <v>114</v>
      </c>
      <c r="B77" s="9" t="s">
        <v>513</v>
      </c>
      <c r="C77" s="61" t="s">
        <v>129</v>
      </c>
      <c r="D77" s="266">
        <v>22.99199999999999</v>
      </c>
      <c r="E77" s="63">
        <v>24.855999999999995</v>
      </c>
      <c r="F77" s="63">
        <v>24.267000000000024</v>
      </c>
      <c r="G77" s="63">
        <v>26.019999999999996</v>
      </c>
      <c r="H77" s="63">
        <v>29.114000000000004</v>
      </c>
      <c r="I77" s="63">
        <v>30.941000000000003</v>
      </c>
      <c r="J77" s="63">
        <v>32.340000000000003</v>
      </c>
      <c r="K77" s="63">
        <v>32.158000000000015</v>
      </c>
      <c r="L77" s="63">
        <v>33.452000000000027</v>
      </c>
      <c r="M77" s="63">
        <v>35.142000000000024</v>
      </c>
      <c r="N77" s="63">
        <v>36.247000000000043</v>
      </c>
      <c r="O77" s="63">
        <v>36.468000000000075</v>
      </c>
      <c r="P77" s="63">
        <v>38.330999999999989</v>
      </c>
      <c r="Q77" s="63">
        <v>38.266999999999996</v>
      </c>
      <c r="R77" s="63">
        <v>37.795999999999992</v>
      </c>
      <c r="S77" s="63">
        <v>38.735999999999933</v>
      </c>
      <c r="T77" s="63">
        <v>39.779999999999973</v>
      </c>
      <c r="U77" s="63">
        <v>41.894999999999982</v>
      </c>
      <c r="V77" s="63">
        <v>43.19700000000006</v>
      </c>
      <c r="W77" s="63">
        <v>45.80600000000004</v>
      </c>
      <c r="X77" s="63">
        <v>46.762</v>
      </c>
      <c r="Y77" s="63">
        <v>48.750999999999976</v>
      </c>
      <c r="Z77" s="63">
        <v>50.763000000000034</v>
      </c>
      <c r="AA77" s="63">
        <v>51.98900000000009</v>
      </c>
      <c r="AB77" s="63">
        <v>52.560999999999979</v>
      </c>
      <c r="AC77" s="63">
        <v>55.01400000000001</v>
      </c>
      <c r="AD77" s="63">
        <v>61.5150000000001</v>
      </c>
      <c r="AE77" s="63">
        <v>66.059999999999832</v>
      </c>
      <c r="AF77" s="63">
        <v>69.77800000000002</v>
      </c>
      <c r="AG77" s="63">
        <v>75.999000000000024</v>
      </c>
      <c r="AH77" s="63">
        <v>81.667999999999893</v>
      </c>
      <c r="AI77" s="63">
        <v>90.294999999999959</v>
      </c>
      <c r="AJ77" s="63">
        <v>100.81399999999985</v>
      </c>
      <c r="AK77" s="63">
        <v>108.61400000000003</v>
      </c>
      <c r="AL77" s="63">
        <v>115.89499999999998</v>
      </c>
      <c r="AM77" s="63">
        <v>121.58400000000006</v>
      </c>
      <c r="AN77" s="63">
        <v>127.84600000000023</v>
      </c>
      <c r="AO77" s="63">
        <v>140.58399999999983</v>
      </c>
      <c r="AP77" s="63">
        <v>151.16999999999962</v>
      </c>
      <c r="AQ77" s="63">
        <v>158.79700000000003</v>
      </c>
      <c r="AR77" s="63">
        <v>165.66100000000029</v>
      </c>
      <c r="AS77" s="63">
        <v>185.35899999999992</v>
      </c>
      <c r="AT77" s="63">
        <v>198.63599999999951</v>
      </c>
      <c r="AU77" s="63">
        <v>212.07099999999991</v>
      </c>
      <c r="AV77" s="63">
        <v>215.57000000000062</v>
      </c>
      <c r="AW77" s="63">
        <v>226.35600000000022</v>
      </c>
      <c r="AX77" s="63">
        <v>240.10699999999997</v>
      </c>
      <c r="AY77" s="63">
        <v>253.94000000000005</v>
      </c>
      <c r="AZ77" s="63">
        <v>268.47099999999955</v>
      </c>
      <c r="BA77" s="63">
        <v>284.76400000000058</v>
      </c>
      <c r="BB77" s="63">
        <v>303.44100000000026</v>
      </c>
      <c r="BC77" s="63">
        <v>330.20300000000088</v>
      </c>
      <c r="BD77" s="63">
        <v>360.51700000000028</v>
      </c>
      <c r="BE77" s="63">
        <v>390.64699999999993</v>
      </c>
      <c r="BF77" s="63">
        <v>462.09700000000066</v>
      </c>
      <c r="BG77" s="63">
        <v>493.07700000000023</v>
      </c>
      <c r="BH77" s="63">
        <v>533.18100000000049</v>
      </c>
      <c r="BI77" s="63">
        <v>588.56500000000051</v>
      </c>
      <c r="BJ77" s="63">
        <v>642.34700000000066</v>
      </c>
      <c r="BK77" s="63">
        <v>712.54300000000057</v>
      </c>
      <c r="BL77" s="63">
        <v>781.26299999999901</v>
      </c>
      <c r="BM77" s="63">
        <v>797.96800000000167</v>
      </c>
      <c r="BN77" s="63">
        <v>761.39199999999892</v>
      </c>
      <c r="BO77" s="63">
        <v>776.88599999999951</v>
      </c>
      <c r="BP77" s="63">
        <v>811.29300000000057</v>
      </c>
    </row>
    <row r="78" spans="1:68" s="62" customFormat="1" ht="24" x14ac:dyDescent="0.35">
      <c r="A78" s="9" t="s">
        <v>115</v>
      </c>
      <c r="B78" s="60" t="s">
        <v>116</v>
      </c>
      <c r="C78" s="61" t="s">
        <v>117</v>
      </c>
      <c r="D78" s="64">
        <v>10199</v>
      </c>
      <c r="E78" s="64">
        <v>10211</v>
      </c>
      <c r="F78" s="64">
        <v>10064</v>
      </c>
      <c r="G78" s="64">
        <v>9996</v>
      </c>
      <c r="H78" s="64">
        <v>9699</v>
      </c>
      <c r="I78" s="64">
        <v>9637</v>
      </c>
      <c r="J78" s="64">
        <v>9475</v>
      </c>
      <c r="K78" s="64">
        <v>9329</v>
      </c>
      <c r="L78" s="64">
        <v>9149</v>
      </c>
      <c r="M78" s="64">
        <v>8981</v>
      </c>
      <c r="N78" s="64">
        <v>8821</v>
      </c>
      <c r="O78" s="64">
        <v>8611</v>
      </c>
      <c r="P78" s="64">
        <v>8428</v>
      </c>
      <c r="Q78" s="64">
        <v>8305</v>
      </c>
      <c r="R78" s="64">
        <v>8177</v>
      </c>
      <c r="S78" s="64">
        <v>8009</v>
      </c>
      <c r="T78" s="64">
        <v>7722</v>
      </c>
      <c r="U78" s="64">
        <v>7652</v>
      </c>
      <c r="V78" s="64">
        <v>7526</v>
      </c>
      <c r="W78" s="64">
        <v>7271</v>
      </c>
      <c r="X78" s="64">
        <v>7188</v>
      </c>
      <c r="Y78" s="64">
        <v>7115</v>
      </c>
      <c r="Z78" s="64">
        <v>7199</v>
      </c>
      <c r="AA78" s="64">
        <v>7097</v>
      </c>
      <c r="AB78" s="64">
        <v>7142</v>
      </c>
      <c r="AC78" s="64">
        <v>7234</v>
      </c>
      <c r="AD78" s="64">
        <v>7316</v>
      </c>
      <c r="AE78" s="64">
        <v>7527</v>
      </c>
      <c r="AF78" s="64">
        <v>7506</v>
      </c>
      <c r="AG78" s="64">
        <v>7495</v>
      </c>
      <c r="AH78" s="64">
        <v>7758</v>
      </c>
      <c r="AI78" s="64">
        <v>8118</v>
      </c>
      <c r="AJ78" s="64">
        <v>8416</v>
      </c>
      <c r="AK78" s="64">
        <v>8658</v>
      </c>
      <c r="AL78" s="64">
        <v>8753</v>
      </c>
      <c r="AM78" s="64">
        <v>8923</v>
      </c>
      <c r="AN78" s="64">
        <v>9213</v>
      </c>
      <c r="AO78" s="64">
        <v>9412</v>
      </c>
      <c r="AP78" s="64">
        <v>9327</v>
      </c>
      <c r="AQ78" s="64">
        <v>9369</v>
      </c>
      <c r="AR78" s="64">
        <v>9665</v>
      </c>
      <c r="AS78" s="64">
        <v>9956</v>
      </c>
      <c r="AT78" s="64">
        <v>10070</v>
      </c>
      <c r="AU78" s="64">
        <v>10132</v>
      </c>
      <c r="AV78" s="64">
        <v>10373</v>
      </c>
      <c r="AW78" s="64">
        <v>10040</v>
      </c>
      <c r="AX78" s="64">
        <v>10505</v>
      </c>
      <c r="AY78" s="64">
        <v>10564</v>
      </c>
      <c r="AZ78" s="64">
        <v>10514</v>
      </c>
      <c r="BA78" s="64">
        <v>10524</v>
      </c>
      <c r="BB78" s="64">
        <v>10544</v>
      </c>
      <c r="BC78" s="64">
        <v>10341</v>
      </c>
      <c r="BD78" s="64">
        <v>10121</v>
      </c>
      <c r="BE78" s="64">
        <v>10233</v>
      </c>
      <c r="BF78" s="64">
        <v>10133</v>
      </c>
      <c r="BG78" s="64">
        <v>9963</v>
      </c>
      <c r="BH78" s="64">
        <v>10297</v>
      </c>
      <c r="BI78" s="64">
        <v>10429</v>
      </c>
      <c r="BJ78" s="64">
        <v>10453</v>
      </c>
      <c r="BK78" s="64">
        <v>10589</v>
      </c>
      <c r="BL78" s="64">
        <v>10419</v>
      </c>
      <c r="BM78" s="64">
        <v>10063</v>
      </c>
      <c r="BN78" s="64">
        <v>9829</v>
      </c>
      <c r="BO78" s="64">
        <v>9681</v>
      </c>
      <c r="BP78" s="64">
        <v>9449</v>
      </c>
    </row>
    <row r="79" spans="1:68" s="62" customFormat="1" ht="24" x14ac:dyDescent="0.35">
      <c r="A79" s="9" t="s">
        <v>118</v>
      </c>
      <c r="B79" s="60" t="s">
        <v>119</v>
      </c>
      <c r="C79" s="61" t="s">
        <v>514</v>
      </c>
      <c r="D79" s="65">
        <v>2734.8131998810823</v>
      </c>
      <c r="E79" s="65">
        <v>2944.1591162362515</v>
      </c>
      <c r="F79" s="65">
        <v>3011.0670338833161</v>
      </c>
      <c r="G79" s="65">
        <v>3195.1628993406166</v>
      </c>
      <c r="H79" s="65">
        <v>3478.9613387189843</v>
      </c>
      <c r="I79" s="65">
        <v>3688.9789006361843</v>
      </c>
      <c r="J79" s="65">
        <v>3902.7911453320503</v>
      </c>
      <c r="K79" s="65">
        <v>4010.5681237515678</v>
      </c>
      <c r="L79" s="65">
        <v>4218.4042720984207</v>
      </c>
      <c r="M79" s="65">
        <v>4460.3661879179917</v>
      </c>
      <c r="N79" s="65">
        <v>4662.8693640609317</v>
      </c>
      <c r="O79" s="65">
        <v>4823.4478053218099</v>
      </c>
      <c r="P79" s="65">
        <v>5096.4620301994928</v>
      </c>
      <c r="Q79" s="65">
        <v>5271.4790794525306</v>
      </c>
      <c r="R79" s="65">
        <v>5439.2275487165998</v>
      </c>
      <c r="S79" s="65">
        <v>5684.8333119356357</v>
      </c>
      <c r="T79" s="65">
        <v>5896.1587167581265</v>
      </c>
      <c r="U79" s="65">
        <v>6190.9087147231648</v>
      </c>
      <c r="V79" s="65">
        <v>6408.6177440502197</v>
      </c>
      <c r="W79" s="65">
        <v>6742.1249029227365</v>
      </c>
      <c r="X79" s="65">
        <v>7016.0737764115484</v>
      </c>
      <c r="Y79" s="65">
        <v>7516.4293834244572</v>
      </c>
      <c r="Z79" s="65">
        <v>8051.9079685746347</v>
      </c>
      <c r="AA79" s="65">
        <v>8575.5914700993726</v>
      </c>
      <c r="AB79" s="65">
        <v>9144.0237697043012</v>
      </c>
      <c r="AC79" s="65">
        <v>9770.2781895273874</v>
      </c>
      <c r="AD79" s="65">
        <v>10446.78938076244</v>
      </c>
      <c r="AE79" s="65">
        <v>11309.265381824047</v>
      </c>
      <c r="AF79" s="65">
        <v>12302.350801675093</v>
      </c>
      <c r="AG79" s="65">
        <v>13328.692017043169</v>
      </c>
      <c r="AH79" s="65">
        <v>14353.17276516906</v>
      </c>
      <c r="AI79" s="65">
        <v>15504.676715646932</v>
      </c>
      <c r="AJ79" s="65">
        <v>16870.94689519528</v>
      </c>
      <c r="AK79" s="65">
        <v>18551.565714929959</v>
      </c>
      <c r="AL79" s="65">
        <v>20228.07139577913</v>
      </c>
      <c r="AM79" s="65">
        <v>21865.39289095447</v>
      </c>
      <c r="AN79" s="65">
        <v>22943.665975044765</v>
      </c>
      <c r="AO79" s="65">
        <v>23992.960395507551</v>
      </c>
      <c r="AP79" s="65">
        <v>25051.454811868753</v>
      </c>
      <c r="AQ79" s="65">
        <v>26145.202978126967</v>
      </c>
      <c r="AR79" s="65">
        <v>27187.430582421286</v>
      </c>
      <c r="AS79" s="65">
        <v>28566.181012244306</v>
      </c>
      <c r="AT79" s="65">
        <v>29462.797636597359</v>
      </c>
      <c r="AU79" s="65">
        <v>30902.724235415062</v>
      </c>
      <c r="AV79" s="65">
        <v>32313.300738731668</v>
      </c>
      <c r="AW79" s="65">
        <v>34127.186839793954</v>
      </c>
      <c r="AX79" s="65">
        <v>35033.352688421786</v>
      </c>
      <c r="AY79" s="65">
        <v>35902.41735002643</v>
      </c>
      <c r="AZ79" s="65">
        <v>36687.894341103005</v>
      </c>
      <c r="BA79" s="65">
        <v>37681.549426315956</v>
      </c>
      <c r="BB79" s="65">
        <v>39164.190693100056</v>
      </c>
      <c r="BC79" s="65">
        <v>41314.997285286256</v>
      </c>
      <c r="BD79" s="65">
        <v>43114.701986754968</v>
      </c>
      <c r="BE79" s="65">
        <v>45772.43654286892</v>
      </c>
      <c r="BF79" s="65">
        <v>47025.970913344005</v>
      </c>
      <c r="BG79" s="65">
        <v>48345.155229314929</v>
      </c>
      <c r="BH79" s="65">
        <v>50538.674655153845</v>
      </c>
      <c r="BI79" s="65">
        <v>52347.316053349852</v>
      </c>
      <c r="BJ79" s="65">
        <v>54139.364604251125</v>
      </c>
      <c r="BK79" s="65">
        <v>56256.745221748002</v>
      </c>
      <c r="BL79" s="65">
        <v>58413.320238280998</v>
      </c>
      <c r="BM79" s="65">
        <v>60165.865940922173</v>
      </c>
      <c r="BN79" s="65">
        <v>60920.857419062086</v>
      </c>
      <c r="BO79" s="65">
        <v>62664.343797840833</v>
      </c>
      <c r="BP79" s="65">
        <v>64560.325041265009</v>
      </c>
    </row>
    <row r="80" spans="1:68" s="62" customFormat="1" ht="36.5" x14ac:dyDescent="0.35">
      <c r="A80" s="92" t="s">
        <v>120</v>
      </c>
      <c r="B80" s="212" t="s">
        <v>121</v>
      </c>
      <c r="C80" s="61" t="s">
        <v>122</v>
      </c>
      <c r="D80" s="63">
        <v>27.892359825587157</v>
      </c>
      <c r="E80" s="63">
        <v>30.062808735888364</v>
      </c>
      <c r="F80" s="63">
        <v>30.303378629001692</v>
      </c>
      <c r="G80" s="63">
        <v>31.938848341808804</v>
      </c>
      <c r="H80" s="63">
        <v>33.742446024235427</v>
      </c>
      <c r="I80" s="63">
        <v>35.550689665430909</v>
      </c>
      <c r="J80" s="63">
        <v>36.978946102021183</v>
      </c>
      <c r="K80" s="63">
        <v>37.414590026478372</v>
      </c>
      <c r="L80" s="63">
        <v>38.594180685428448</v>
      </c>
      <c r="M80" s="63">
        <v>40.058548733691481</v>
      </c>
      <c r="N80" s="63">
        <v>41.131170660381478</v>
      </c>
      <c r="O80" s="63">
        <v>41.534709051626109</v>
      </c>
      <c r="P80" s="63">
        <v>42.95298199052133</v>
      </c>
      <c r="Q80" s="63">
        <v>43.779633754853265</v>
      </c>
      <c r="R80" s="63">
        <v>44.476563665855636</v>
      </c>
      <c r="S80" s="63">
        <v>45.529829995292509</v>
      </c>
      <c r="T80" s="63">
        <v>45.530137610806257</v>
      </c>
      <c r="U80" s="63">
        <v>47.372833485061662</v>
      </c>
      <c r="V80" s="63">
        <v>48.231257141721954</v>
      </c>
      <c r="W80" s="63">
        <v>49.021990169151216</v>
      </c>
      <c r="X80" s="63">
        <v>50.431538304846214</v>
      </c>
      <c r="Y80" s="63">
        <v>53.479395063065013</v>
      </c>
      <c r="Z80" s="63">
        <v>57.965685465768793</v>
      </c>
      <c r="AA80" s="63">
        <v>60.86097266329525</v>
      </c>
      <c r="AB80" s="63">
        <v>65.306617763228118</v>
      </c>
      <c r="AC80" s="63">
        <v>70.678192423041125</v>
      </c>
      <c r="AD80" s="63">
        <v>76.428711109658025</v>
      </c>
      <c r="AE80" s="63">
        <v>85.124840528989594</v>
      </c>
      <c r="AF80" s="63">
        <v>92.34144511737324</v>
      </c>
      <c r="AG80" s="63">
        <v>99.898546667738557</v>
      </c>
      <c r="AH80" s="63">
        <v>111.35191431218156</v>
      </c>
      <c r="AI80" s="63">
        <v>125.8669655776218</v>
      </c>
      <c r="AJ80" s="63">
        <v>141.98588906996349</v>
      </c>
      <c r="AK80" s="63">
        <v>160.61945595986359</v>
      </c>
      <c r="AL80" s="63">
        <v>177.05630892725475</v>
      </c>
      <c r="AM80" s="63">
        <v>195.10490076598674</v>
      </c>
      <c r="AN80" s="63">
        <v>211.37999462808745</v>
      </c>
      <c r="AO80" s="63">
        <v>225.82174324251704</v>
      </c>
      <c r="AP80" s="63">
        <v>233.65491903029985</v>
      </c>
      <c r="AQ80" s="63">
        <v>244.95440670207154</v>
      </c>
      <c r="AR80" s="63">
        <v>262.76651657910173</v>
      </c>
      <c r="AS80" s="63">
        <v>284.40489815790431</v>
      </c>
      <c r="AT80" s="63">
        <v>296.69037220053542</v>
      </c>
      <c r="AU80" s="63">
        <v>313.10640195322543</v>
      </c>
      <c r="AV80" s="63">
        <v>335.18586856286356</v>
      </c>
      <c r="AW80" s="63">
        <v>342.63695587153131</v>
      </c>
      <c r="AX80" s="63">
        <v>368.02536999187089</v>
      </c>
      <c r="AY80" s="63">
        <v>379.27313688567921</v>
      </c>
      <c r="AZ80" s="63">
        <v>385.73652110235696</v>
      </c>
      <c r="BA80" s="63">
        <v>396.56062616254911</v>
      </c>
      <c r="BB80" s="63">
        <v>412.94722666804699</v>
      </c>
      <c r="BC80" s="63">
        <v>427.2383869271452</v>
      </c>
      <c r="BD80" s="63">
        <v>436.36389880794707</v>
      </c>
      <c r="BE80" s="63">
        <v>468.38934314317765</v>
      </c>
      <c r="BF80" s="63">
        <v>476.51416326491483</v>
      </c>
      <c r="BG80" s="63">
        <v>481.6627815496646</v>
      </c>
      <c r="BH80" s="63">
        <v>520.39673292411919</v>
      </c>
      <c r="BI80" s="63">
        <v>545.93015912038561</v>
      </c>
      <c r="BJ80" s="63">
        <v>565.91877820823709</v>
      </c>
      <c r="BK80" s="63">
        <v>595.70267515308967</v>
      </c>
      <c r="BL80" s="63">
        <v>608.60838356264969</v>
      </c>
      <c r="BM80" s="63">
        <v>605.44910896349984</v>
      </c>
      <c r="BN80" s="63">
        <v>598.79110757196133</v>
      </c>
      <c r="BO80" s="63">
        <v>606.65351230689703</v>
      </c>
      <c r="BP80" s="63">
        <v>610.03051131491304</v>
      </c>
    </row>
    <row r="81" spans="1:68" s="62" customFormat="1" x14ac:dyDescent="0.35">
      <c r="A81" s="11" t="s">
        <v>123</v>
      </c>
      <c r="B81" s="60" t="s">
        <v>124</v>
      </c>
      <c r="C81" s="61" t="s">
        <v>125</v>
      </c>
      <c r="D81" s="63">
        <v>6.6076401744128432</v>
      </c>
      <c r="E81" s="63">
        <v>9.1371912641116388</v>
      </c>
      <c r="F81" s="63">
        <v>4.2966213709983094</v>
      </c>
      <c r="G81" s="63">
        <v>5.5611516581911964</v>
      </c>
      <c r="H81" s="63">
        <v>8.9575539757645757</v>
      </c>
      <c r="I81" s="63">
        <v>7.5493103345690926</v>
      </c>
      <c r="J81" s="63">
        <v>5.0210538979788168</v>
      </c>
      <c r="K81" s="63">
        <v>4.8854099735216252</v>
      </c>
      <c r="L81" s="63">
        <v>5.7058193145715492</v>
      </c>
      <c r="M81" s="63">
        <v>5.8414512663085176</v>
      </c>
      <c r="N81" s="63">
        <v>6.6688293396185188</v>
      </c>
      <c r="O81" s="63">
        <v>8.6652909483738938</v>
      </c>
      <c r="P81" s="63">
        <v>7.347018009478667</v>
      </c>
      <c r="Q81" s="63">
        <v>6.920366245146738</v>
      </c>
      <c r="R81" s="63">
        <v>8.7234363341443668</v>
      </c>
      <c r="S81" s="63">
        <v>9.770170004707488</v>
      </c>
      <c r="T81" s="63">
        <v>10.969862389193743</v>
      </c>
      <c r="U81" s="63">
        <v>12.027166514938337</v>
      </c>
      <c r="V81" s="63">
        <v>15.668742858278044</v>
      </c>
      <c r="W81" s="63">
        <v>19.178009830848787</v>
      </c>
      <c r="X81" s="63">
        <v>19.368461695153783</v>
      </c>
      <c r="Y81" s="63">
        <v>20.72060493693499</v>
      </c>
      <c r="Z81" s="63">
        <v>19.534314534231207</v>
      </c>
      <c r="AA81" s="63">
        <v>17.63902733670475</v>
      </c>
      <c r="AB81" s="63">
        <v>19.393382236771885</v>
      </c>
      <c r="AC81" s="63">
        <v>25.321807576958875</v>
      </c>
      <c r="AD81" s="63">
        <v>37.17128889034197</v>
      </c>
      <c r="AE81" s="63">
        <v>28.375159471010406</v>
      </c>
      <c r="AF81" s="63">
        <v>27.258554882626754</v>
      </c>
      <c r="AG81" s="63">
        <v>32.301453332261431</v>
      </c>
      <c r="AH81" s="63">
        <v>34.648085687818437</v>
      </c>
      <c r="AI81" s="63">
        <v>41.633034422378202</v>
      </c>
      <c r="AJ81" s="63">
        <v>39.114110930036503</v>
      </c>
      <c r="AK81" s="63">
        <v>12.880544040136414</v>
      </c>
      <c r="AL81" s="63">
        <v>4.5436910727452471</v>
      </c>
      <c r="AM81" s="63">
        <v>-20.30490076598673</v>
      </c>
      <c r="AN81" s="63">
        <v>-20.679994628087456</v>
      </c>
      <c r="AO81" s="63">
        <v>7.27825675748295</v>
      </c>
      <c r="AP81" s="63">
        <v>12.445080969700143</v>
      </c>
      <c r="AQ81" s="63">
        <v>17.645593297928485</v>
      </c>
      <c r="AR81" s="63">
        <v>31.433483420898256</v>
      </c>
      <c r="AS81" s="63">
        <v>50.395101842095698</v>
      </c>
      <c r="AT81" s="63">
        <v>54.909627799464602</v>
      </c>
      <c r="AU81" s="63">
        <v>51.993598046774594</v>
      </c>
      <c r="AV81" s="63">
        <v>32.11413143713645</v>
      </c>
      <c r="AW81" s="63">
        <v>72.263044128468664</v>
      </c>
      <c r="AX81" s="63">
        <v>81.574630008129134</v>
      </c>
      <c r="AY81" s="63">
        <v>105.82686311432082</v>
      </c>
      <c r="AZ81" s="63">
        <v>130.26347889764304</v>
      </c>
      <c r="BA81" s="63">
        <v>187.13937383745093</v>
      </c>
      <c r="BB81" s="63">
        <v>215.25277333195305</v>
      </c>
      <c r="BC81" s="63">
        <v>260.2616130728548</v>
      </c>
      <c r="BD81" s="63">
        <v>310.43610119205289</v>
      </c>
      <c r="BE81" s="63">
        <v>349.11065685682235</v>
      </c>
      <c r="BF81" s="63">
        <v>394.18583673508522</v>
      </c>
      <c r="BG81" s="63">
        <v>408.63721845033535</v>
      </c>
      <c r="BH81" s="63">
        <v>410.20326707588083</v>
      </c>
      <c r="BI81" s="63">
        <v>487.86984087961434</v>
      </c>
      <c r="BJ81" s="63">
        <v>503.88122179176287</v>
      </c>
      <c r="BK81" s="63">
        <v>537.29732484691033</v>
      </c>
      <c r="BL81" s="63">
        <v>481.7916164373504</v>
      </c>
      <c r="BM81" s="63">
        <v>492.45089103650025</v>
      </c>
      <c r="BN81" s="63">
        <v>380.60889242803864</v>
      </c>
      <c r="BO81" s="63">
        <v>496.74648769310306</v>
      </c>
      <c r="BP81" s="63">
        <v>547.26948868508691</v>
      </c>
    </row>
    <row r="82" spans="1:68" s="62" customFormat="1" x14ac:dyDescent="0.35">
      <c r="A82" s="9" t="s">
        <v>126</v>
      </c>
      <c r="B82" s="60" t="s">
        <v>127</v>
      </c>
      <c r="C82" s="71" t="s">
        <v>128</v>
      </c>
      <c r="D82" s="72">
        <v>3.6488888888888886</v>
      </c>
      <c r="E82" s="72">
        <v>3.0777027027027022</v>
      </c>
      <c r="F82" s="72">
        <v>3.2173913043478257</v>
      </c>
      <c r="G82" s="72">
        <v>2.8691860465116279</v>
      </c>
      <c r="H82" s="72">
        <v>2.9309462915601019</v>
      </c>
      <c r="I82" s="72">
        <v>3.3243243243243241</v>
      </c>
      <c r="J82" s="72">
        <v>3.5924932975871315</v>
      </c>
      <c r="K82" s="72">
        <v>3.6318681318681318</v>
      </c>
      <c r="L82" s="72">
        <v>3.1030042918454934</v>
      </c>
      <c r="M82" s="72">
        <v>3.4999999999999996</v>
      </c>
      <c r="N82" s="72">
        <v>3.7415730337078652</v>
      </c>
      <c r="O82" s="72">
        <v>4.1102756892230579</v>
      </c>
      <c r="P82" s="72">
        <v>3.528375733855186</v>
      </c>
      <c r="Q82" s="72">
        <v>3.8139999999999996</v>
      </c>
      <c r="R82" s="72">
        <v>3.8428290766208253</v>
      </c>
      <c r="S82" s="72">
        <v>3.6006825938566553</v>
      </c>
      <c r="T82" s="72">
        <v>3.4634525660964228</v>
      </c>
      <c r="U82" s="72">
        <v>3.3642756680731365</v>
      </c>
      <c r="V82" s="72">
        <v>3.1772616136919312</v>
      </c>
      <c r="W82" s="72">
        <v>3.2784090909090908</v>
      </c>
      <c r="X82" s="72">
        <v>3.6112412177985944</v>
      </c>
      <c r="Y82" s="72">
        <v>3.7259825327510923</v>
      </c>
      <c r="Z82" s="72">
        <v>4.3071672354948802</v>
      </c>
      <c r="AA82" s="72">
        <v>5.3076923076923075</v>
      </c>
      <c r="AB82" s="72">
        <v>4.8219954648526073</v>
      </c>
      <c r="AC82" s="72">
        <v>4.6368989205103039</v>
      </c>
      <c r="AD82" s="72">
        <v>4.8713503649635035</v>
      </c>
      <c r="AE82" s="72">
        <v>6.012282497441146</v>
      </c>
      <c r="AF82" s="72">
        <v>5.1802864363942707</v>
      </c>
      <c r="AG82" s="72">
        <v>4.7911784975878708</v>
      </c>
      <c r="AH82" s="72">
        <v>4.5442964678633473</v>
      </c>
      <c r="AI82" s="72">
        <v>4.610429447852761</v>
      </c>
      <c r="AJ82" s="72">
        <v>5.3592029365495542</v>
      </c>
      <c r="AK82" s="72">
        <v>6.7475903614457824</v>
      </c>
      <c r="AL82" s="72">
        <v>6.4049586776859506</v>
      </c>
      <c r="AM82" s="72">
        <v>7.4742923165800113</v>
      </c>
      <c r="AN82" s="72">
        <v>6.0814056939501775</v>
      </c>
      <c r="AO82" s="72">
        <v>5.3684397163120572</v>
      </c>
      <c r="AP82" s="72">
        <v>5.5108695652173925</v>
      </c>
      <c r="AQ82" s="72">
        <v>6.2628321805606122</v>
      </c>
      <c r="AR82" s="72">
        <v>5.7535959974984365</v>
      </c>
      <c r="AS82" s="72">
        <v>5.358225108225108</v>
      </c>
      <c r="AT82" s="72">
        <v>5.8267299107142865</v>
      </c>
      <c r="AU82" s="72">
        <v>6.1400669642857144</v>
      </c>
      <c r="AV82" s="72">
        <v>5.9070378151260501</v>
      </c>
      <c r="AW82" s="72">
        <v>5.6145119357125974</v>
      </c>
      <c r="AX82" s="72">
        <v>5.3303341902313619</v>
      </c>
      <c r="AY82" s="72">
        <v>4.787933854261313</v>
      </c>
      <c r="AZ82" s="72">
        <v>4.4544287548138639</v>
      </c>
      <c r="BA82" s="72">
        <v>4.1671193709792709</v>
      </c>
      <c r="BB82" s="72">
        <v>4.0189116171362409</v>
      </c>
      <c r="BC82" s="72">
        <v>4.7862477103001266</v>
      </c>
      <c r="BD82" s="72">
        <v>4.9382144801306476</v>
      </c>
      <c r="BE82" s="72">
        <v>5.8650534441805222</v>
      </c>
      <c r="BF82" s="72">
        <v>6.4868999186330347</v>
      </c>
      <c r="BG82" s="72">
        <v>5.5728685426291475</v>
      </c>
      <c r="BH82" s="72">
        <v>5.056034482758621</v>
      </c>
      <c r="BI82" s="72">
        <v>4.0943468663019473</v>
      </c>
      <c r="BJ82" s="72">
        <v>3.6975998684859448</v>
      </c>
      <c r="BK82" s="72">
        <v>3.5097299297077318</v>
      </c>
      <c r="BL82" s="72">
        <v>4.2628901534747374</v>
      </c>
      <c r="BM82" s="72">
        <v>5.9704205274411972</v>
      </c>
      <c r="BN82" s="72">
        <v>4.7595755432036384</v>
      </c>
      <c r="BO82" s="72">
        <v>3.6958259666384805</v>
      </c>
      <c r="BP82" s="72">
        <v>3.6436856134284277</v>
      </c>
    </row>
    <row r="83" spans="1:68" s="62" customFormat="1" ht="24" x14ac:dyDescent="0.35">
      <c r="A83" s="9" t="s">
        <v>114</v>
      </c>
      <c r="B83" s="9" t="s">
        <v>223</v>
      </c>
      <c r="C83" s="60" t="s">
        <v>129</v>
      </c>
      <c r="D83" s="73">
        <f>D61-D124</f>
        <v>22.99199999999999</v>
      </c>
      <c r="E83" s="73">
        <f>E61-E124</f>
        <v>24.855999999999995</v>
      </c>
      <c r="F83" s="73">
        <f t="shared" ref="F83:BP83" si="0">F61-F124</f>
        <v>24.267000000000024</v>
      </c>
      <c r="G83" s="73">
        <f t="shared" si="0"/>
        <v>26.019999999999996</v>
      </c>
      <c r="H83" s="73">
        <f t="shared" si="0"/>
        <v>29.114000000000004</v>
      </c>
      <c r="I83" s="73">
        <f t="shared" si="0"/>
        <v>30.941000000000003</v>
      </c>
      <c r="J83" s="73">
        <f t="shared" si="0"/>
        <v>32.340000000000003</v>
      </c>
      <c r="K83" s="73">
        <f t="shared" si="0"/>
        <v>32.158000000000015</v>
      </c>
      <c r="L83" s="73">
        <f t="shared" si="0"/>
        <v>33.452000000000027</v>
      </c>
      <c r="M83" s="73">
        <f t="shared" si="0"/>
        <v>35.142000000000024</v>
      </c>
      <c r="N83" s="73">
        <f t="shared" si="0"/>
        <v>36.247000000000043</v>
      </c>
      <c r="O83" s="73">
        <f t="shared" si="0"/>
        <v>36.468000000000075</v>
      </c>
      <c r="P83" s="73">
        <f t="shared" si="0"/>
        <v>38.330999999999989</v>
      </c>
      <c r="Q83" s="73">
        <f t="shared" si="0"/>
        <v>38.266999999999996</v>
      </c>
      <c r="R83" s="73">
        <f t="shared" si="0"/>
        <v>37.795999999999992</v>
      </c>
      <c r="S83" s="73">
        <f t="shared" si="0"/>
        <v>38.735999999999933</v>
      </c>
      <c r="T83" s="73">
        <f t="shared" si="0"/>
        <v>39.779999999999973</v>
      </c>
      <c r="U83" s="73">
        <f t="shared" si="0"/>
        <v>41.894999999999982</v>
      </c>
      <c r="V83" s="73">
        <f t="shared" si="0"/>
        <v>43.19700000000006</v>
      </c>
      <c r="W83" s="73">
        <f t="shared" si="0"/>
        <v>45.80600000000004</v>
      </c>
      <c r="X83" s="73">
        <f t="shared" si="0"/>
        <v>46.762</v>
      </c>
      <c r="Y83" s="73">
        <f t="shared" si="0"/>
        <v>48.750999999999976</v>
      </c>
      <c r="Z83" s="73">
        <f t="shared" si="0"/>
        <v>50.763000000000034</v>
      </c>
      <c r="AA83" s="73">
        <f t="shared" si="0"/>
        <v>51.98900000000009</v>
      </c>
      <c r="AB83" s="73">
        <f t="shared" si="0"/>
        <v>52.560999999999979</v>
      </c>
      <c r="AC83" s="73">
        <f t="shared" si="0"/>
        <v>55.01400000000001</v>
      </c>
      <c r="AD83" s="73">
        <f t="shared" si="0"/>
        <v>61.5150000000001</v>
      </c>
      <c r="AE83" s="73">
        <f t="shared" si="0"/>
        <v>66.059999999999832</v>
      </c>
      <c r="AF83" s="73">
        <f t="shared" si="0"/>
        <v>69.77800000000002</v>
      </c>
      <c r="AG83" s="73">
        <f t="shared" si="0"/>
        <v>75.999000000000024</v>
      </c>
      <c r="AH83" s="73">
        <f t="shared" si="0"/>
        <v>81.667999999999893</v>
      </c>
      <c r="AI83" s="73">
        <f t="shared" si="0"/>
        <v>90.294999999999959</v>
      </c>
      <c r="AJ83" s="73">
        <f t="shared" si="0"/>
        <v>100.81399999999985</v>
      </c>
      <c r="AK83" s="73">
        <f t="shared" si="0"/>
        <v>108.61400000000003</v>
      </c>
      <c r="AL83" s="73">
        <f t="shared" si="0"/>
        <v>115.89499999999998</v>
      </c>
      <c r="AM83" s="73">
        <f t="shared" si="0"/>
        <v>121.58400000000006</v>
      </c>
      <c r="AN83" s="73">
        <f t="shared" si="0"/>
        <v>127.84600000000023</v>
      </c>
      <c r="AO83" s="73">
        <f t="shared" si="0"/>
        <v>140.58399999999983</v>
      </c>
      <c r="AP83" s="73">
        <f t="shared" si="0"/>
        <v>151.16999999999962</v>
      </c>
      <c r="AQ83" s="73">
        <f t="shared" si="0"/>
        <v>158.79700000000003</v>
      </c>
      <c r="AR83" s="73">
        <f t="shared" si="0"/>
        <v>165.66100000000029</v>
      </c>
      <c r="AS83" s="73">
        <f t="shared" si="0"/>
        <v>185.35899999999992</v>
      </c>
      <c r="AT83" s="73">
        <f t="shared" si="0"/>
        <v>198.63599999999951</v>
      </c>
      <c r="AU83" s="73">
        <f t="shared" si="0"/>
        <v>212.07099999999991</v>
      </c>
      <c r="AV83" s="73">
        <f t="shared" si="0"/>
        <v>215.57000000000062</v>
      </c>
      <c r="AW83" s="73">
        <f t="shared" si="0"/>
        <v>226.35600000000022</v>
      </c>
      <c r="AX83" s="73">
        <f t="shared" si="0"/>
        <v>240.10699999999997</v>
      </c>
      <c r="AY83" s="73">
        <f t="shared" si="0"/>
        <v>253.94000000000005</v>
      </c>
      <c r="AZ83" s="73">
        <f t="shared" si="0"/>
        <v>268.47099999999955</v>
      </c>
      <c r="BA83" s="73">
        <f t="shared" si="0"/>
        <v>284.76400000000058</v>
      </c>
      <c r="BB83" s="73">
        <f t="shared" si="0"/>
        <v>303.44100000000026</v>
      </c>
      <c r="BC83" s="73">
        <f t="shared" si="0"/>
        <v>330.20300000000088</v>
      </c>
      <c r="BD83" s="73">
        <f t="shared" si="0"/>
        <v>360.51700000000028</v>
      </c>
      <c r="BE83" s="73">
        <f t="shared" si="0"/>
        <v>390.64699999999993</v>
      </c>
      <c r="BF83" s="73">
        <f t="shared" si="0"/>
        <v>462.09700000000066</v>
      </c>
      <c r="BG83" s="73">
        <f t="shared" si="0"/>
        <v>493.07700000000023</v>
      </c>
      <c r="BH83" s="73">
        <f t="shared" si="0"/>
        <v>533.18100000000049</v>
      </c>
      <c r="BI83" s="73">
        <f t="shared" si="0"/>
        <v>588.56500000000051</v>
      </c>
      <c r="BJ83" s="73">
        <f t="shared" si="0"/>
        <v>642.34700000000066</v>
      </c>
      <c r="BK83" s="73">
        <f t="shared" si="0"/>
        <v>712.54300000000057</v>
      </c>
      <c r="BL83" s="73">
        <f t="shared" si="0"/>
        <v>781.26299999999901</v>
      </c>
      <c r="BM83" s="73">
        <f t="shared" si="0"/>
        <v>797.96800000000167</v>
      </c>
      <c r="BN83" s="73">
        <f t="shared" si="0"/>
        <v>761.39199999999892</v>
      </c>
      <c r="BO83" s="73">
        <f t="shared" si="0"/>
        <v>776.88599999999951</v>
      </c>
      <c r="BP83" s="73">
        <f t="shared" si="0"/>
        <v>811.29300000000057</v>
      </c>
    </row>
    <row r="84" spans="1:68" s="62" customFormat="1" ht="36.5" x14ac:dyDescent="0.35">
      <c r="A84" s="92" t="s">
        <v>130</v>
      </c>
      <c r="B84" s="74" t="s">
        <v>224</v>
      </c>
      <c r="C84" s="74" t="s">
        <v>131</v>
      </c>
      <c r="D84" s="93">
        <v>22.133173996175906</v>
      </c>
      <c r="E84" s="93">
        <v>23.491154929577469</v>
      </c>
      <c r="F84" s="93">
        <v>20.641845360824735</v>
      </c>
      <c r="G84" s="93">
        <v>21.083110443275732</v>
      </c>
      <c r="H84" s="93">
        <v>24.431116460637604</v>
      </c>
      <c r="I84" s="93">
        <v>25.978018749999993</v>
      </c>
      <c r="J84" s="93">
        <v>25.812714535901932</v>
      </c>
      <c r="K84" s="93">
        <v>26.224844602609725</v>
      </c>
      <c r="L84" s="93">
        <v>25.349983263598311</v>
      </c>
      <c r="M84" s="93">
        <v>27.890666666666657</v>
      </c>
      <c r="N84" s="93">
        <v>30.074447867298563</v>
      </c>
      <c r="O84" s="93">
        <v>33.240445316331524</v>
      </c>
      <c r="P84" s="93">
        <v>30.727640017286085</v>
      </c>
      <c r="Q84" s="93">
        <v>32.219110926464481</v>
      </c>
      <c r="R84" s="93">
        <v>34.41015659229209</v>
      </c>
      <c r="S84" s="93">
        <v>34.86042433234423</v>
      </c>
      <c r="T84" s="93">
        <v>34.929254355400701</v>
      </c>
      <c r="U84" s="93">
        <v>36.189962939091203</v>
      </c>
      <c r="V84" s="93">
        <v>38.26191220368743</v>
      </c>
      <c r="W84" s="93">
        <v>41.55317928286852</v>
      </c>
      <c r="X84" s="93">
        <v>44.522207211782622</v>
      </c>
      <c r="Y84" s="93">
        <v>48.184034188034197</v>
      </c>
      <c r="Z84" s="93">
        <v>53.332116398713822</v>
      </c>
      <c r="AA84" s="93">
        <v>57.812719512195109</v>
      </c>
      <c r="AB84" s="93">
        <v>61.123719182083747</v>
      </c>
      <c r="AC84" s="93">
        <v>69.209737813370467</v>
      </c>
      <c r="AD84" s="93">
        <v>83.774663558663534</v>
      </c>
      <c r="AE84" s="93">
        <v>87.893501678587086</v>
      </c>
      <c r="AF84" s="93">
        <v>88.957730916030528</v>
      </c>
      <c r="AG84" s="93">
        <v>96.248940973461842</v>
      </c>
      <c r="AH84" s="93">
        <v>104.93653932114884</v>
      </c>
      <c r="AI84" s="93">
        <v>121.55075451066158</v>
      </c>
      <c r="AJ84" s="93">
        <v>136.76834353096399</v>
      </c>
      <c r="AK84" s="93">
        <v>137.08687193841848</v>
      </c>
      <c r="AL84" s="93">
        <v>141.42489397321427</v>
      </c>
      <c r="AM84" s="93">
        <v>139.82551612243506</v>
      </c>
      <c r="AN84" s="93">
        <v>145.716558326528</v>
      </c>
      <c r="AO84" s="93">
        <v>174.42251907121781</v>
      </c>
      <c r="AP84" s="93">
        <v>185.08357262103513</v>
      </c>
      <c r="AQ84" s="93">
        <v>204.5789705277931</v>
      </c>
      <c r="AR84" s="93">
        <v>226.1087194184646</v>
      </c>
      <c r="AS84" s="93">
        <v>252.99116323404257</v>
      </c>
      <c r="AT84" s="93">
        <v>270.99977013937149</v>
      </c>
      <c r="AU84" s="93">
        <v>284.26448362641656</v>
      </c>
      <c r="AV84" s="93">
        <v>282.91216029199296</v>
      </c>
      <c r="AW84" s="93">
        <v>317.95316458229109</v>
      </c>
      <c r="AX84" s="93">
        <v>340.64730030456855</v>
      </c>
      <c r="AY84" s="93">
        <v>357.413675551788</v>
      </c>
      <c r="AZ84" s="93">
        <v>372.177239585785</v>
      </c>
      <c r="BA84" s="93">
        <v>415.624920318725</v>
      </c>
      <c r="BB84" s="93">
        <v>442.57389795447557</v>
      </c>
      <c r="BC84" s="93">
        <v>511.61693191282097</v>
      </c>
      <c r="BD84" s="93">
        <v>560.32694421781173</v>
      </c>
      <c r="BE84" s="93">
        <v>641.51491702527949</v>
      </c>
      <c r="BF84" s="93">
        <v>692.68279468341768</v>
      </c>
      <c r="BG84" s="93">
        <v>679.83222766773156</v>
      </c>
      <c r="BH84" s="93">
        <v>688.8938135231316</v>
      </c>
      <c r="BI84" s="93">
        <v>715.3362120841025</v>
      </c>
      <c r="BJ84" s="93">
        <v>705.32728032755313</v>
      </c>
      <c r="BK84" s="93">
        <v>723.76418571264492</v>
      </c>
      <c r="BL84" s="93">
        <v>734.76593859663535</v>
      </c>
      <c r="BM84" s="93">
        <v>825.91239286262066</v>
      </c>
      <c r="BN84" s="93">
        <v>677.15689424646018</v>
      </c>
      <c r="BO84" s="93">
        <v>702.98354220141448</v>
      </c>
      <c r="BP84" s="93">
        <v>733.37099965869766</v>
      </c>
    </row>
    <row r="85" spans="1:68" s="62" customFormat="1" x14ac:dyDescent="0.35">
      <c r="A85" s="11" t="s">
        <v>132</v>
      </c>
      <c r="B85" s="60" t="s">
        <v>133</v>
      </c>
      <c r="C85" s="9" t="s">
        <v>134</v>
      </c>
      <c r="D85" s="75">
        <v>12.366826003824094</v>
      </c>
      <c r="E85" s="75">
        <v>15.708845070422534</v>
      </c>
      <c r="F85" s="75">
        <v>13.958154639175266</v>
      </c>
      <c r="G85" s="75">
        <v>16.416889556724268</v>
      </c>
      <c r="H85" s="75">
        <v>18.268883539362399</v>
      </c>
      <c r="I85" s="75">
        <v>17.121981250000008</v>
      </c>
      <c r="J85" s="75">
        <v>16.187285464098068</v>
      </c>
      <c r="K85" s="75">
        <v>16.075155397390272</v>
      </c>
      <c r="L85" s="75">
        <v>18.950016736401686</v>
      </c>
      <c r="M85" s="75">
        <v>18.009333333333341</v>
      </c>
      <c r="N85" s="75">
        <v>17.725552132701434</v>
      </c>
      <c r="O85" s="75">
        <v>16.959554683668479</v>
      </c>
      <c r="P85" s="75">
        <v>19.572359982713913</v>
      </c>
      <c r="Q85" s="75">
        <v>18.480889073535522</v>
      </c>
      <c r="R85" s="75">
        <v>18.789843407707913</v>
      </c>
      <c r="S85" s="75">
        <v>20.439575667655767</v>
      </c>
      <c r="T85" s="75">
        <v>21.570745644599299</v>
      </c>
      <c r="U85" s="75">
        <v>23.210037060908796</v>
      </c>
      <c r="V85" s="75">
        <v>25.638087796312568</v>
      </c>
      <c r="W85" s="75">
        <v>26.646820717131483</v>
      </c>
      <c r="X85" s="75">
        <v>25.277792788217376</v>
      </c>
      <c r="Y85" s="75">
        <v>26.015965811965806</v>
      </c>
      <c r="Z85" s="75">
        <v>24.167883601286178</v>
      </c>
      <c r="AA85" s="75">
        <v>20.687280487804891</v>
      </c>
      <c r="AB85" s="75">
        <v>23.576280817916256</v>
      </c>
      <c r="AC85" s="75">
        <v>26.790262186629533</v>
      </c>
      <c r="AD85" s="75">
        <v>29.825336441336461</v>
      </c>
      <c r="AE85" s="75">
        <v>25.606498321412914</v>
      </c>
      <c r="AF85" s="75">
        <v>30.642269083969467</v>
      </c>
      <c r="AG85" s="75">
        <v>35.951059026538147</v>
      </c>
      <c r="AH85" s="75">
        <v>41.063460678851158</v>
      </c>
      <c r="AI85" s="75">
        <v>45.949245489338423</v>
      </c>
      <c r="AJ85" s="75">
        <v>44.331656469036005</v>
      </c>
      <c r="AK85" s="75">
        <v>36.413128061581517</v>
      </c>
      <c r="AL85" s="75">
        <v>40.175106026785727</v>
      </c>
      <c r="AM85" s="75">
        <v>34.97448387756495</v>
      </c>
      <c r="AN85" s="75">
        <v>44.983441673471987</v>
      </c>
      <c r="AO85" s="75">
        <v>58.677480928782188</v>
      </c>
      <c r="AP85" s="75">
        <v>61.016427378964863</v>
      </c>
      <c r="AQ85" s="75">
        <v>58.021029472206919</v>
      </c>
      <c r="AR85" s="75">
        <v>68.091280581535386</v>
      </c>
      <c r="AS85" s="75">
        <v>81.808836765957437</v>
      </c>
      <c r="AT85" s="75">
        <v>80.600229860628531</v>
      </c>
      <c r="AU85" s="75">
        <v>80.835516373583459</v>
      </c>
      <c r="AV85" s="75">
        <v>84.38783970800705</v>
      </c>
      <c r="AW85" s="75">
        <v>96.946835417708883</v>
      </c>
      <c r="AX85" s="75">
        <v>108.95269969543148</v>
      </c>
      <c r="AY85" s="75">
        <v>127.68632444821202</v>
      </c>
      <c r="AZ85" s="75">
        <v>143.822760414215</v>
      </c>
      <c r="BA85" s="75">
        <v>168.07507968127504</v>
      </c>
      <c r="BB85" s="75">
        <v>185.62610204552448</v>
      </c>
      <c r="BC85" s="75">
        <v>175.88306808717903</v>
      </c>
      <c r="BD85" s="75">
        <v>186.47305578218823</v>
      </c>
      <c r="BE85" s="75">
        <v>175.98508297472051</v>
      </c>
      <c r="BF85" s="75">
        <v>178.01720531658236</v>
      </c>
      <c r="BG85" s="75">
        <v>210.4677723322684</v>
      </c>
      <c r="BH85" s="75">
        <v>241.70618647686842</v>
      </c>
      <c r="BI85" s="75">
        <v>318.46378791589746</v>
      </c>
      <c r="BJ85" s="75">
        <v>364.47271967244683</v>
      </c>
      <c r="BK85" s="75">
        <v>409.23581428735508</v>
      </c>
      <c r="BL85" s="75">
        <v>355.63406140336474</v>
      </c>
      <c r="BM85" s="75">
        <v>271.98760713737943</v>
      </c>
      <c r="BN85" s="75">
        <v>302.24310575353979</v>
      </c>
      <c r="BO85" s="75">
        <v>400.41645779858561</v>
      </c>
      <c r="BP85" s="75">
        <v>423.9290003413023</v>
      </c>
    </row>
    <row r="86" spans="1:68" s="62" customFormat="1" ht="9" customHeight="1" x14ac:dyDescent="0.35">
      <c r="A86" s="66"/>
      <c r="B86" s="67"/>
      <c r="C86" s="68"/>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c r="BL86" s="69"/>
      <c r="BM86" s="69"/>
      <c r="BN86" s="69"/>
      <c r="BO86" s="70"/>
      <c r="BP86" s="70"/>
    </row>
    <row r="87" spans="1:68" s="184" customFormat="1" x14ac:dyDescent="0.35">
      <c r="A87" s="186" t="s">
        <v>174</v>
      </c>
      <c r="B87" s="183"/>
      <c r="C87" s="76"/>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row>
    <row r="88" spans="1:68" s="185" customFormat="1" x14ac:dyDescent="0.35">
      <c r="A88" s="74" t="s">
        <v>135</v>
      </c>
      <c r="B88" s="183" t="s">
        <v>136</v>
      </c>
      <c r="C88" s="76" t="s">
        <v>137</v>
      </c>
      <c r="D88" s="76">
        <v>126</v>
      </c>
      <c r="E88" s="76">
        <v>144.5</v>
      </c>
      <c r="F88" s="76">
        <v>141.5</v>
      </c>
      <c r="G88" s="76">
        <v>160.4</v>
      </c>
      <c r="H88" s="76">
        <v>183.9</v>
      </c>
      <c r="I88" s="76">
        <v>192.6</v>
      </c>
      <c r="J88" s="76">
        <v>206.2</v>
      </c>
      <c r="K88" s="76">
        <v>203.6</v>
      </c>
      <c r="L88" s="76">
        <v>229.5</v>
      </c>
      <c r="M88" s="76">
        <v>245.6</v>
      </c>
      <c r="N88" s="76">
        <v>256.89999999999998</v>
      </c>
      <c r="O88" s="76">
        <v>251.8</v>
      </c>
      <c r="P88" s="76">
        <v>281.89999999999998</v>
      </c>
      <c r="Q88" s="76">
        <v>293.89999999999998</v>
      </c>
      <c r="R88" s="76">
        <v>302.10000000000002</v>
      </c>
      <c r="S88" s="76">
        <v>329</v>
      </c>
      <c r="T88" s="76">
        <v>349.5</v>
      </c>
      <c r="U88" s="76">
        <v>377.7</v>
      </c>
      <c r="V88" s="76">
        <v>414.4</v>
      </c>
      <c r="W88" s="76">
        <v>454.1</v>
      </c>
      <c r="X88" s="76">
        <v>479.3</v>
      </c>
      <c r="Y88" s="76">
        <v>529.1</v>
      </c>
      <c r="Z88" s="76">
        <v>576.70000000000005</v>
      </c>
      <c r="AA88" s="76">
        <v>597.79999999999995</v>
      </c>
      <c r="AB88" s="76">
        <v>646.1</v>
      </c>
      <c r="AC88" s="76">
        <v>716.7</v>
      </c>
      <c r="AD88" s="76">
        <v>802.6</v>
      </c>
      <c r="AE88" s="76">
        <v>869.9</v>
      </c>
      <c r="AF88" s="76">
        <v>944.4</v>
      </c>
      <c r="AG88" s="76">
        <v>1062.9000000000001</v>
      </c>
      <c r="AH88" s="76">
        <v>1205.0999999999999</v>
      </c>
      <c r="AI88" s="76">
        <v>1376.1</v>
      </c>
      <c r="AJ88" s="76">
        <v>1529</v>
      </c>
      <c r="AK88" s="76">
        <v>1663</v>
      </c>
      <c r="AL88" s="76">
        <v>1889</v>
      </c>
      <c r="AM88" s="76">
        <v>1967.3</v>
      </c>
      <c r="AN88" s="76">
        <v>2116.6999999999998</v>
      </c>
      <c r="AO88" s="76">
        <v>2371.3000000000002</v>
      </c>
      <c r="AP88" s="76">
        <v>2526.5</v>
      </c>
      <c r="AQ88" s="76">
        <v>2640.6</v>
      </c>
      <c r="AR88" s="76">
        <v>2832.6</v>
      </c>
      <c r="AS88" s="76">
        <v>3065.5</v>
      </c>
      <c r="AT88" s="76">
        <v>3229.5</v>
      </c>
      <c r="AU88" s="76">
        <v>3377</v>
      </c>
      <c r="AV88" s="76">
        <v>3467.4</v>
      </c>
      <c r="AW88" s="76">
        <v>3642.2</v>
      </c>
      <c r="AX88" s="76">
        <v>3823.2</v>
      </c>
      <c r="AY88" s="76">
        <v>4110.5</v>
      </c>
      <c r="AZ88" s="76">
        <v>4357.5</v>
      </c>
      <c r="BA88" s="76">
        <v>4625</v>
      </c>
      <c r="BB88" s="76">
        <v>4978.8999999999996</v>
      </c>
      <c r="BC88" s="76">
        <v>5299.3</v>
      </c>
      <c r="BD88" s="76">
        <v>5624.5</v>
      </c>
      <c r="BE88" s="76">
        <v>6016.4</v>
      </c>
      <c r="BF88" s="76">
        <v>6034.7</v>
      </c>
      <c r="BG88" s="76">
        <v>6122.7</v>
      </c>
      <c r="BH88" s="76">
        <v>6360.7</v>
      </c>
      <c r="BI88" s="76">
        <v>6774.2</v>
      </c>
      <c r="BJ88" s="76">
        <v>7297.9</v>
      </c>
      <c r="BK88" s="76">
        <v>7823.3</v>
      </c>
      <c r="BL88" s="76">
        <v>7965.6</v>
      </c>
      <c r="BM88" s="76">
        <v>7999</v>
      </c>
      <c r="BN88" s="76">
        <v>7659.9</v>
      </c>
      <c r="BO88" s="76">
        <v>8086.7</v>
      </c>
      <c r="BP88" s="76">
        <v>8493.4</v>
      </c>
    </row>
    <row r="89" spans="1:68" s="185" customFormat="1" x14ac:dyDescent="0.35">
      <c r="A89" s="74" t="s">
        <v>138</v>
      </c>
      <c r="B89" s="183" t="s">
        <v>139</v>
      </c>
      <c r="C89" s="76" t="s">
        <v>140</v>
      </c>
      <c r="D89" s="73">
        <v>117.1</v>
      </c>
      <c r="E89" s="73">
        <v>134.1</v>
      </c>
      <c r="F89" s="73">
        <v>130.30000000000001</v>
      </c>
      <c r="G89" s="73">
        <v>148.4</v>
      </c>
      <c r="H89" s="73">
        <v>170.3</v>
      </c>
      <c r="I89" s="73">
        <v>178.1</v>
      </c>
      <c r="J89" s="73">
        <v>190.79999999999998</v>
      </c>
      <c r="K89" s="73">
        <v>187.4</v>
      </c>
      <c r="L89" s="73">
        <v>212.4</v>
      </c>
      <c r="M89" s="73">
        <v>226.4</v>
      </c>
      <c r="N89" s="73">
        <v>235.59999999999997</v>
      </c>
      <c r="O89" s="73">
        <v>229.10000000000002</v>
      </c>
      <c r="P89" s="73">
        <v>258.2</v>
      </c>
      <c r="Q89" s="73">
        <v>269.89999999999998</v>
      </c>
      <c r="R89" s="73">
        <v>277.5</v>
      </c>
      <c r="S89" s="73">
        <v>303.5</v>
      </c>
      <c r="T89" s="73">
        <v>322.8</v>
      </c>
      <c r="U89" s="73">
        <v>349.5</v>
      </c>
      <c r="V89" s="73">
        <v>384</v>
      </c>
      <c r="W89" s="73">
        <v>420.70000000000005</v>
      </c>
      <c r="X89" s="73">
        <v>442.5</v>
      </c>
      <c r="Y89" s="73">
        <v>488.5</v>
      </c>
      <c r="Z89" s="73">
        <v>531.6</v>
      </c>
      <c r="AA89" s="73">
        <v>547.79999999999995</v>
      </c>
      <c r="AB89" s="73">
        <v>591.30000000000007</v>
      </c>
      <c r="AC89" s="73">
        <v>657</v>
      </c>
      <c r="AD89" s="73">
        <v>735.7</v>
      </c>
      <c r="AE89" s="73">
        <v>791.1</v>
      </c>
      <c r="AF89" s="73">
        <v>850</v>
      </c>
      <c r="AG89" s="73">
        <v>958.40000000000009</v>
      </c>
      <c r="AH89" s="73">
        <v>1087.0999999999999</v>
      </c>
      <c r="AI89" s="73">
        <v>1241.8999999999999</v>
      </c>
      <c r="AJ89" s="73">
        <v>1373.9</v>
      </c>
      <c r="AK89" s="73">
        <v>1483.2</v>
      </c>
      <c r="AL89" s="73">
        <v>1680.9</v>
      </c>
      <c r="AM89" s="73">
        <v>1735.8999999999999</v>
      </c>
      <c r="AN89" s="73">
        <v>1876.2999999999997</v>
      </c>
      <c r="AO89" s="73">
        <v>2118.4</v>
      </c>
      <c r="AP89" s="73">
        <v>2254.8000000000002</v>
      </c>
      <c r="AQ89" s="73">
        <v>2350.7999999999997</v>
      </c>
      <c r="AR89" s="73">
        <v>2526.1</v>
      </c>
      <c r="AS89" s="73">
        <v>2736.7</v>
      </c>
      <c r="AT89" s="73">
        <v>2878.7</v>
      </c>
      <c r="AU89" s="73">
        <v>3004</v>
      </c>
      <c r="AV89" s="73">
        <v>3075.3</v>
      </c>
      <c r="AW89" s="73">
        <v>3240.2</v>
      </c>
      <c r="AX89" s="73">
        <v>3403.1</v>
      </c>
      <c r="AY89" s="73">
        <v>3665.6</v>
      </c>
      <c r="AZ89" s="73">
        <v>3880.7</v>
      </c>
      <c r="BA89" s="73">
        <v>4119</v>
      </c>
      <c r="BB89" s="73">
        <v>4438</v>
      </c>
      <c r="BC89" s="73">
        <v>4721</v>
      </c>
      <c r="BD89" s="73">
        <v>4998.7</v>
      </c>
      <c r="BE89" s="73">
        <v>5331.2999999999993</v>
      </c>
      <c r="BF89" s="73">
        <v>5304.4</v>
      </c>
      <c r="BG89" s="73">
        <v>5366.8</v>
      </c>
      <c r="BH89" s="73">
        <v>5585.2</v>
      </c>
      <c r="BI89" s="73">
        <v>5965</v>
      </c>
      <c r="BJ89" s="73">
        <v>6435</v>
      </c>
      <c r="BK89" s="73">
        <v>6897.4000000000005</v>
      </c>
      <c r="BL89" s="73">
        <v>6992.2000000000007</v>
      </c>
      <c r="BM89" s="73">
        <v>6970.5</v>
      </c>
      <c r="BN89" s="73">
        <v>6629.5</v>
      </c>
      <c r="BO89" s="73">
        <v>7060.2</v>
      </c>
      <c r="BP89" s="73">
        <v>7431.5</v>
      </c>
    </row>
    <row r="90" spans="1:68" s="185" customFormat="1" x14ac:dyDescent="0.35">
      <c r="A90" s="74" t="s">
        <v>141</v>
      </c>
      <c r="B90" s="183" t="s">
        <v>142</v>
      </c>
      <c r="C90" s="76" t="s">
        <v>143</v>
      </c>
      <c r="D90" s="73">
        <v>32.299999999999997</v>
      </c>
      <c r="E90" s="73">
        <v>40.6</v>
      </c>
      <c r="F90" s="73">
        <v>39.299999999999997</v>
      </c>
      <c r="G90" s="73">
        <v>47</v>
      </c>
      <c r="H90" s="73">
        <v>53.5</v>
      </c>
      <c r="I90" s="73">
        <v>52.3</v>
      </c>
      <c r="J90" s="73">
        <v>53.699999999999996</v>
      </c>
      <c r="K90" s="73">
        <v>53.5</v>
      </c>
      <c r="L90" s="73">
        <v>65.099999999999994</v>
      </c>
      <c r="M90" s="73">
        <v>65.900000000000006</v>
      </c>
      <c r="N90" s="73">
        <v>67.7</v>
      </c>
      <c r="O90" s="73">
        <v>64.7</v>
      </c>
      <c r="P90" s="73">
        <v>76.099999999999994</v>
      </c>
      <c r="Q90" s="73">
        <v>75.3</v>
      </c>
      <c r="R90" s="73">
        <v>77.599999999999994</v>
      </c>
      <c r="S90" s="73">
        <v>86.8</v>
      </c>
      <c r="T90" s="73">
        <v>93.7</v>
      </c>
      <c r="U90" s="73">
        <v>102.9</v>
      </c>
      <c r="V90" s="73">
        <v>116.69999999999999</v>
      </c>
      <c r="W90" s="73">
        <v>126.69999999999999</v>
      </c>
      <c r="X90" s="73">
        <v>129.5</v>
      </c>
      <c r="Y90" s="73">
        <v>140</v>
      </c>
      <c r="Z90" s="73">
        <v>145.1</v>
      </c>
      <c r="AA90" s="73">
        <v>140.6</v>
      </c>
      <c r="AB90" s="73">
        <v>158</v>
      </c>
      <c r="AC90" s="73">
        <v>176.9</v>
      </c>
      <c r="AD90" s="73">
        <v>194.5</v>
      </c>
      <c r="AE90" s="73">
        <v>203.8</v>
      </c>
      <c r="AF90" s="73">
        <v>245.1</v>
      </c>
      <c r="AG90" s="73">
        <v>276.2</v>
      </c>
      <c r="AH90" s="73">
        <v>320.3</v>
      </c>
      <c r="AI90" s="73">
        <v>365.5</v>
      </c>
      <c r="AJ90" s="73">
        <v>392</v>
      </c>
      <c r="AK90" s="73">
        <v>414.3</v>
      </c>
      <c r="AL90" s="73">
        <v>494.5</v>
      </c>
      <c r="AM90" s="73">
        <v>512.20000000000005</v>
      </c>
      <c r="AN90" s="73">
        <v>572.1</v>
      </c>
      <c r="AO90" s="73">
        <v>661.8</v>
      </c>
      <c r="AP90" s="73">
        <v>695</v>
      </c>
      <c r="AQ90" s="73">
        <v>700.6</v>
      </c>
      <c r="AR90" s="73">
        <v>759.2</v>
      </c>
      <c r="AS90" s="73">
        <v>833.1</v>
      </c>
      <c r="AT90" s="73">
        <v>873.59999999999991</v>
      </c>
      <c r="AU90" s="73">
        <v>891.9</v>
      </c>
      <c r="AV90" s="73">
        <v>910.1</v>
      </c>
      <c r="AW90" s="73">
        <v>940.8</v>
      </c>
      <c r="AX90" s="73">
        <v>993</v>
      </c>
      <c r="AY90" s="73">
        <v>1103.4000000000001</v>
      </c>
      <c r="AZ90" s="73">
        <v>1202.4000000000001</v>
      </c>
      <c r="BA90" s="73">
        <v>1319.4</v>
      </c>
      <c r="BB90" s="73">
        <v>1448.1999999999998</v>
      </c>
      <c r="BC90" s="73">
        <v>1484</v>
      </c>
      <c r="BD90" s="73">
        <v>1554.4</v>
      </c>
      <c r="BE90" s="73">
        <v>1599.2</v>
      </c>
      <c r="BF90" s="73">
        <v>1586</v>
      </c>
      <c r="BG90" s="73">
        <v>1649.8</v>
      </c>
      <c r="BH90" s="73">
        <v>1737.9</v>
      </c>
      <c r="BI90" s="73">
        <v>1954.6000000000001</v>
      </c>
      <c r="BJ90" s="73">
        <v>2202.6999999999998</v>
      </c>
      <c r="BK90" s="73">
        <v>2446.1999999999998</v>
      </c>
      <c r="BL90" s="73">
        <v>2369.9</v>
      </c>
      <c r="BM90" s="73">
        <v>2312.1999999999998</v>
      </c>
      <c r="BN90" s="73">
        <v>2313.8000000000002</v>
      </c>
      <c r="BO90" s="73">
        <v>2619.8000000000002</v>
      </c>
      <c r="BP90" s="73">
        <v>2741.5</v>
      </c>
    </row>
    <row r="91" spans="1:68" s="185" customFormat="1" x14ac:dyDescent="0.35">
      <c r="A91" s="74" t="s">
        <v>144</v>
      </c>
      <c r="B91" s="183" t="s">
        <v>145</v>
      </c>
      <c r="C91" s="76" t="s">
        <v>146</v>
      </c>
      <c r="D91" s="73">
        <v>23.4</v>
      </c>
      <c r="E91" s="73">
        <v>30.2</v>
      </c>
      <c r="F91" s="73">
        <v>28.1</v>
      </c>
      <c r="G91" s="73">
        <v>35</v>
      </c>
      <c r="H91" s="73">
        <v>39.9</v>
      </c>
      <c r="I91" s="73">
        <v>37.799999999999997</v>
      </c>
      <c r="J91" s="73">
        <v>38.299999999999997</v>
      </c>
      <c r="K91" s="73">
        <v>37.299999999999997</v>
      </c>
      <c r="L91" s="73">
        <v>48</v>
      </c>
      <c r="M91" s="73">
        <v>46.7</v>
      </c>
      <c r="N91" s="73">
        <v>46.4</v>
      </c>
      <c r="O91" s="73">
        <v>42</v>
      </c>
      <c r="P91" s="73">
        <v>52.4</v>
      </c>
      <c r="Q91" s="73">
        <v>51.3</v>
      </c>
      <c r="R91" s="73">
        <v>53</v>
      </c>
      <c r="S91" s="73">
        <v>61.3</v>
      </c>
      <c r="T91" s="73">
        <v>67</v>
      </c>
      <c r="U91" s="73">
        <v>74.7</v>
      </c>
      <c r="V91" s="73">
        <v>86.3</v>
      </c>
      <c r="W91" s="73">
        <v>93.3</v>
      </c>
      <c r="X91" s="73">
        <v>92.7</v>
      </c>
      <c r="Y91" s="73">
        <v>99.4</v>
      </c>
      <c r="Z91" s="73">
        <v>100</v>
      </c>
      <c r="AA91" s="73">
        <v>90.6</v>
      </c>
      <c r="AB91" s="73">
        <v>103.2</v>
      </c>
      <c r="AC91" s="73">
        <v>117.2</v>
      </c>
      <c r="AD91" s="73">
        <v>127.6</v>
      </c>
      <c r="AE91" s="73">
        <v>125</v>
      </c>
      <c r="AF91" s="73">
        <v>150.69999999999999</v>
      </c>
      <c r="AG91" s="73">
        <v>171.7</v>
      </c>
      <c r="AH91" s="73">
        <v>202.3</v>
      </c>
      <c r="AI91" s="73">
        <v>231.3</v>
      </c>
      <c r="AJ91" s="73">
        <v>236.9</v>
      </c>
      <c r="AK91" s="73">
        <v>234.5</v>
      </c>
      <c r="AL91" s="73">
        <v>286.39999999999998</v>
      </c>
      <c r="AM91" s="73">
        <v>280.8</v>
      </c>
      <c r="AN91" s="73">
        <v>331.7</v>
      </c>
      <c r="AO91" s="73">
        <v>408.9</v>
      </c>
      <c r="AP91" s="73">
        <v>423.3</v>
      </c>
      <c r="AQ91" s="73">
        <v>410.8</v>
      </c>
      <c r="AR91" s="73">
        <v>452.7</v>
      </c>
      <c r="AS91" s="73">
        <v>504.3</v>
      </c>
      <c r="AT91" s="73">
        <v>522.79999999999995</v>
      </c>
      <c r="AU91" s="73">
        <v>518.9</v>
      </c>
      <c r="AV91" s="73">
        <v>518</v>
      </c>
      <c r="AW91" s="73">
        <v>538.79999999999995</v>
      </c>
      <c r="AX91" s="73">
        <v>572.9</v>
      </c>
      <c r="AY91" s="73">
        <v>658.5</v>
      </c>
      <c r="AZ91" s="73">
        <v>725.6</v>
      </c>
      <c r="BA91" s="73">
        <v>813.4</v>
      </c>
      <c r="BB91" s="73">
        <v>907.3</v>
      </c>
      <c r="BC91" s="73">
        <v>905.7</v>
      </c>
      <c r="BD91" s="73">
        <v>928.6</v>
      </c>
      <c r="BE91" s="73">
        <v>914.1</v>
      </c>
      <c r="BF91" s="73">
        <v>855.7</v>
      </c>
      <c r="BG91" s="73">
        <v>893.9</v>
      </c>
      <c r="BH91" s="73">
        <v>962.4</v>
      </c>
      <c r="BI91" s="73">
        <v>1145.4000000000001</v>
      </c>
      <c r="BJ91" s="73">
        <v>1339.8</v>
      </c>
      <c r="BK91" s="73">
        <v>1520.3</v>
      </c>
      <c r="BL91" s="73">
        <v>1396.5</v>
      </c>
      <c r="BM91" s="73">
        <v>1283.7</v>
      </c>
      <c r="BN91" s="73">
        <v>1283.4000000000001</v>
      </c>
      <c r="BO91" s="73">
        <v>1593.3</v>
      </c>
      <c r="BP91" s="73">
        <v>1679.6</v>
      </c>
    </row>
    <row r="92" spans="1:68" s="185" customFormat="1" x14ac:dyDescent="0.35">
      <c r="A92" s="80" t="s">
        <v>405</v>
      </c>
      <c r="B92" s="183"/>
      <c r="C92" s="76" t="s">
        <v>408</v>
      </c>
      <c r="D92" s="76">
        <v>0.3</v>
      </c>
      <c r="E92" s="76">
        <v>0</v>
      </c>
      <c r="F92" s="76">
        <v>0</v>
      </c>
      <c r="G92" s="76">
        <v>-0.1</v>
      </c>
      <c r="H92" s="76">
        <v>-0.2</v>
      </c>
      <c r="I92" s="76">
        <v>-0.2</v>
      </c>
      <c r="J92" s="76">
        <v>0</v>
      </c>
      <c r="K92" s="76">
        <v>0.2</v>
      </c>
      <c r="L92" s="76">
        <v>0.2</v>
      </c>
      <c r="M92" s="76">
        <v>0</v>
      </c>
      <c r="N92" s="76">
        <v>0.2</v>
      </c>
      <c r="O92" s="76">
        <v>0.6</v>
      </c>
      <c r="P92" s="76">
        <v>-0.2</v>
      </c>
      <c r="Q92" s="76">
        <v>-0.2</v>
      </c>
      <c r="R92" s="76">
        <v>0.4</v>
      </c>
      <c r="S92" s="76">
        <v>0.7</v>
      </c>
      <c r="T92" s="76">
        <v>0.4</v>
      </c>
      <c r="U92" s="76">
        <v>0.8</v>
      </c>
      <c r="V92" s="76">
        <v>1.2</v>
      </c>
      <c r="W92" s="76">
        <v>2.2999999999999998</v>
      </c>
      <c r="X92" s="76">
        <v>4</v>
      </c>
      <c r="Y92" s="76">
        <v>3.9</v>
      </c>
      <c r="Z92" s="76">
        <v>7.8</v>
      </c>
      <c r="AA92" s="76">
        <v>11.3</v>
      </c>
      <c r="AB92" s="76">
        <v>11.5</v>
      </c>
      <c r="AC92" s="76">
        <v>11.3</v>
      </c>
      <c r="AD92" s="76">
        <v>13</v>
      </c>
      <c r="AE92" s="76">
        <v>20.7</v>
      </c>
      <c r="AF92" s="76">
        <v>23.4</v>
      </c>
      <c r="AG92" s="76">
        <v>18.8</v>
      </c>
      <c r="AH92" s="76">
        <v>23.3</v>
      </c>
      <c r="AI92" s="76">
        <v>27.5</v>
      </c>
      <c r="AJ92" s="76">
        <v>34.9</v>
      </c>
      <c r="AK92" s="76">
        <v>55.9</v>
      </c>
      <c r="AL92" s="76">
        <v>77.7</v>
      </c>
      <c r="AM92" s="76">
        <v>90</v>
      </c>
      <c r="AN92" s="76">
        <v>86.6</v>
      </c>
      <c r="AO92" s="76">
        <v>98.8</v>
      </c>
      <c r="AP92" s="76">
        <v>96.9</v>
      </c>
      <c r="AQ92" s="76">
        <v>106.3</v>
      </c>
      <c r="AR92" s="76">
        <v>107.6</v>
      </c>
      <c r="AS92" s="76">
        <v>107.8</v>
      </c>
      <c r="AT92" s="76">
        <v>130</v>
      </c>
      <c r="AU92" s="76">
        <v>125.8</v>
      </c>
      <c r="AV92" s="76">
        <v>102.6</v>
      </c>
      <c r="AW92" s="76">
        <v>80.599999999999994</v>
      </c>
      <c r="AX92" s="76">
        <v>73.5</v>
      </c>
      <c r="AY92" s="76">
        <v>75</v>
      </c>
      <c r="AZ92" s="76">
        <v>64.7</v>
      </c>
      <c r="BA92" s="76">
        <v>69.3</v>
      </c>
      <c r="BB92" s="76">
        <v>94.8</v>
      </c>
      <c r="BC92" s="76">
        <v>142.19999999999999</v>
      </c>
      <c r="BD92" s="76">
        <v>139</v>
      </c>
      <c r="BE92" s="76">
        <v>166.6</v>
      </c>
      <c r="BF92" s="76">
        <v>154.19999999999999</v>
      </c>
      <c r="BG92" s="76">
        <v>116.2</v>
      </c>
      <c r="BH92" s="76">
        <v>99.4</v>
      </c>
      <c r="BI92" s="76">
        <v>48.6</v>
      </c>
      <c r="BJ92" s="76">
        <v>61.6</v>
      </c>
      <c r="BK92" s="76">
        <v>120.4</v>
      </c>
      <c r="BL92" s="76">
        <v>164.2</v>
      </c>
      <c r="BM92" s="76">
        <v>338.7</v>
      </c>
      <c r="BN92" s="76">
        <v>189.8</v>
      </c>
      <c r="BO92" s="76">
        <v>182.6</v>
      </c>
      <c r="BP92" s="76">
        <v>183.4</v>
      </c>
    </row>
    <row r="93" spans="1:68" s="185" customFormat="1" x14ac:dyDescent="0.35">
      <c r="A93" s="80" t="s">
        <v>406</v>
      </c>
      <c r="B93" s="183"/>
      <c r="C93" s="76" t="s">
        <v>409</v>
      </c>
      <c r="D93" s="76">
        <v>0.6</v>
      </c>
      <c r="E93" s="76">
        <v>0.6</v>
      </c>
      <c r="F93" s="76">
        <v>0.6</v>
      </c>
      <c r="G93" s="76">
        <v>0.7</v>
      </c>
      <c r="H93" s="76">
        <v>1.1000000000000001</v>
      </c>
      <c r="I93" s="76">
        <v>1.1000000000000001</v>
      </c>
      <c r="J93" s="76">
        <v>1</v>
      </c>
      <c r="K93" s="76">
        <v>0.8</v>
      </c>
      <c r="L93" s="76">
        <v>1.2</v>
      </c>
      <c r="M93" s="76">
        <v>1.5</v>
      </c>
      <c r="N93" s="76">
        <v>1.7</v>
      </c>
      <c r="O93" s="76">
        <v>1.5</v>
      </c>
      <c r="P93" s="76">
        <v>1.5</v>
      </c>
      <c r="Q93" s="76">
        <v>1.6</v>
      </c>
      <c r="R93" s="76">
        <v>1.8</v>
      </c>
      <c r="S93" s="76">
        <v>2</v>
      </c>
      <c r="T93" s="76">
        <v>2.4</v>
      </c>
      <c r="U93" s="76">
        <v>2.9</v>
      </c>
      <c r="V93" s="76">
        <v>3.3</v>
      </c>
      <c r="W93" s="76">
        <v>3</v>
      </c>
      <c r="X93" s="76">
        <v>3.3</v>
      </c>
      <c r="Y93" s="76">
        <v>3.8</v>
      </c>
      <c r="Z93" s="76">
        <v>4.4000000000000004</v>
      </c>
      <c r="AA93" s="76">
        <v>3.9</v>
      </c>
      <c r="AB93" s="76">
        <v>3.5</v>
      </c>
      <c r="AC93" s="76">
        <v>4</v>
      </c>
      <c r="AD93" s="76">
        <v>5</v>
      </c>
      <c r="AE93" s="76">
        <v>6.6</v>
      </c>
      <c r="AF93" s="76">
        <v>8.6</v>
      </c>
      <c r="AG93" s="76">
        <v>7.9</v>
      </c>
      <c r="AH93" s="76">
        <v>6.3</v>
      </c>
      <c r="AI93" s="76">
        <v>8.1999999999999993</v>
      </c>
      <c r="AJ93" s="76">
        <v>11.3</v>
      </c>
      <c r="AK93" s="76">
        <v>12.6</v>
      </c>
      <c r="AL93" s="76">
        <v>15.1</v>
      </c>
      <c r="AM93" s="76">
        <v>17.7</v>
      </c>
      <c r="AN93" s="76">
        <v>20.3</v>
      </c>
      <c r="AO93" s="76">
        <v>28</v>
      </c>
      <c r="AP93" s="76">
        <v>31.9</v>
      </c>
      <c r="AQ93" s="76">
        <v>29.9</v>
      </c>
      <c r="AR93" s="76">
        <v>25.3</v>
      </c>
      <c r="AS93" s="76">
        <v>26.9</v>
      </c>
      <c r="AT93" s="76">
        <v>34.4</v>
      </c>
      <c r="AU93" s="76">
        <v>34.799999999999997</v>
      </c>
      <c r="AV93" s="76">
        <v>34.6</v>
      </c>
      <c r="AW93" s="76">
        <v>35.1</v>
      </c>
      <c r="AX93" s="76">
        <v>32.700000000000003</v>
      </c>
      <c r="AY93" s="76">
        <v>33.200000000000003</v>
      </c>
      <c r="AZ93" s="76">
        <v>37.700000000000003</v>
      </c>
      <c r="BA93" s="76">
        <v>44.6</v>
      </c>
      <c r="BB93" s="76">
        <v>35.200000000000003</v>
      </c>
      <c r="BC93" s="76">
        <v>53.8</v>
      </c>
      <c r="BD93" s="76">
        <v>54.9</v>
      </c>
      <c r="BE93" s="76">
        <v>73.8</v>
      </c>
      <c r="BF93" s="76">
        <v>87</v>
      </c>
      <c r="BG93" s="76">
        <v>63.5</v>
      </c>
      <c r="BH93" s="76">
        <v>50.9</v>
      </c>
      <c r="BI93" s="76">
        <v>54.9</v>
      </c>
      <c r="BJ93" s="76">
        <v>61.6</v>
      </c>
      <c r="BK93" s="76">
        <v>48.4</v>
      </c>
      <c r="BL93" s="76">
        <v>72.599999999999994</v>
      </c>
      <c r="BM93" s="76">
        <v>103.2</v>
      </c>
      <c r="BN93" s="76">
        <v>104</v>
      </c>
      <c r="BO93" s="76">
        <v>109.8</v>
      </c>
      <c r="BP93" s="76">
        <v>108.1</v>
      </c>
    </row>
    <row r="94" spans="1:68" s="197" customFormat="1" ht="24.65" customHeight="1" x14ac:dyDescent="0.35">
      <c r="A94" s="74" t="s">
        <v>407</v>
      </c>
      <c r="B94" s="183" t="s">
        <v>147</v>
      </c>
      <c r="C94" s="183" t="s">
        <v>399</v>
      </c>
      <c r="D94" s="196">
        <v>22.5</v>
      </c>
      <c r="E94" s="196">
        <v>29.6</v>
      </c>
      <c r="F94" s="196">
        <v>27.6</v>
      </c>
      <c r="G94" s="196">
        <v>34.4</v>
      </c>
      <c r="H94" s="196">
        <v>39.1</v>
      </c>
      <c r="I94" s="196">
        <v>37</v>
      </c>
      <c r="J94" s="196">
        <v>37.299999999999997</v>
      </c>
      <c r="K94" s="196">
        <v>36.4</v>
      </c>
      <c r="L94" s="196">
        <v>46.6</v>
      </c>
      <c r="M94" s="196">
        <v>45.2</v>
      </c>
      <c r="N94" s="196">
        <v>44.5</v>
      </c>
      <c r="O94" s="196">
        <v>39.9</v>
      </c>
      <c r="P94" s="196">
        <v>51.1</v>
      </c>
      <c r="Q94" s="196">
        <v>50</v>
      </c>
      <c r="R94" s="196">
        <v>50.9</v>
      </c>
      <c r="S94" s="196">
        <v>58.6</v>
      </c>
      <c r="T94" s="196">
        <v>64.3</v>
      </c>
      <c r="U94" s="196">
        <v>71.099999999999994</v>
      </c>
      <c r="V94" s="196">
        <v>81.8</v>
      </c>
      <c r="W94" s="196">
        <v>88</v>
      </c>
      <c r="X94" s="196">
        <v>85.4</v>
      </c>
      <c r="Y94" s="196">
        <v>91.6</v>
      </c>
      <c r="Z94" s="196">
        <v>87.9</v>
      </c>
      <c r="AA94" s="196">
        <v>75.400000000000006</v>
      </c>
      <c r="AB94" s="196">
        <v>88.2</v>
      </c>
      <c r="AC94" s="196">
        <v>101.9</v>
      </c>
      <c r="AD94" s="196">
        <v>109.6</v>
      </c>
      <c r="AE94" s="196">
        <v>97.7</v>
      </c>
      <c r="AF94" s="196">
        <v>118.7</v>
      </c>
      <c r="AG94" s="196">
        <v>145.1</v>
      </c>
      <c r="AH94" s="196">
        <v>172.7</v>
      </c>
      <c r="AI94" s="196">
        <v>195.6</v>
      </c>
      <c r="AJ94" s="196">
        <v>190.7</v>
      </c>
      <c r="AK94" s="196">
        <v>166</v>
      </c>
      <c r="AL94" s="196">
        <v>193.6</v>
      </c>
      <c r="AM94" s="196">
        <v>173.1</v>
      </c>
      <c r="AN94" s="196">
        <v>224.8</v>
      </c>
      <c r="AO94" s="196">
        <v>282</v>
      </c>
      <c r="AP94" s="196">
        <v>294.39999999999998</v>
      </c>
      <c r="AQ94" s="196">
        <v>274.7</v>
      </c>
      <c r="AR94" s="196">
        <v>319.8</v>
      </c>
      <c r="AS94" s="196">
        <v>369.6</v>
      </c>
      <c r="AT94" s="196">
        <v>358.4</v>
      </c>
      <c r="AU94" s="196">
        <v>358.4</v>
      </c>
      <c r="AV94" s="196">
        <v>380.8</v>
      </c>
      <c r="AW94" s="196">
        <v>423.1</v>
      </c>
      <c r="AX94" s="196">
        <v>466.8</v>
      </c>
      <c r="AY94" s="196">
        <v>550.29999999999995</v>
      </c>
      <c r="AZ94" s="196">
        <v>623.20000000000005</v>
      </c>
      <c r="BA94" s="196">
        <v>699.5</v>
      </c>
      <c r="BB94" s="196">
        <v>777.3</v>
      </c>
      <c r="BC94" s="196">
        <v>709.7</v>
      </c>
      <c r="BD94" s="196">
        <v>734.8</v>
      </c>
      <c r="BE94" s="196">
        <v>673.6</v>
      </c>
      <c r="BF94" s="196">
        <v>614.5</v>
      </c>
      <c r="BG94" s="196">
        <v>714.3</v>
      </c>
      <c r="BH94" s="196">
        <v>812</v>
      </c>
      <c r="BI94" s="196">
        <v>1041.9000000000001</v>
      </c>
      <c r="BJ94" s="196">
        <v>1216.5999999999999</v>
      </c>
      <c r="BK94" s="196">
        <v>1351.5</v>
      </c>
      <c r="BL94" s="196">
        <v>1159.8</v>
      </c>
      <c r="BM94" s="196">
        <v>841.8</v>
      </c>
      <c r="BN94" s="196">
        <v>989.5</v>
      </c>
      <c r="BO94" s="196">
        <v>1300.9000000000001</v>
      </c>
      <c r="BP94" s="196">
        <v>1388.1</v>
      </c>
    </row>
    <row r="95" spans="1:68" s="62" customFormat="1" x14ac:dyDescent="0.35">
      <c r="A95" s="77"/>
      <c r="B95" s="77"/>
      <c r="D95" s="198"/>
      <c r="H95" s="198"/>
      <c r="I95" s="198"/>
      <c r="J95" s="198"/>
      <c r="K95" s="198"/>
      <c r="L95" s="198"/>
    </row>
    <row r="96" spans="1:68" x14ac:dyDescent="0.35">
      <c r="A96" s="221" t="s">
        <v>448</v>
      </c>
      <c r="B96" s="78"/>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row>
    <row r="97" spans="1:70" x14ac:dyDescent="0.35">
      <c r="A97" s="188" t="s">
        <v>387</v>
      </c>
      <c r="B97" s="79"/>
      <c r="C97" s="78"/>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row>
    <row r="98" spans="1:70" x14ac:dyDescent="0.35">
      <c r="A98" s="187" t="s">
        <v>0</v>
      </c>
      <c r="B98" s="187" t="s">
        <v>1</v>
      </c>
      <c r="C98" s="57" t="s">
        <v>2</v>
      </c>
      <c r="D98" s="59">
        <v>1947</v>
      </c>
      <c r="E98" s="59">
        <v>1948</v>
      </c>
      <c r="F98" s="59">
        <v>1949</v>
      </c>
      <c r="G98" s="59">
        <v>1950</v>
      </c>
      <c r="H98" s="59">
        <v>1951</v>
      </c>
      <c r="I98" s="59">
        <v>1952</v>
      </c>
      <c r="J98" s="59">
        <v>1953</v>
      </c>
      <c r="K98" s="59">
        <v>1954</v>
      </c>
      <c r="L98" s="59">
        <v>1955</v>
      </c>
      <c r="M98" s="59">
        <v>1956</v>
      </c>
      <c r="N98" s="59">
        <v>1957</v>
      </c>
      <c r="O98" s="59">
        <v>1958</v>
      </c>
      <c r="P98" s="59">
        <v>1959</v>
      </c>
      <c r="Q98" s="59">
        <v>1960</v>
      </c>
      <c r="R98" s="59">
        <v>1961</v>
      </c>
      <c r="S98" s="59">
        <v>1962</v>
      </c>
      <c r="T98" s="59">
        <v>1963</v>
      </c>
      <c r="U98" s="59">
        <v>1964</v>
      </c>
      <c r="V98" s="59">
        <v>1965</v>
      </c>
      <c r="W98" s="59">
        <v>1966</v>
      </c>
      <c r="X98" s="59">
        <v>1967</v>
      </c>
      <c r="Y98" s="59">
        <v>1968</v>
      </c>
      <c r="Z98" s="59">
        <v>1969</v>
      </c>
      <c r="AA98" s="59">
        <v>1970</v>
      </c>
      <c r="AB98" s="59">
        <v>1971</v>
      </c>
      <c r="AC98" s="59">
        <v>1972</v>
      </c>
      <c r="AD98" s="59">
        <v>1973</v>
      </c>
      <c r="AE98" s="59">
        <v>1974</v>
      </c>
      <c r="AF98" s="59">
        <v>1975</v>
      </c>
      <c r="AG98" s="59">
        <v>1976</v>
      </c>
      <c r="AH98" s="59">
        <v>1977</v>
      </c>
      <c r="AI98" s="59">
        <v>1978</v>
      </c>
      <c r="AJ98" s="59">
        <v>1979</v>
      </c>
      <c r="AK98" s="59">
        <v>1980</v>
      </c>
      <c r="AL98" s="59">
        <v>1981</v>
      </c>
      <c r="AM98" s="59">
        <v>1982</v>
      </c>
      <c r="AN98" s="59">
        <v>1983</v>
      </c>
      <c r="AO98" s="59">
        <v>1984</v>
      </c>
      <c r="AP98" s="59">
        <v>1985</v>
      </c>
      <c r="AQ98" s="59">
        <v>1986</v>
      </c>
      <c r="AR98" s="59">
        <v>1987</v>
      </c>
      <c r="AS98" s="59">
        <v>1988</v>
      </c>
      <c r="AT98" s="59">
        <v>1989</v>
      </c>
      <c r="AU98" s="59">
        <v>1990</v>
      </c>
      <c r="AV98" s="59">
        <v>1991</v>
      </c>
      <c r="AW98" s="59">
        <v>1992</v>
      </c>
      <c r="AX98" s="59">
        <v>1993</v>
      </c>
      <c r="AY98" s="59">
        <v>1994</v>
      </c>
      <c r="AZ98" s="59">
        <v>1995</v>
      </c>
      <c r="BA98" s="59">
        <v>1996</v>
      </c>
      <c r="BB98" s="59">
        <v>1997</v>
      </c>
      <c r="BC98" s="59">
        <v>1998</v>
      </c>
      <c r="BD98" s="59">
        <v>1999</v>
      </c>
      <c r="BE98" s="59">
        <v>2000</v>
      </c>
      <c r="BF98" s="59">
        <v>2001</v>
      </c>
      <c r="BG98" s="59">
        <v>2002</v>
      </c>
      <c r="BH98" s="59">
        <v>2003</v>
      </c>
      <c r="BI98" s="59">
        <v>2004</v>
      </c>
      <c r="BJ98" s="59">
        <v>2005</v>
      </c>
      <c r="BK98" s="59">
        <v>2006</v>
      </c>
      <c r="BL98" s="59">
        <v>2007</v>
      </c>
      <c r="BM98" s="59">
        <v>2008</v>
      </c>
      <c r="BN98" s="59">
        <v>2009</v>
      </c>
      <c r="BO98" s="59">
        <v>2010</v>
      </c>
      <c r="BP98" s="59">
        <v>2011</v>
      </c>
    </row>
    <row r="99" spans="1:70" s="173" customFormat="1" x14ac:dyDescent="0.35">
      <c r="A99" s="203" t="s">
        <v>371</v>
      </c>
      <c r="B99" s="218" t="s">
        <v>370</v>
      </c>
      <c r="C99" s="204" t="s">
        <v>373</v>
      </c>
      <c r="D99" s="176">
        <v>-0.59999999999999964</v>
      </c>
      <c r="E99" s="176">
        <v>-0.89999999999999947</v>
      </c>
      <c r="F99" s="176">
        <v>-1.0999999999999988</v>
      </c>
      <c r="G99" s="176">
        <v>-1.0000000000000009</v>
      </c>
      <c r="H99" s="176">
        <v>-1.2999999999999998</v>
      </c>
      <c r="I99" s="176">
        <v>-1.4000000000000012</v>
      </c>
      <c r="J99" s="176">
        <v>-1.1999999999999975</v>
      </c>
      <c r="K99" s="176">
        <v>-1.4000000000000004</v>
      </c>
      <c r="L99" s="176">
        <v>-1.6000000000000032</v>
      </c>
      <c r="M99" s="176">
        <v>-1.6000000000000014</v>
      </c>
      <c r="N99" s="176">
        <v>-1.9000000000000004</v>
      </c>
      <c r="O99" s="176">
        <v>-2.1999999999999993</v>
      </c>
      <c r="P99" s="176">
        <v>-3</v>
      </c>
      <c r="Q99" s="176">
        <v>-3.3999999999999986</v>
      </c>
      <c r="R99" s="176">
        <v>-3.3000000000000078</v>
      </c>
      <c r="S99" s="176">
        <v>-3.6000000000000014</v>
      </c>
      <c r="T99" s="176">
        <v>-4.3000000000000043</v>
      </c>
      <c r="U99" s="176">
        <v>-4.2999999999999972</v>
      </c>
      <c r="V99" s="176">
        <v>-4.7000000000000028</v>
      </c>
      <c r="W99" s="176">
        <v>-4.7999999999999972</v>
      </c>
      <c r="X99" s="176">
        <v>-4.3999999999999986</v>
      </c>
      <c r="Y99" s="176">
        <v>-5.7999999999999972</v>
      </c>
      <c r="Z99" s="176">
        <v>-5.0000000000000071</v>
      </c>
      <c r="AA99" s="176">
        <v>-5.4000000000000128</v>
      </c>
      <c r="AB99" s="176">
        <v>-6.1000000000000085</v>
      </c>
      <c r="AC99" s="176">
        <v>-7.2999999999999829</v>
      </c>
      <c r="AD99" s="176">
        <v>-8.7000000000000028</v>
      </c>
      <c r="AE99" s="176">
        <v>-6.8000000000000114</v>
      </c>
      <c r="AF99" s="176">
        <v>-5.0000000000000284</v>
      </c>
      <c r="AG99" s="176">
        <v>-7.2000000000000171</v>
      </c>
      <c r="AH99" s="176">
        <v>-5.0999999999999943</v>
      </c>
      <c r="AI99" s="176">
        <v>-5.8000000000000114</v>
      </c>
      <c r="AJ99" s="176">
        <v>-7</v>
      </c>
      <c r="AK99" s="176">
        <v>1.8000000000000114</v>
      </c>
      <c r="AL99" s="176">
        <v>10.500000000000057</v>
      </c>
      <c r="AM99" s="176">
        <v>12.5</v>
      </c>
      <c r="AN99" s="176">
        <v>9.7000000000001023</v>
      </c>
      <c r="AO99" s="176">
        <v>12.800000000000068</v>
      </c>
      <c r="AP99" s="176">
        <v>5.3000000000000682</v>
      </c>
      <c r="AQ99" s="176">
        <v>7.9000000000000909</v>
      </c>
      <c r="AR99" s="176">
        <v>11.899999999999977</v>
      </c>
      <c r="AS99" s="176">
        <v>-0.20000000000004547</v>
      </c>
      <c r="AT99" s="176">
        <v>-3.8000000000000682</v>
      </c>
      <c r="AU99" s="176">
        <v>-17.299999999999955</v>
      </c>
      <c r="AV99" s="176">
        <v>-37</v>
      </c>
      <c r="AW99" s="176">
        <v>-33.700000000000045</v>
      </c>
      <c r="AX99" s="176">
        <v>-26.399999999999977</v>
      </c>
      <c r="AY99" s="176">
        <v>-23.800000000000068</v>
      </c>
      <c r="AZ99" s="176">
        <v>-48.100000000000023</v>
      </c>
      <c r="BA99" s="176">
        <v>-42.799999999999955</v>
      </c>
      <c r="BB99" s="176">
        <v>-29.900000000000091</v>
      </c>
      <c r="BC99" s="176">
        <v>-4.5999999999999091</v>
      </c>
      <c r="BD99" s="176">
        <v>-25.600000000000364</v>
      </c>
      <c r="BE99" s="176">
        <v>-26.199999999999818</v>
      </c>
      <c r="BF99" s="176">
        <v>-43.399999999999864</v>
      </c>
      <c r="BG99" s="176">
        <v>-47.600000000000136</v>
      </c>
      <c r="BH99" s="176">
        <v>-48.399999999999977</v>
      </c>
      <c r="BI99" s="176">
        <v>-85.900000000000091</v>
      </c>
      <c r="BJ99" s="176">
        <v>-86.600000000000136</v>
      </c>
      <c r="BK99" s="176">
        <v>-43.700000000000045</v>
      </c>
      <c r="BL99" s="176">
        <v>-68.200000000000273</v>
      </c>
      <c r="BM99" s="176">
        <v>81.000000000000227</v>
      </c>
      <c r="BN99" s="176">
        <v>-37.599999999999909</v>
      </c>
      <c r="BO99" s="176">
        <v>-39.200000000000045</v>
      </c>
      <c r="BP99" s="176">
        <v>-72.399999999999977</v>
      </c>
    </row>
    <row r="100" spans="1:70" s="173" customFormat="1" x14ac:dyDescent="0.35">
      <c r="A100" s="203" t="s">
        <v>372</v>
      </c>
      <c r="B100" s="218" t="s">
        <v>393</v>
      </c>
      <c r="C100" s="204" t="s">
        <v>374</v>
      </c>
      <c r="D100" s="192">
        <v>-1.3</v>
      </c>
      <c r="E100" s="192">
        <v>-1.4</v>
      </c>
      <c r="F100" s="192">
        <v>-1.4</v>
      </c>
      <c r="G100" s="192">
        <v>-1.5999999999999999</v>
      </c>
      <c r="H100" s="192">
        <v>-1.6999999999999997</v>
      </c>
      <c r="I100" s="192">
        <v>-1.9</v>
      </c>
      <c r="J100" s="192">
        <v>-2.1</v>
      </c>
      <c r="K100" s="192">
        <v>-2.1</v>
      </c>
      <c r="L100" s="192">
        <v>-2.2000000000000002</v>
      </c>
      <c r="M100" s="192">
        <v>-2.5999999999999996</v>
      </c>
      <c r="N100" s="192">
        <v>-2.9000000000000004</v>
      </c>
      <c r="O100" s="192">
        <v>-2.9000000000000004</v>
      </c>
      <c r="P100" s="192">
        <v>-3.1</v>
      </c>
      <c r="Q100" s="192">
        <v>-3.5</v>
      </c>
      <c r="R100" s="192">
        <v>-3.5999999999999996</v>
      </c>
      <c r="S100" s="192">
        <v>-3.8</v>
      </c>
      <c r="T100" s="192">
        <v>-3.8999999999999995</v>
      </c>
      <c r="U100" s="192">
        <v>-4.1000000000000005</v>
      </c>
      <c r="V100" s="192">
        <v>-4.4000000000000004</v>
      </c>
      <c r="W100" s="192">
        <v>-5.0999999999999996</v>
      </c>
      <c r="X100" s="192">
        <v>-5.6</v>
      </c>
      <c r="Y100" s="192">
        <v>-6.5</v>
      </c>
      <c r="Z100" s="192">
        <v>-7.7</v>
      </c>
      <c r="AA100" s="192">
        <v>-8.5</v>
      </c>
      <c r="AB100" s="192">
        <v>-8.7000000000000011</v>
      </c>
      <c r="AC100" s="192">
        <v>-9.5</v>
      </c>
      <c r="AD100" s="192">
        <v>-11.3</v>
      </c>
      <c r="AE100" s="192">
        <v>-13.7</v>
      </c>
      <c r="AF100" s="192">
        <v>-13.700000000000001</v>
      </c>
      <c r="AG100" s="192">
        <v>-15.3</v>
      </c>
      <c r="AH100" s="192">
        <v>-17.100000000000001</v>
      </c>
      <c r="AI100" s="192">
        <v>-21.2</v>
      </c>
      <c r="AJ100" s="192">
        <v>-26.2</v>
      </c>
      <c r="AK100" s="192">
        <v>-31.7</v>
      </c>
      <c r="AL100" s="192">
        <v>-37.700000000000003</v>
      </c>
      <c r="AM100" s="192">
        <v>-40.699999999999996</v>
      </c>
      <c r="AN100" s="192">
        <v>-34.5</v>
      </c>
      <c r="AO100" s="192">
        <v>-39.900000000000006</v>
      </c>
      <c r="AP100" s="192">
        <v>-38.5</v>
      </c>
      <c r="AQ100" s="192">
        <v>-40.799999999999997</v>
      </c>
      <c r="AR100" s="192">
        <v>-49.9</v>
      </c>
      <c r="AS100" s="192">
        <v>-56.2</v>
      </c>
      <c r="AT100" s="192">
        <v>-61</v>
      </c>
      <c r="AU100" s="192">
        <v>-56.3</v>
      </c>
      <c r="AV100" s="192">
        <v>-49.2</v>
      </c>
      <c r="AW100" s="192">
        <v>-48.7</v>
      </c>
      <c r="AX100" s="192">
        <v>-55.4</v>
      </c>
      <c r="AY100" s="192">
        <v>-62</v>
      </c>
      <c r="AZ100" s="192">
        <v>-66.2</v>
      </c>
      <c r="BA100" s="192">
        <v>-66.400000000000006</v>
      </c>
      <c r="BB100" s="192">
        <v>-70.8</v>
      </c>
      <c r="BC100" s="192">
        <v>-74.699999999999989</v>
      </c>
      <c r="BD100" s="192">
        <v>-79.400000000000006</v>
      </c>
      <c r="BE100" s="192">
        <v>-91.800000000000011</v>
      </c>
      <c r="BF100" s="192">
        <v>-94</v>
      </c>
      <c r="BG100" s="192">
        <v>-96.699999999999989</v>
      </c>
      <c r="BH100" s="192">
        <v>-103.1</v>
      </c>
      <c r="BI100" s="192">
        <v>-107.19999999999999</v>
      </c>
      <c r="BJ100" s="192">
        <v>-118.69999999999999</v>
      </c>
      <c r="BK100" s="192">
        <v>-129.80000000000001</v>
      </c>
      <c r="BL100" s="192">
        <v>-127.4</v>
      </c>
      <c r="BM100" s="192">
        <v>-126.1</v>
      </c>
      <c r="BN100" s="192">
        <v>-136.1</v>
      </c>
      <c r="BO100" s="192">
        <v>-148.6</v>
      </c>
      <c r="BP100" s="192">
        <v>-153.19999999999999</v>
      </c>
    </row>
    <row r="101" spans="1:70" x14ac:dyDescent="0.35">
      <c r="A101" s="30" t="s">
        <v>389</v>
      </c>
      <c r="B101" s="205" t="s">
        <v>376</v>
      </c>
      <c r="C101" s="76" t="s">
        <v>375</v>
      </c>
      <c r="D101" s="177">
        <f>-D99-D100</f>
        <v>1.8999999999999997</v>
      </c>
      <c r="E101" s="56">
        <f t="shared" ref="E101:BP101" si="1">-E99-E100</f>
        <v>2.2999999999999994</v>
      </c>
      <c r="F101" s="56">
        <f t="shared" si="1"/>
        <v>2.4999999999999987</v>
      </c>
      <c r="G101" s="56">
        <f t="shared" si="1"/>
        <v>2.6000000000000005</v>
      </c>
      <c r="H101" s="56">
        <f t="shared" si="1"/>
        <v>2.9999999999999996</v>
      </c>
      <c r="I101" s="56">
        <f t="shared" si="1"/>
        <v>3.3000000000000012</v>
      </c>
      <c r="J101" s="56">
        <f t="shared" si="1"/>
        <v>3.2999999999999976</v>
      </c>
      <c r="K101" s="56">
        <f t="shared" si="1"/>
        <v>3.5000000000000004</v>
      </c>
      <c r="L101" s="56">
        <f t="shared" si="1"/>
        <v>3.8000000000000034</v>
      </c>
      <c r="M101" s="56">
        <f t="shared" si="1"/>
        <v>4.2000000000000011</v>
      </c>
      <c r="N101" s="56">
        <f t="shared" si="1"/>
        <v>4.8000000000000007</v>
      </c>
      <c r="O101" s="56">
        <f t="shared" si="1"/>
        <v>5.0999999999999996</v>
      </c>
      <c r="P101" s="56">
        <f t="shared" si="1"/>
        <v>6.1</v>
      </c>
      <c r="Q101" s="56">
        <f t="shared" si="1"/>
        <v>6.8999999999999986</v>
      </c>
      <c r="R101" s="56">
        <f t="shared" si="1"/>
        <v>6.9000000000000075</v>
      </c>
      <c r="S101" s="56">
        <f t="shared" si="1"/>
        <v>7.4000000000000012</v>
      </c>
      <c r="T101" s="56">
        <f t="shared" si="1"/>
        <v>8.2000000000000028</v>
      </c>
      <c r="U101" s="56">
        <f t="shared" si="1"/>
        <v>8.3999999999999986</v>
      </c>
      <c r="V101" s="56">
        <f t="shared" si="1"/>
        <v>9.1000000000000032</v>
      </c>
      <c r="W101" s="56">
        <f t="shared" si="1"/>
        <v>9.8999999999999968</v>
      </c>
      <c r="X101" s="56">
        <f t="shared" si="1"/>
        <v>9.9999999999999982</v>
      </c>
      <c r="Y101" s="56">
        <f t="shared" si="1"/>
        <v>12.299999999999997</v>
      </c>
      <c r="Z101" s="56">
        <f t="shared" si="1"/>
        <v>12.700000000000006</v>
      </c>
      <c r="AA101" s="56">
        <f t="shared" si="1"/>
        <v>13.900000000000013</v>
      </c>
      <c r="AB101" s="56">
        <f t="shared" si="1"/>
        <v>14.80000000000001</v>
      </c>
      <c r="AC101" s="56">
        <f t="shared" si="1"/>
        <v>16.799999999999983</v>
      </c>
      <c r="AD101" s="56">
        <f t="shared" si="1"/>
        <v>20.000000000000004</v>
      </c>
      <c r="AE101" s="56">
        <f t="shared" si="1"/>
        <v>20.500000000000011</v>
      </c>
      <c r="AF101" s="56">
        <f t="shared" si="1"/>
        <v>18.700000000000031</v>
      </c>
      <c r="AG101" s="56">
        <f t="shared" si="1"/>
        <v>22.500000000000018</v>
      </c>
      <c r="AH101" s="56">
        <f t="shared" si="1"/>
        <v>22.199999999999996</v>
      </c>
      <c r="AI101" s="56">
        <f t="shared" si="1"/>
        <v>27.000000000000011</v>
      </c>
      <c r="AJ101" s="56">
        <f t="shared" si="1"/>
        <v>33.200000000000003</v>
      </c>
      <c r="AK101" s="56">
        <f t="shared" si="1"/>
        <v>29.899999999999988</v>
      </c>
      <c r="AL101" s="56">
        <f t="shared" si="1"/>
        <v>27.199999999999946</v>
      </c>
      <c r="AM101" s="56">
        <f t="shared" si="1"/>
        <v>28.199999999999996</v>
      </c>
      <c r="AN101" s="56">
        <f t="shared" si="1"/>
        <v>24.799999999999898</v>
      </c>
      <c r="AO101" s="56">
        <f t="shared" si="1"/>
        <v>27.099999999999937</v>
      </c>
      <c r="AP101" s="56">
        <f t="shared" si="1"/>
        <v>33.199999999999932</v>
      </c>
      <c r="AQ101" s="56">
        <f t="shared" si="1"/>
        <v>32.899999999999906</v>
      </c>
      <c r="AR101" s="56">
        <f t="shared" si="1"/>
        <v>38.000000000000021</v>
      </c>
      <c r="AS101" s="56">
        <f t="shared" si="1"/>
        <v>56.400000000000048</v>
      </c>
      <c r="AT101" s="56">
        <f t="shared" si="1"/>
        <v>64.800000000000068</v>
      </c>
      <c r="AU101" s="56">
        <f t="shared" si="1"/>
        <v>73.599999999999952</v>
      </c>
      <c r="AV101" s="56">
        <f t="shared" si="1"/>
        <v>86.2</v>
      </c>
      <c r="AW101" s="56">
        <f t="shared" si="1"/>
        <v>82.400000000000048</v>
      </c>
      <c r="AX101" s="56">
        <f t="shared" si="1"/>
        <v>81.799999999999983</v>
      </c>
      <c r="AY101" s="56">
        <f t="shared" si="1"/>
        <v>85.800000000000068</v>
      </c>
      <c r="AZ101" s="56">
        <f t="shared" si="1"/>
        <v>114.30000000000003</v>
      </c>
      <c r="BA101" s="56">
        <f t="shared" si="1"/>
        <v>109.19999999999996</v>
      </c>
      <c r="BB101" s="56">
        <f t="shared" si="1"/>
        <v>100.70000000000009</v>
      </c>
      <c r="BC101" s="56">
        <f t="shared" si="1"/>
        <v>79.299999999999898</v>
      </c>
      <c r="BD101" s="56">
        <f t="shared" si="1"/>
        <v>105.00000000000037</v>
      </c>
      <c r="BE101" s="56">
        <f t="shared" si="1"/>
        <v>117.99999999999983</v>
      </c>
      <c r="BF101" s="56">
        <f t="shared" si="1"/>
        <v>137.39999999999986</v>
      </c>
      <c r="BG101" s="56">
        <f t="shared" si="1"/>
        <v>144.30000000000013</v>
      </c>
      <c r="BH101" s="56">
        <f t="shared" si="1"/>
        <v>151.49999999999997</v>
      </c>
      <c r="BI101" s="56">
        <f t="shared" si="1"/>
        <v>193.10000000000008</v>
      </c>
      <c r="BJ101" s="56">
        <f t="shared" si="1"/>
        <v>205.30000000000013</v>
      </c>
      <c r="BK101" s="56">
        <f t="shared" si="1"/>
        <v>173.50000000000006</v>
      </c>
      <c r="BL101" s="56">
        <f t="shared" si="1"/>
        <v>195.60000000000028</v>
      </c>
      <c r="BM101" s="56">
        <f t="shared" si="1"/>
        <v>45.099999999999767</v>
      </c>
      <c r="BN101" s="56">
        <f t="shared" si="1"/>
        <v>173.6999999999999</v>
      </c>
      <c r="BO101" s="56">
        <f t="shared" si="1"/>
        <v>187.80000000000004</v>
      </c>
      <c r="BP101" s="56">
        <f t="shared" si="1"/>
        <v>225.59999999999997</v>
      </c>
    </row>
    <row r="102" spans="1:70" x14ac:dyDescent="0.35">
      <c r="A102" s="206" t="s">
        <v>153</v>
      </c>
      <c r="B102" s="207"/>
      <c r="C102" s="181"/>
      <c r="D102" s="175"/>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N102" s="178"/>
    </row>
    <row r="103" spans="1:70" x14ac:dyDescent="0.35">
      <c r="A103" s="183" t="s">
        <v>154</v>
      </c>
      <c r="B103" s="183" t="s">
        <v>377</v>
      </c>
      <c r="C103" s="80" t="s">
        <v>155</v>
      </c>
      <c r="D103" s="81">
        <f t="shared" ref="D103:AI103" si="2">D59+D101</f>
        <v>202.63499999999999</v>
      </c>
      <c r="E103" s="81">
        <f t="shared" si="2"/>
        <v>226.83300000000003</v>
      </c>
      <c r="F103" s="81">
        <f t="shared" si="2"/>
        <v>222.38799999999998</v>
      </c>
      <c r="G103" s="81">
        <f t="shared" si="2"/>
        <v>246.76</v>
      </c>
      <c r="H103" s="81">
        <f t="shared" si="2"/>
        <v>283.05499999999995</v>
      </c>
      <c r="I103" s="81">
        <f t="shared" si="2"/>
        <v>295.0680000000001</v>
      </c>
      <c r="J103" s="81">
        <f t="shared" si="2"/>
        <v>311.649</v>
      </c>
      <c r="K103" s="81">
        <f t="shared" si="2"/>
        <v>309.40199999999999</v>
      </c>
      <c r="L103" s="81">
        <f t="shared" si="2"/>
        <v>338.74799999999999</v>
      </c>
      <c r="M103" s="81">
        <f t="shared" si="2"/>
        <v>355.66599999999994</v>
      </c>
      <c r="N103" s="81">
        <f t="shared" si="2"/>
        <v>373.73000000000008</v>
      </c>
      <c r="O103" s="81">
        <f t="shared" si="2"/>
        <v>373.37099999999998</v>
      </c>
      <c r="P103" s="81">
        <f t="shared" si="2"/>
        <v>406.69200000000001</v>
      </c>
      <c r="Q103" s="81">
        <f t="shared" si="2"/>
        <v>419.24099999999993</v>
      </c>
      <c r="R103" s="81">
        <f t="shared" si="2"/>
        <v>430.58699999999993</v>
      </c>
      <c r="S103" s="81">
        <f t="shared" si="2"/>
        <v>463.19000000000005</v>
      </c>
      <c r="T103" s="81">
        <f t="shared" si="2"/>
        <v>486.9199999999999</v>
      </c>
      <c r="U103" s="81">
        <f t="shared" si="2"/>
        <v>523.40299999999991</v>
      </c>
      <c r="V103" s="81">
        <f t="shared" si="2"/>
        <v>569.37699999999995</v>
      </c>
      <c r="W103" s="81">
        <f t="shared" si="2"/>
        <v>623.32500000000005</v>
      </c>
      <c r="X103" s="81">
        <f t="shared" si="2"/>
        <v>652.06699999999989</v>
      </c>
      <c r="Y103" s="81">
        <f t="shared" si="2"/>
        <v>712.65199999999993</v>
      </c>
      <c r="Z103" s="81">
        <f t="shared" si="2"/>
        <v>767.524</v>
      </c>
      <c r="AA103" s="81">
        <f t="shared" si="2"/>
        <v>800.78200000000004</v>
      </c>
      <c r="AB103" s="81">
        <f t="shared" si="2"/>
        <v>866.35599999999988</v>
      </c>
      <c r="AC103" s="81">
        <f t="shared" si="2"/>
        <v>955.19100000000014</v>
      </c>
      <c r="AD103" s="81">
        <f t="shared" si="2"/>
        <v>1077.5329999999999</v>
      </c>
      <c r="AE103" s="81">
        <f t="shared" si="2"/>
        <v>1162.3990000000001</v>
      </c>
      <c r="AF103" s="81">
        <f t="shared" si="2"/>
        <v>1260.2760000000001</v>
      </c>
      <c r="AG103" s="81">
        <f t="shared" si="2"/>
        <v>1415.3519999999999</v>
      </c>
      <c r="AH103" s="81">
        <f t="shared" si="2"/>
        <v>1582.963</v>
      </c>
      <c r="AI103" s="81">
        <f t="shared" si="2"/>
        <v>1803.567</v>
      </c>
      <c r="AJ103" s="81">
        <f t="shared" ref="AJ103:BP103" si="3">AJ59+AJ101</f>
        <v>2025.5179999999996</v>
      </c>
      <c r="AK103" s="81">
        <f t="shared" si="3"/>
        <v>2176.5160000000001</v>
      </c>
      <c r="AL103" s="81">
        <f t="shared" si="3"/>
        <v>2436.1789999999996</v>
      </c>
      <c r="AM103" s="81">
        <f t="shared" si="3"/>
        <v>2493.8029999999999</v>
      </c>
      <c r="AN103" s="81">
        <f t="shared" si="3"/>
        <v>2711.6259999999997</v>
      </c>
      <c r="AO103" s="81">
        <f t="shared" si="3"/>
        <v>3033.0119999999997</v>
      </c>
      <c r="AP103" s="81">
        <f t="shared" si="3"/>
        <v>3250.2589999999996</v>
      </c>
      <c r="AQ103" s="81">
        <f t="shared" si="3"/>
        <v>3424.1289999999999</v>
      </c>
      <c r="AR103" s="81">
        <f t="shared" si="3"/>
        <v>3626.4099999999994</v>
      </c>
      <c r="AS103" s="81">
        <f t="shared" si="3"/>
        <v>3914.2779999999989</v>
      </c>
      <c r="AT103" s="81">
        <f t="shared" si="3"/>
        <v>4211.6370000000006</v>
      </c>
      <c r="AU103" s="81">
        <f t="shared" si="3"/>
        <v>4434.5069999999996</v>
      </c>
      <c r="AV103" s="81">
        <f t="shared" si="3"/>
        <v>4543.08</v>
      </c>
      <c r="AW103" s="81">
        <f t="shared" si="3"/>
        <v>4801.817</v>
      </c>
      <c r="AX103" s="81">
        <f t="shared" si="3"/>
        <v>5053.0609999999997</v>
      </c>
      <c r="AY103" s="81">
        <f t="shared" si="3"/>
        <v>5392.317</v>
      </c>
      <c r="AZ103" s="81">
        <f t="shared" si="3"/>
        <v>5666.4080000000004</v>
      </c>
      <c r="BA103" s="81">
        <f t="shared" si="3"/>
        <v>6008.7259999999997</v>
      </c>
      <c r="BB103" s="81">
        <f t="shared" si="3"/>
        <v>6408.7169999999996</v>
      </c>
      <c r="BC103" s="81">
        <f t="shared" si="3"/>
        <v>6751.6670000000004</v>
      </c>
      <c r="BD103" s="81">
        <f t="shared" si="3"/>
        <v>7209.6719999999996</v>
      </c>
      <c r="BE103" s="81">
        <f t="shared" si="3"/>
        <v>7685.4069999999992</v>
      </c>
      <c r="BF103" s="81">
        <f t="shared" si="3"/>
        <v>7902.835</v>
      </c>
      <c r="BG103" s="81">
        <f t="shared" si="3"/>
        <v>8120.8159999999998</v>
      </c>
      <c r="BH103" s="81">
        <f t="shared" si="3"/>
        <v>8495.3039999999983</v>
      </c>
      <c r="BI103" s="81">
        <f t="shared" si="3"/>
        <v>9098.4889999999996</v>
      </c>
      <c r="BJ103" s="81">
        <f t="shared" si="3"/>
        <v>9718.9329999999991</v>
      </c>
      <c r="BK103" s="81">
        <f t="shared" si="3"/>
        <v>10262.416000000001</v>
      </c>
      <c r="BL103" s="81">
        <f t="shared" si="3"/>
        <v>10759.838000000002</v>
      </c>
      <c r="BM103" s="81">
        <f t="shared" si="3"/>
        <v>10656.254000000001</v>
      </c>
      <c r="BN103" s="81">
        <f>BN59+BN101</f>
        <v>10363.256000000001</v>
      </c>
      <c r="BO103" s="81">
        <f t="shared" si="3"/>
        <v>10847.995999999997</v>
      </c>
      <c r="BP103" s="81">
        <f t="shared" si="3"/>
        <v>11393.232000000002</v>
      </c>
      <c r="BR103" s="175"/>
    </row>
    <row r="104" spans="1:70" x14ac:dyDescent="0.35">
      <c r="A104" s="183" t="s">
        <v>156</v>
      </c>
      <c r="B104" s="183" t="s">
        <v>157</v>
      </c>
      <c r="C104" s="80" t="s">
        <v>156</v>
      </c>
      <c r="D104" s="81">
        <v>2.2999999999999998</v>
      </c>
      <c r="E104" s="81">
        <v>-0.5</v>
      </c>
      <c r="F104" s="81">
        <v>1.8</v>
      </c>
      <c r="G104" s="81">
        <v>1.4</v>
      </c>
      <c r="H104" s="81">
        <v>3.6</v>
      </c>
      <c r="I104" s="81">
        <v>2.7</v>
      </c>
      <c r="J104" s="81">
        <v>4</v>
      </c>
      <c r="K104" s="81">
        <v>3.1</v>
      </c>
      <c r="L104" s="81">
        <v>2.4</v>
      </c>
      <c r="M104" s="81">
        <v>-1.8</v>
      </c>
      <c r="N104" s="81">
        <v>-0.1</v>
      </c>
      <c r="O104" s="81">
        <v>1</v>
      </c>
      <c r="P104" s="81">
        <v>0.5</v>
      </c>
      <c r="Q104" s="81">
        <v>-1</v>
      </c>
      <c r="R104" s="81">
        <v>-0.6</v>
      </c>
      <c r="S104" s="81">
        <v>0.3</v>
      </c>
      <c r="T104" s="81">
        <v>-0.8</v>
      </c>
      <c r="U104" s="81">
        <v>0.8</v>
      </c>
      <c r="V104" s="81">
        <v>1.5</v>
      </c>
      <c r="W104" s="81">
        <v>6.2</v>
      </c>
      <c r="X104" s="81">
        <v>4.5</v>
      </c>
      <c r="Y104" s="81">
        <v>4.3</v>
      </c>
      <c r="Z104" s="81">
        <v>2.9</v>
      </c>
      <c r="AA104" s="81">
        <v>6.9</v>
      </c>
      <c r="AB104" s="81">
        <v>11</v>
      </c>
      <c r="AC104" s="81">
        <v>8.9</v>
      </c>
      <c r="AD104" s="81">
        <v>8</v>
      </c>
      <c r="AE104" s="81">
        <v>9.8000000000000007</v>
      </c>
      <c r="AF104" s="81">
        <v>16.3</v>
      </c>
      <c r="AG104" s="81">
        <v>23.5</v>
      </c>
      <c r="AH104" s="81">
        <v>21.2</v>
      </c>
      <c r="AI104" s="81">
        <v>26.1</v>
      </c>
      <c r="AJ104" s="81">
        <v>47</v>
      </c>
      <c r="AK104" s="81">
        <v>45.3</v>
      </c>
      <c r="AL104" s="81">
        <v>36.6</v>
      </c>
      <c r="AM104" s="81">
        <v>4.8</v>
      </c>
      <c r="AN104" s="81">
        <v>49.7</v>
      </c>
      <c r="AO104" s="81">
        <v>31.5</v>
      </c>
      <c r="AP104" s="81">
        <v>42.3</v>
      </c>
      <c r="AQ104" s="81">
        <v>67.7</v>
      </c>
      <c r="AR104" s="81">
        <v>32.9</v>
      </c>
      <c r="AS104" s="81">
        <v>-9.5</v>
      </c>
      <c r="AT104" s="81">
        <v>56.1</v>
      </c>
      <c r="AU104" s="81">
        <v>84.2</v>
      </c>
      <c r="AV104" s="81">
        <v>79.7</v>
      </c>
      <c r="AW104" s="81">
        <v>110</v>
      </c>
      <c r="AX104" s="81">
        <v>135.80000000000001</v>
      </c>
      <c r="AY104" s="81">
        <v>108.8</v>
      </c>
      <c r="AZ104" s="81">
        <v>52.5</v>
      </c>
      <c r="BA104" s="81">
        <v>25.9</v>
      </c>
      <c r="BB104" s="81">
        <v>-14</v>
      </c>
      <c r="BC104" s="81">
        <v>-85.3</v>
      </c>
      <c r="BD104" s="81">
        <v>-71.099999999999994</v>
      </c>
      <c r="BE104" s="81">
        <v>-134</v>
      </c>
      <c r="BF104" s="81">
        <v>-103.4</v>
      </c>
      <c r="BG104" s="81">
        <v>-22.1</v>
      </c>
      <c r="BH104" s="81">
        <v>16.600000000000001</v>
      </c>
      <c r="BI104" s="81">
        <v>-22.3</v>
      </c>
      <c r="BJ104" s="81">
        <v>-95.1</v>
      </c>
      <c r="BK104" s="81">
        <v>-242.3</v>
      </c>
      <c r="BL104" s="81">
        <v>-12</v>
      </c>
      <c r="BM104" s="81">
        <v>-2.4</v>
      </c>
      <c r="BN104" s="81">
        <v>118.3</v>
      </c>
      <c r="BO104" s="81">
        <v>23.3</v>
      </c>
      <c r="BP104" s="81">
        <v>31.9</v>
      </c>
    </row>
    <row r="105" spans="1:70" x14ac:dyDescent="0.35">
      <c r="A105" s="183" t="s">
        <v>158</v>
      </c>
      <c r="B105" s="183" t="s">
        <v>159</v>
      </c>
      <c r="C105" s="80" t="s">
        <v>160</v>
      </c>
      <c r="D105" s="81">
        <f>D61+D84</f>
        <v>127.2251739961759</v>
      </c>
      <c r="E105" s="81">
        <f t="shared" ref="E105:BP105" si="4">E61+E84</f>
        <v>139.44715492957747</v>
      </c>
      <c r="F105" s="81">
        <f t="shared" si="4"/>
        <v>133.70884536082477</v>
      </c>
      <c r="G105" s="81">
        <f t="shared" si="4"/>
        <v>145.80311044327573</v>
      </c>
      <c r="H105" s="81">
        <f t="shared" si="4"/>
        <v>168.14511646063761</v>
      </c>
      <c r="I105" s="81">
        <f t="shared" si="4"/>
        <v>179.91901874999999</v>
      </c>
      <c r="J105" s="81">
        <f t="shared" si="4"/>
        <v>192.15271453590194</v>
      </c>
      <c r="K105" s="81">
        <f t="shared" si="4"/>
        <v>190.58284460260973</v>
      </c>
      <c r="L105" s="81">
        <f t="shared" si="4"/>
        <v>203.40198326359834</v>
      </c>
      <c r="M105" s="81">
        <f t="shared" si="4"/>
        <v>221.23266666666666</v>
      </c>
      <c r="N105" s="81">
        <f t="shared" si="4"/>
        <v>232.82144786729862</v>
      </c>
      <c r="O105" s="81">
        <f t="shared" si="4"/>
        <v>233.70844531633159</v>
      </c>
      <c r="P105" s="81">
        <f t="shared" si="4"/>
        <v>249.35864001728609</v>
      </c>
      <c r="Q105" s="81">
        <f t="shared" si="4"/>
        <v>261.18611092646449</v>
      </c>
      <c r="R105" s="81">
        <f t="shared" si="4"/>
        <v>267.8061565922921</v>
      </c>
      <c r="S105" s="81">
        <f t="shared" si="4"/>
        <v>284.59642433234416</v>
      </c>
      <c r="T105" s="81">
        <f t="shared" si="4"/>
        <v>297.40925435540066</v>
      </c>
      <c r="U105" s="81">
        <f t="shared" si="4"/>
        <v>317.2849629390912</v>
      </c>
      <c r="V105" s="81">
        <f t="shared" si="4"/>
        <v>341.35891220368745</v>
      </c>
      <c r="W105" s="81">
        <f t="shared" si="4"/>
        <v>375.85917928286858</v>
      </c>
      <c r="X105" s="81">
        <f t="shared" si="4"/>
        <v>399.68420721178262</v>
      </c>
      <c r="Y105" s="81">
        <f t="shared" si="4"/>
        <v>438.23503418803421</v>
      </c>
      <c r="Z105" s="81">
        <f t="shared" si="4"/>
        <v>482.69511639871388</v>
      </c>
      <c r="AA105" s="81">
        <f t="shared" si="4"/>
        <v>510.00171951219517</v>
      </c>
      <c r="AB105" s="81">
        <f t="shared" si="4"/>
        <v>538.98471918208372</v>
      </c>
      <c r="AC105" s="81">
        <f t="shared" si="4"/>
        <v>596.72373781337046</v>
      </c>
      <c r="AD105" s="81">
        <f t="shared" si="4"/>
        <v>679.1896635586636</v>
      </c>
      <c r="AE105" s="81">
        <f t="shared" si="4"/>
        <v>741.35350167858689</v>
      </c>
      <c r="AF105" s="81">
        <f t="shared" si="4"/>
        <v>773.63573091603052</v>
      </c>
      <c r="AG105" s="81">
        <f t="shared" si="4"/>
        <v>867.44794097346187</v>
      </c>
      <c r="AH105" s="81">
        <f t="shared" si="4"/>
        <v>971.40453932114872</v>
      </c>
      <c r="AI105" s="81">
        <f t="shared" si="4"/>
        <v>1113.6457545106614</v>
      </c>
      <c r="AJ105" s="81">
        <f t="shared" si="4"/>
        <v>1259.582343530964</v>
      </c>
      <c r="AK105" s="81">
        <f t="shared" si="4"/>
        <v>1365.8008719384184</v>
      </c>
      <c r="AL105" s="81">
        <f t="shared" si="4"/>
        <v>1497.3198939732142</v>
      </c>
      <c r="AM105" s="81">
        <f t="shared" si="4"/>
        <v>1555.2095161224352</v>
      </c>
      <c r="AN105" s="81">
        <f t="shared" si="4"/>
        <v>1640.6625583265281</v>
      </c>
      <c r="AO105" s="81">
        <f t="shared" si="4"/>
        <v>1828.9065190712176</v>
      </c>
      <c r="AP105" s="81">
        <f t="shared" si="4"/>
        <v>1958.6535726210348</v>
      </c>
      <c r="AQ105" s="81">
        <f t="shared" si="4"/>
        <v>2083.7759705277931</v>
      </c>
      <c r="AR105" s="81">
        <f t="shared" si="4"/>
        <v>2231.7697194184648</v>
      </c>
      <c r="AS105" s="81">
        <f t="shared" si="4"/>
        <v>2418.7501632340427</v>
      </c>
      <c r="AT105" s="81">
        <f t="shared" si="4"/>
        <v>2557.935770139371</v>
      </c>
      <c r="AU105" s="81">
        <f t="shared" si="4"/>
        <v>2696.9354836264165</v>
      </c>
      <c r="AV105" s="81">
        <f t="shared" si="4"/>
        <v>2747.8821602919938</v>
      </c>
      <c r="AW105" s="81">
        <f t="shared" si="4"/>
        <v>2919.8091645822915</v>
      </c>
      <c r="AX105" s="81">
        <f t="shared" si="4"/>
        <v>3068.9543003045683</v>
      </c>
      <c r="AY105" s="81">
        <f t="shared" si="4"/>
        <v>3246.1536755517882</v>
      </c>
      <c r="AZ105" s="81">
        <f t="shared" si="4"/>
        <v>3416.6482395857847</v>
      </c>
      <c r="BA105" s="81">
        <f t="shared" si="4"/>
        <v>3615.2889203187256</v>
      </c>
      <c r="BB105" s="81">
        <f t="shared" si="4"/>
        <v>3869.9148979544761</v>
      </c>
      <c r="BC105" s="81">
        <f t="shared" si="4"/>
        <v>4238.6199319128218</v>
      </c>
      <c r="BD105" s="81">
        <f t="shared" si="4"/>
        <v>4549.4439442178118</v>
      </c>
      <c r="BE105" s="81">
        <f t="shared" si="4"/>
        <v>4982.8619170252796</v>
      </c>
      <c r="BF105" s="81">
        <f t="shared" si="4"/>
        <v>5140.9797946834178</v>
      </c>
      <c r="BG105" s="81">
        <f t="shared" si="4"/>
        <v>5153.6092276677318</v>
      </c>
      <c r="BH105" s="81">
        <f t="shared" si="4"/>
        <v>5327.5748135231324</v>
      </c>
      <c r="BI105" s="81">
        <f t="shared" si="4"/>
        <v>5569.8012120841031</v>
      </c>
      <c r="BJ105" s="81">
        <f t="shared" si="4"/>
        <v>5846.1742803275538</v>
      </c>
      <c r="BK105" s="81">
        <f t="shared" si="4"/>
        <v>6179.7071857126448</v>
      </c>
      <c r="BL105" s="81">
        <f t="shared" si="4"/>
        <v>6460.1289385966347</v>
      </c>
      <c r="BM105" s="81">
        <f t="shared" si="4"/>
        <v>6649.7803928626217</v>
      </c>
      <c r="BN105" s="81">
        <f t="shared" si="4"/>
        <v>6148.1488942464593</v>
      </c>
      <c r="BO105" s="81">
        <f t="shared" si="4"/>
        <v>6287.769542201414</v>
      </c>
      <c r="BP105" s="81">
        <f t="shared" si="4"/>
        <v>6602.4639996586984</v>
      </c>
    </row>
    <row r="106" spans="1:70" x14ac:dyDescent="0.35">
      <c r="A106" s="183" t="s">
        <v>161</v>
      </c>
      <c r="B106" s="183" t="s">
        <v>162</v>
      </c>
      <c r="C106" s="80" t="s">
        <v>161</v>
      </c>
      <c r="D106" s="81">
        <v>16.5</v>
      </c>
      <c r="E106" s="81">
        <v>17.899999999999999</v>
      </c>
      <c r="F106" s="81">
        <v>18.899999999999995</v>
      </c>
      <c r="G106" s="81">
        <v>20.499999999999996</v>
      </c>
      <c r="H106" s="81">
        <v>21.9</v>
      </c>
      <c r="I106" s="81">
        <v>24.300000000000004</v>
      </c>
      <c r="J106" s="81">
        <v>26.3</v>
      </c>
      <c r="K106" s="81">
        <v>26.1</v>
      </c>
      <c r="L106" s="81">
        <v>28.4</v>
      </c>
      <c r="M106" s="81">
        <v>30.000000000000004</v>
      </c>
      <c r="N106" s="81">
        <v>31.7</v>
      </c>
      <c r="O106" s="81">
        <v>32.000000000000007</v>
      </c>
      <c r="P106" s="81">
        <v>34.900000000000006</v>
      </c>
      <c r="Q106" s="81">
        <v>37.800000000000004</v>
      </c>
      <c r="R106" s="81">
        <v>38.800000000000004</v>
      </c>
      <c r="S106" s="81">
        <v>41.300000000000004</v>
      </c>
      <c r="T106" s="81">
        <v>43.8</v>
      </c>
      <c r="U106" s="81">
        <v>46.499999999999993</v>
      </c>
      <c r="V106" s="81">
        <v>48.900000000000006</v>
      </c>
      <c r="W106" s="81">
        <v>49.800000000000004</v>
      </c>
      <c r="X106" s="81">
        <v>53.400000000000006</v>
      </c>
      <c r="Y106" s="81">
        <v>60.2</v>
      </c>
      <c r="Z106" s="81">
        <v>66</v>
      </c>
      <c r="AA106" s="81">
        <v>71.400000000000006</v>
      </c>
      <c r="AB106" s="81">
        <v>79.099999999999994</v>
      </c>
      <c r="AC106" s="81">
        <v>83.200000000000017</v>
      </c>
      <c r="AD106" s="81">
        <v>92.5</v>
      </c>
      <c r="AE106" s="81">
        <v>100.70000000000002</v>
      </c>
      <c r="AF106" s="81">
        <v>107.90000000000002</v>
      </c>
      <c r="AG106" s="81">
        <v>116.00000000000001</v>
      </c>
      <c r="AH106" s="81">
        <v>124.8</v>
      </c>
      <c r="AI106" s="81">
        <v>133.6</v>
      </c>
      <c r="AJ106" s="81">
        <v>142.29999999999998</v>
      </c>
      <c r="AK106" s="81">
        <v>158.69999999999999</v>
      </c>
      <c r="AL106" s="81">
        <v>188.9</v>
      </c>
      <c r="AM106" s="81">
        <v>187.5</v>
      </c>
      <c r="AN106" s="81">
        <v>201</v>
      </c>
      <c r="AO106" s="81">
        <v>224.5</v>
      </c>
      <c r="AP106" s="81">
        <v>239.70000000000005</v>
      </c>
      <c r="AQ106" s="81">
        <v>248.60000000000002</v>
      </c>
      <c r="AR106" s="81">
        <v>262.5</v>
      </c>
      <c r="AS106" s="81">
        <v>286.79999999999995</v>
      </c>
      <c r="AT106" s="81">
        <v>308.5</v>
      </c>
      <c r="AU106" s="81">
        <v>331.09999999999997</v>
      </c>
      <c r="AV106" s="81">
        <v>357.80000000000007</v>
      </c>
      <c r="AW106" s="81">
        <v>379.09999999999991</v>
      </c>
      <c r="AX106" s="81">
        <v>392.2</v>
      </c>
      <c r="AY106" s="81">
        <v>435.00000000000006</v>
      </c>
      <c r="AZ106" s="81">
        <v>445.1</v>
      </c>
      <c r="BA106" s="81">
        <v>465.09999999999991</v>
      </c>
      <c r="BB106" s="81">
        <v>494.30000000000007</v>
      </c>
      <c r="BC106" s="81">
        <v>517.90000000000009</v>
      </c>
      <c r="BD106" s="81">
        <v>540.29999999999995</v>
      </c>
      <c r="BE106" s="81">
        <v>571.70000000000016</v>
      </c>
      <c r="BF106" s="81">
        <v>572.9</v>
      </c>
      <c r="BG106" s="81">
        <v>617.4</v>
      </c>
      <c r="BH106" s="81">
        <v>647.69999999999993</v>
      </c>
      <c r="BI106" s="81">
        <v>700.5</v>
      </c>
      <c r="BJ106" s="81">
        <v>748</v>
      </c>
      <c r="BK106" s="81">
        <v>804.4</v>
      </c>
      <c r="BL106" s="81">
        <v>838.7</v>
      </c>
      <c r="BM106" s="81">
        <v>843.69999999999993</v>
      </c>
      <c r="BN106" s="81">
        <v>812.40000000000009</v>
      </c>
      <c r="BO106" s="81">
        <v>845.6</v>
      </c>
      <c r="BP106" s="81">
        <v>881.00000000000023</v>
      </c>
    </row>
    <row r="107" spans="1:70" x14ac:dyDescent="0.35">
      <c r="A107" s="183" t="s">
        <v>163</v>
      </c>
      <c r="B107" s="183" t="s">
        <v>378</v>
      </c>
      <c r="C107" s="80" t="s">
        <v>163</v>
      </c>
      <c r="D107" s="84">
        <f t="shared" ref="D107:AI107" si="5">D63-D84+D101</f>
        <v>56.609826003824068</v>
      </c>
      <c r="E107" s="84">
        <f t="shared" si="5"/>
        <v>69.985845070422542</v>
      </c>
      <c r="F107" s="84">
        <f t="shared" si="5"/>
        <v>67.979154639175249</v>
      </c>
      <c r="G107" s="84">
        <f t="shared" si="5"/>
        <v>79.056889556724286</v>
      </c>
      <c r="H107" s="84">
        <f t="shared" si="5"/>
        <v>89.409883539362397</v>
      </c>
      <c r="I107" s="84">
        <f t="shared" si="5"/>
        <v>88.148981250000062</v>
      </c>
      <c r="J107" s="84">
        <f t="shared" si="5"/>
        <v>89.196285464098082</v>
      </c>
      <c r="K107" s="84">
        <f t="shared" si="5"/>
        <v>89.61915539739023</v>
      </c>
      <c r="L107" s="84">
        <f t="shared" si="5"/>
        <v>104.54601673640171</v>
      </c>
      <c r="M107" s="84">
        <f t="shared" si="5"/>
        <v>106.23333333333332</v>
      </c>
      <c r="N107" s="84">
        <f t="shared" si="5"/>
        <v>109.30855213270146</v>
      </c>
      <c r="O107" s="84">
        <f t="shared" si="5"/>
        <v>106.66255468366845</v>
      </c>
      <c r="P107" s="84">
        <f t="shared" si="5"/>
        <v>121.93335998271391</v>
      </c>
      <c r="Q107" s="84">
        <f t="shared" si="5"/>
        <v>121.25488907353548</v>
      </c>
      <c r="R107" s="84">
        <f t="shared" si="5"/>
        <v>124.58084340770793</v>
      </c>
      <c r="S107" s="84">
        <f t="shared" si="5"/>
        <v>136.9935756676559</v>
      </c>
      <c r="T107" s="84">
        <f t="shared" si="5"/>
        <v>146.51074564459924</v>
      </c>
      <c r="U107" s="84">
        <f t="shared" si="5"/>
        <v>158.81803706090892</v>
      </c>
      <c r="V107" s="84">
        <f t="shared" si="5"/>
        <v>177.61808779631261</v>
      </c>
      <c r="W107" s="84">
        <f t="shared" si="5"/>
        <v>191.46582071713146</v>
      </c>
      <c r="X107" s="84">
        <f t="shared" si="5"/>
        <v>194.48279278821732</v>
      </c>
      <c r="Y107" s="84">
        <f t="shared" si="5"/>
        <v>209.91696581196589</v>
      </c>
      <c r="Z107" s="84">
        <f t="shared" si="5"/>
        <v>215.92888360128623</v>
      </c>
      <c r="AA107" s="84">
        <f t="shared" si="5"/>
        <v>212.48028048780469</v>
      </c>
      <c r="AB107" s="84">
        <f t="shared" si="5"/>
        <v>237.27128081791625</v>
      </c>
      <c r="AC107" s="84">
        <f t="shared" si="5"/>
        <v>266.36726218662943</v>
      </c>
      <c r="AD107" s="84">
        <f t="shared" si="5"/>
        <v>297.84333644133642</v>
      </c>
      <c r="AE107" s="84">
        <f t="shared" si="5"/>
        <v>310.54549832141299</v>
      </c>
      <c r="AF107" s="84">
        <f t="shared" si="5"/>
        <v>362.44026908396961</v>
      </c>
      <c r="AG107" s="84">
        <f t="shared" si="5"/>
        <v>408.40405902653794</v>
      </c>
      <c r="AH107" s="84">
        <f t="shared" si="5"/>
        <v>465.55846067885108</v>
      </c>
      <c r="AI107" s="84">
        <f t="shared" si="5"/>
        <v>530.2212454893388</v>
      </c>
      <c r="AJ107" s="84">
        <f t="shared" ref="AJ107:BP107" si="6">AJ63-AJ84+AJ101</f>
        <v>576.63565646903578</v>
      </c>
      <c r="AK107" s="84">
        <f t="shared" si="6"/>
        <v>606.71512806158114</v>
      </c>
      <c r="AL107" s="84">
        <f t="shared" si="6"/>
        <v>713.35910602678609</v>
      </c>
      <c r="AM107" s="84">
        <f t="shared" si="6"/>
        <v>746.29348387756454</v>
      </c>
      <c r="AN107" s="84">
        <f t="shared" si="6"/>
        <v>820.26344167347179</v>
      </c>
      <c r="AO107" s="84">
        <f t="shared" si="6"/>
        <v>948.10548092878241</v>
      </c>
      <c r="AP107" s="84">
        <f t="shared" si="6"/>
        <v>1009.6054273789646</v>
      </c>
      <c r="AQ107" s="84">
        <f t="shared" si="6"/>
        <v>1024.0530294722073</v>
      </c>
      <c r="AR107" s="84">
        <f t="shared" si="6"/>
        <v>1099.2402805815354</v>
      </c>
      <c r="AS107" s="84">
        <f t="shared" si="6"/>
        <v>1218.2278367659574</v>
      </c>
      <c r="AT107" s="84">
        <f t="shared" si="6"/>
        <v>1289.1012298606288</v>
      </c>
      <c r="AU107" s="84">
        <f t="shared" si="6"/>
        <v>1322.2715163735834</v>
      </c>
      <c r="AV107" s="84">
        <f t="shared" si="6"/>
        <v>1357.6978397080079</v>
      </c>
      <c r="AW107" s="84">
        <f t="shared" si="6"/>
        <v>1392.9078354177093</v>
      </c>
      <c r="AX107" s="84">
        <f t="shared" si="6"/>
        <v>1456.1066996954307</v>
      </c>
      <c r="AY107" s="84">
        <f t="shared" si="6"/>
        <v>1602.3633244482121</v>
      </c>
      <c r="AZ107" s="84">
        <f t="shared" si="6"/>
        <v>1752.1597604142146</v>
      </c>
      <c r="BA107" s="84">
        <f t="shared" si="6"/>
        <v>1902.4370796812757</v>
      </c>
      <c r="BB107" s="84">
        <f t="shared" si="6"/>
        <v>2058.5021020455242</v>
      </c>
      <c r="BC107" s="84">
        <f t="shared" si="6"/>
        <v>2080.4470680871777</v>
      </c>
      <c r="BD107" s="84">
        <f t="shared" si="6"/>
        <v>2191.0280557821893</v>
      </c>
      <c r="BE107" s="84">
        <f t="shared" si="6"/>
        <v>2264.8450829747203</v>
      </c>
      <c r="BF107" s="84">
        <f t="shared" si="6"/>
        <v>2292.3552053165822</v>
      </c>
      <c r="BG107" s="84">
        <f t="shared" si="6"/>
        <v>2371.9067723322678</v>
      </c>
      <c r="BH107" s="84">
        <f t="shared" si="6"/>
        <v>2503.4291864768684</v>
      </c>
      <c r="BI107" s="84">
        <f t="shared" si="6"/>
        <v>2850.4877879158958</v>
      </c>
      <c r="BJ107" s="84">
        <f t="shared" si="6"/>
        <v>3219.858719672447</v>
      </c>
      <c r="BK107" s="84">
        <f t="shared" si="6"/>
        <v>3520.608814287355</v>
      </c>
      <c r="BL107" s="84">
        <f t="shared" si="6"/>
        <v>3473.0090614033656</v>
      </c>
      <c r="BM107" s="84">
        <f t="shared" si="6"/>
        <v>3165.1736071373784</v>
      </c>
      <c r="BN107" s="84">
        <f t="shared" si="6"/>
        <v>3284.4071057535411</v>
      </c>
      <c r="BO107" s="84">
        <f t="shared" si="6"/>
        <v>3691.3264577985869</v>
      </c>
      <c r="BP107" s="84">
        <f t="shared" si="6"/>
        <v>3877.8680003413024</v>
      </c>
    </row>
    <row r="108" spans="1:70" x14ac:dyDescent="0.35">
      <c r="A108" s="183" t="s">
        <v>164</v>
      </c>
      <c r="B108" s="183" t="s">
        <v>165</v>
      </c>
      <c r="C108" s="80" t="s">
        <v>164</v>
      </c>
      <c r="D108" s="81">
        <v>13.600000000000003</v>
      </c>
      <c r="E108" s="81">
        <v>16.100000000000001</v>
      </c>
      <c r="F108" s="81">
        <v>17.5</v>
      </c>
      <c r="G108" s="81">
        <v>18.599999999999994</v>
      </c>
      <c r="H108" s="81">
        <v>21.299999999999997</v>
      </c>
      <c r="I108" s="81">
        <v>22.699999999999996</v>
      </c>
      <c r="J108" s="81">
        <v>23.700000000000003</v>
      </c>
      <c r="K108" s="81">
        <v>24.800000000000008</v>
      </c>
      <c r="L108" s="81">
        <v>25.899999999999995</v>
      </c>
      <c r="M108" s="81">
        <v>28.800000000000004</v>
      </c>
      <c r="N108" s="81">
        <v>31.300000000000004</v>
      </c>
      <c r="O108" s="81">
        <v>33.199999999999996</v>
      </c>
      <c r="P108" s="81">
        <v>34.599999999999994</v>
      </c>
      <c r="Q108" s="81">
        <v>34.800000000000004</v>
      </c>
      <c r="R108" s="81">
        <v>35.6</v>
      </c>
      <c r="S108" s="81">
        <v>36.900000000000006</v>
      </c>
      <c r="T108" s="81">
        <v>38.299999999999997</v>
      </c>
      <c r="U108" s="81">
        <v>40.300000000000004</v>
      </c>
      <c r="V108" s="81">
        <v>43.20000000000001</v>
      </c>
      <c r="W108" s="81">
        <v>47.300000000000004</v>
      </c>
      <c r="X108" s="81">
        <v>51.500000000000007</v>
      </c>
      <c r="Y108" s="81">
        <v>56.5</v>
      </c>
      <c r="Z108" s="81">
        <v>62.3</v>
      </c>
      <c r="AA108" s="81">
        <v>68.599999999999994</v>
      </c>
      <c r="AB108" s="81">
        <v>75.100000000000009</v>
      </c>
      <c r="AC108" s="81">
        <v>81.800000000000011</v>
      </c>
      <c r="AD108" s="81">
        <v>91.300000000000011</v>
      </c>
      <c r="AE108" s="81">
        <v>106.7</v>
      </c>
      <c r="AF108" s="81">
        <v>126.5</v>
      </c>
      <c r="AG108" s="81">
        <v>139.30000000000001</v>
      </c>
      <c r="AH108" s="81">
        <v>156.4</v>
      </c>
      <c r="AI108" s="81">
        <v>177.39999999999998</v>
      </c>
      <c r="AJ108" s="81">
        <v>204.59999999999997</v>
      </c>
      <c r="AK108" s="81">
        <v>236.7</v>
      </c>
      <c r="AL108" s="81">
        <v>272.59999999999997</v>
      </c>
      <c r="AM108" s="81">
        <v>302.10000000000008</v>
      </c>
      <c r="AN108" s="81">
        <v>312.89999999999998</v>
      </c>
      <c r="AO108" s="81">
        <v>327.50000000000006</v>
      </c>
      <c r="AP108" s="81">
        <v>349.70000000000005</v>
      </c>
      <c r="AQ108" s="81">
        <v>371.7</v>
      </c>
      <c r="AR108" s="81">
        <v>392.3</v>
      </c>
      <c r="AS108" s="81">
        <v>419.59999999999997</v>
      </c>
      <c r="AT108" s="81">
        <v>446.59999999999997</v>
      </c>
      <c r="AU108" s="81">
        <v>471.90000000000009</v>
      </c>
      <c r="AV108" s="81">
        <v>492.8</v>
      </c>
      <c r="AW108" s="81">
        <v>503.09999999999997</v>
      </c>
      <c r="AX108" s="81">
        <v>523.4</v>
      </c>
      <c r="AY108" s="81">
        <v>551.6</v>
      </c>
      <c r="AZ108" s="81">
        <v>588.30000000000007</v>
      </c>
      <c r="BA108" s="81">
        <v>621.49999999999989</v>
      </c>
      <c r="BB108" s="81">
        <v>660.89999999999986</v>
      </c>
      <c r="BC108" s="81">
        <v>704.40000000000009</v>
      </c>
      <c r="BD108" s="81">
        <v>759.50000000000011</v>
      </c>
      <c r="BE108" s="81">
        <v>827</v>
      </c>
      <c r="BF108" s="81">
        <v>879.30000000000007</v>
      </c>
      <c r="BG108" s="81">
        <v>911.3</v>
      </c>
      <c r="BH108" s="81">
        <v>938.49999999999989</v>
      </c>
      <c r="BI108" s="81">
        <v>981.99999999999989</v>
      </c>
      <c r="BJ108" s="81">
        <v>1049.3</v>
      </c>
      <c r="BK108" s="81">
        <v>1127.2</v>
      </c>
      <c r="BL108" s="81">
        <v>1194.7</v>
      </c>
      <c r="BM108" s="81">
        <v>1252.4000000000001</v>
      </c>
      <c r="BN108" s="81">
        <v>1254.0999999999999</v>
      </c>
      <c r="BO108" s="81">
        <v>1249</v>
      </c>
      <c r="BP108" s="81">
        <v>1289.6999999999998</v>
      </c>
    </row>
    <row r="109" spans="1:70" x14ac:dyDescent="0.35">
      <c r="A109" s="183" t="s">
        <v>166</v>
      </c>
      <c r="B109" s="183" t="s">
        <v>379</v>
      </c>
      <c r="C109" s="80" t="s">
        <v>166</v>
      </c>
      <c r="D109" s="81">
        <f>D103-D108</f>
        <v>189.035</v>
      </c>
      <c r="E109" s="81">
        <f t="shared" ref="E109:BP109" si="7">E103-E108</f>
        <v>210.73300000000003</v>
      </c>
      <c r="F109" s="81">
        <f t="shared" si="7"/>
        <v>204.88799999999998</v>
      </c>
      <c r="G109" s="81">
        <f t="shared" si="7"/>
        <v>228.16</v>
      </c>
      <c r="H109" s="81">
        <f t="shared" si="7"/>
        <v>261.75499999999994</v>
      </c>
      <c r="I109" s="81">
        <f t="shared" si="7"/>
        <v>272.36800000000011</v>
      </c>
      <c r="J109" s="81">
        <f t="shared" si="7"/>
        <v>287.94900000000001</v>
      </c>
      <c r="K109" s="81">
        <f t="shared" si="7"/>
        <v>284.60199999999998</v>
      </c>
      <c r="L109" s="81">
        <f t="shared" si="7"/>
        <v>312.84800000000001</v>
      </c>
      <c r="M109" s="81">
        <f t="shared" si="7"/>
        <v>326.86599999999993</v>
      </c>
      <c r="N109" s="81">
        <f t="shared" si="7"/>
        <v>342.43000000000006</v>
      </c>
      <c r="O109" s="81">
        <f t="shared" si="7"/>
        <v>340.17099999999999</v>
      </c>
      <c r="P109" s="81">
        <f t="shared" si="7"/>
        <v>372.09199999999998</v>
      </c>
      <c r="Q109" s="81">
        <f t="shared" si="7"/>
        <v>384.44099999999992</v>
      </c>
      <c r="R109" s="81">
        <f t="shared" si="7"/>
        <v>394.98699999999991</v>
      </c>
      <c r="S109" s="81">
        <f t="shared" si="7"/>
        <v>426.29000000000008</v>
      </c>
      <c r="T109" s="81">
        <f t="shared" si="7"/>
        <v>448.61999999999989</v>
      </c>
      <c r="U109" s="81">
        <f t="shared" si="7"/>
        <v>483.10299999999989</v>
      </c>
      <c r="V109" s="81">
        <f t="shared" si="7"/>
        <v>526.17699999999991</v>
      </c>
      <c r="W109" s="81">
        <f t="shared" si="7"/>
        <v>576.02500000000009</v>
      </c>
      <c r="X109" s="81">
        <f t="shared" si="7"/>
        <v>600.56699999999989</v>
      </c>
      <c r="Y109" s="81">
        <f t="shared" si="7"/>
        <v>656.15199999999993</v>
      </c>
      <c r="Z109" s="81">
        <f t="shared" si="7"/>
        <v>705.22400000000005</v>
      </c>
      <c r="AA109" s="81">
        <f t="shared" si="7"/>
        <v>732.18200000000002</v>
      </c>
      <c r="AB109" s="81">
        <f t="shared" si="7"/>
        <v>791.25599999999986</v>
      </c>
      <c r="AC109" s="81">
        <f t="shared" si="7"/>
        <v>873.39100000000008</v>
      </c>
      <c r="AD109" s="81">
        <f t="shared" si="7"/>
        <v>986.23299999999995</v>
      </c>
      <c r="AE109" s="81">
        <f t="shared" si="7"/>
        <v>1055.6990000000001</v>
      </c>
      <c r="AF109" s="81">
        <f t="shared" si="7"/>
        <v>1133.7760000000001</v>
      </c>
      <c r="AG109" s="81">
        <f t="shared" si="7"/>
        <v>1276.0519999999999</v>
      </c>
      <c r="AH109" s="81">
        <f t="shared" si="7"/>
        <v>1426.5629999999999</v>
      </c>
      <c r="AI109" s="81">
        <f t="shared" si="7"/>
        <v>1626.1669999999999</v>
      </c>
      <c r="AJ109" s="81">
        <f t="shared" si="7"/>
        <v>1820.9179999999997</v>
      </c>
      <c r="AK109" s="81">
        <f t="shared" si="7"/>
        <v>1939.816</v>
      </c>
      <c r="AL109" s="81">
        <f t="shared" si="7"/>
        <v>2163.5789999999997</v>
      </c>
      <c r="AM109" s="81">
        <f t="shared" si="7"/>
        <v>2191.703</v>
      </c>
      <c r="AN109" s="81">
        <f t="shared" si="7"/>
        <v>2398.7259999999997</v>
      </c>
      <c r="AO109" s="81">
        <f t="shared" si="7"/>
        <v>2705.5119999999997</v>
      </c>
      <c r="AP109" s="81">
        <f t="shared" si="7"/>
        <v>2900.5589999999993</v>
      </c>
      <c r="AQ109" s="81">
        <f t="shared" si="7"/>
        <v>3052.4290000000001</v>
      </c>
      <c r="AR109" s="81">
        <f t="shared" si="7"/>
        <v>3234.1099999999992</v>
      </c>
      <c r="AS109" s="81">
        <f t="shared" si="7"/>
        <v>3494.677999999999</v>
      </c>
      <c r="AT109" s="81">
        <f t="shared" si="7"/>
        <v>3765.0370000000007</v>
      </c>
      <c r="AU109" s="81">
        <f t="shared" si="7"/>
        <v>3962.6069999999995</v>
      </c>
      <c r="AV109" s="81">
        <f t="shared" si="7"/>
        <v>4050.2799999999997</v>
      </c>
      <c r="AW109" s="81">
        <f t="shared" si="7"/>
        <v>4298.7169999999996</v>
      </c>
      <c r="AX109" s="81">
        <f t="shared" si="7"/>
        <v>4529.6610000000001</v>
      </c>
      <c r="AY109" s="81">
        <f t="shared" si="7"/>
        <v>4840.7169999999996</v>
      </c>
      <c r="AZ109" s="81">
        <f t="shared" si="7"/>
        <v>5078.1080000000002</v>
      </c>
      <c r="BA109" s="81">
        <f t="shared" si="7"/>
        <v>5387.2259999999997</v>
      </c>
      <c r="BB109" s="81">
        <f t="shared" si="7"/>
        <v>5747.817</v>
      </c>
      <c r="BC109" s="81">
        <f t="shared" si="7"/>
        <v>6047.2669999999998</v>
      </c>
      <c r="BD109" s="81">
        <f t="shared" si="7"/>
        <v>6450.1719999999996</v>
      </c>
      <c r="BE109" s="81">
        <f t="shared" si="7"/>
        <v>6858.4069999999992</v>
      </c>
      <c r="BF109" s="81">
        <f t="shared" si="7"/>
        <v>7023.5349999999999</v>
      </c>
      <c r="BG109" s="81">
        <f t="shared" si="7"/>
        <v>7209.5159999999996</v>
      </c>
      <c r="BH109" s="81">
        <f t="shared" si="7"/>
        <v>7556.8039999999983</v>
      </c>
      <c r="BI109" s="81">
        <f t="shared" si="7"/>
        <v>8116.4889999999996</v>
      </c>
      <c r="BJ109" s="81">
        <f t="shared" si="7"/>
        <v>8669.6329999999998</v>
      </c>
      <c r="BK109" s="81">
        <f t="shared" si="7"/>
        <v>9135.2160000000003</v>
      </c>
      <c r="BL109" s="81">
        <f t="shared" si="7"/>
        <v>9565.1380000000008</v>
      </c>
      <c r="BM109" s="81">
        <f t="shared" si="7"/>
        <v>9403.8540000000012</v>
      </c>
      <c r="BN109" s="81">
        <f t="shared" si="7"/>
        <v>9109.1560000000009</v>
      </c>
      <c r="BO109" s="81">
        <f t="shared" si="7"/>
        <v>9598.9959999999974</v>
      </c>
      <c r="BP109" s="81">
        <f t="shared" si="7"/>
        <v>10103.532000000003</v>
      </c>
    </row>
    <row r="110" spans="1:70" x14ac:dyDescent="0.35">
      <c r="A110" s="183" t="s">
        <v>167</v>
      </c>
      <c r="B110" s="183" t="s">
        <v>380</v>
      </c>
      <c r="C110" s="80" t="s">
        <v>167</v>
      </c>
      <c r="D110" s="81">
        <f t="shared" ref="D110:AI110" si="8">D65-D84+D101</f>
        <v>42.966826003824075</v>
      </c>
      <c r="E110" s="81">
        <f t="shared" si="8"/>
        <v>53.908845070422551</v>
      </c>
      <c r="F110" s="81">
        <f t="shared" si="8"/>
        <v>50.458154639175248</v>
      </c>
      <c r="G110" s="81">
        <f t="shared" si="8"/>
        <v>60.416889556724293</v>
      </c>
      <c r="H110" s="81">
        <f t="shared" si="8"/>
        <v>68.168883539362383</v>
      </c>
      <c r="I110" s="81">
        <f t="shared" si="8"/>
        <v>65.421981250000059</v>
      </c>
      <c r="J110" s="81">
        <f t="shared" si="8"/>
        <v>65.587285464098088</v>
      </c>
      <c r="K110" s="81">
        <f t="shared" si="8"/>
        <v>64.875155397390259</v>
      </c>
      <c r="L110" s="81">
        <f t="shared" si="8"/>
        <v>78.650016736401696</v>
      </c>
      <c r="M110" s="81">
        <f t="shared" si="8"/>
        <v>77.409333333333336</v>
      </c>
      <c r="N110" s="81">
        <f t="shared" si="8"/>
        <v>77.925552132701469</v>
      </c>
      <c r="O110" s="81">
        <f t="shared" si="8"/>
        <v>73.459554683668443</v>
      </c>
      <c r="P110" s="81">
        <f t="shared" si="8"/>
        <v>87.372359982713903</v>
      </c>
      <c r="Q110" s="81">
        <f t="shared" si="8"/>
        <v>86.480889073535479</v>
      </c>
      <c r="R110" s="81">
        <f t="shared" si="8"/>
        <v>88.989843407707923</v>
      </c>
      <c r="S110" s="81">
        <f t="shared" si="8"/>
        <v>100.13957566765589</v>
      </c>
      <c r="T110" s="81">
        <f t="shared" si="8"/>
        <v>108.27074564459919</v>
      </c>
      <c r="U110" s="81">
        <f t="shared" si="8"/>
        <v>118.51003706090887</v>
      </c>
      <c r="V110" s="81">
        <f t="shared" si="8"/>
        <v>134.33808779631261</v>
      </c>
      <c r="W110" s="81">
        <f t="shared" si="8"/>
        <v>144.24682071713144</v>
      </c>
      <c r="X110" s="81">
        <f t="shared" si="8"/>
        <v>142.9777927882173</v>
      </c>
      <c r="Y110" s="81">
        <f t="shared" si="8"/>
        <v>153.41596581196586</v>
      </c>
      <c r="Z110" s="81">
        <f t="shared" si="8"/>
        <v>153.66788360128621</v>
      </c>
      <c r="AA110" s="81">
        <f t="shared" si="8"/>
        <v>143.88728048780467</v>
      </c>
      <c r="AB110" s="81">
        <f t="shared" si="8"/>
        <v>162.17628081791622</v>
      </c>
      <c r="AC110" s="81">
        <f t="shared" si="8"/>
        <v>184.59026218662947</v>
      </c>
      <c r="AD110" s="81">
        <f t="shared" si="8"/>
        <v>206.52533644133632</v>
      </c>
      <c r="AE110" s="81">
        <f t="shared" si="8"/>
        <v>203.80649832141302</v>
      </c>
      <c r="AF110" s="81">
        <f t="shared" si="8"/>
        <v>235.94226908396956</v>
      </c>
      <c r="AG110" s="81">
        <f t="shared" si="8"/>
        <v>269.15105902653801</v>
      </c>
      <c r="AH110" s="81">
        <f t="shared" si="8"/>
        <v>309.1634606788511</v>
      </c>
      <c r="AI110" s="81">
        <f t="shared" si="8"/>
        <v>352.84924548933873</v>
      </c>
      <c r="AJ110" s="81">
        <f t="shared" ref="AJ110:BP110" si="9">AJ65-AJ84+AJ101</f>
        <v>372.03165646903568</v>
      </c>
      <c r="AK110" s="81">
        <f t="shared" si="9"/>
        <v>370.01312806158114</v>
      </c>
      <c r="AL110" s="81">
        <f t="shared" si="9"/>
        <v>440.77510602678615</v>
      </c>
      <c r="AM110" s="81">
        <f t="shared" si="9"/>
        <v>444.27448387756459</v>
      </c>
      <c r="AN110" s="81">
        <f t="shared" si="9"/>
        <v>507.38344167347196</v>
      </c>
      <c r="AO110" s="81">
        <f t="shared" si="9"/>
        <v>620.57748092878228</v>
      </c>
      <c r="AP110" s="81">
        <f t="shared" si="9"/>
        <v>659.9164273789645</v>
      </c>
      <c r="AQ110" s="81">
        <f t="shared" si="9"/>
        <v>652.42102947220724</v>
      </c>
      <c r="AR110" s="81">
        <f t="shared" si="9"/>
        <v>706.89128058153517</v>
      </c>
      <c r="AS110" s="81">
        <f t="shared" si="9"/>
        <v>798.60883676595711</v>
      </c>
      <c r="AT110" s="81">
        <f t="shared" si="9"/>
        <v>842.50022986062856</v>
      </c>
      <c r="AU110" s="81">
        <f t="shared" si="9"/>
        <v>850.43551637358371</v>
      </c>
      <c r="AV110" s="81">
        <f t="shared" si="9"/>
        <v>864.88783970800773</v>
      </c>
      <c r="AW110" s="81">
        <f t="shared" si="9"/>
        <v>889.74683541770924</v>
      </c>
      <c r="AX110" s="81">
        <f t="shared" si="9"/>
        <v>932.75269969543069</v>
      </c>
      <c r="AY110" s="81">
        <f t="shared" si="9"/>
        <v>1050.7863244482119</v>
      </c>
      <c r="AZ110" s="81">
        <f t="shared" si="9"/>
        <v>1163.9227604142147</v>
      </c>
      <c r="BA110" s="81">
        <f t="shared" si="9"/>
        <v>1280.9750796812752</v>
      </c>
      <c r="BB110" s="81">
        <f t="shared" si="9"/>
        <v>1397.6261020455238</v>
      </c>
      <c r="BC110" s="81">
        <f t="shared" si="9"/>
        <v>1375.9830680871783</v>
      </c>
      <c r="BD110" s="81">
        <f t="shared" si="9"/>
        <v>1431.5730557821894</v>
      </c>
      <c r="BE110" s="81">
        <f t="shared" si="9"/>
        <v>1437.88508297472</v>
      </c>
      <c r="BF110" s="81">
        <f t="shared" si="9"/>
        <v>1413.0172053165827</v>
      </c>
      <c r="BG110" s="81">
        <f t="shared" si="9"/>
        <v>1460.5677723322683</v>
      </c>
      <c r="BH110" s="81">
        <f t="shared" si="9"/>
        <v>1564.9061864768687</v>
      </c>
      <c r="BI110" s="81">
        <f t="shared" si="9"/>
        <v>1868.4637879158961</v>
      </c>
      <c r="BJ110" s="81">
        <f t="shared" si="9"/>
        <v>2170.572719672447</v>
      </c>
      <c r="BK110" s="81">
        <f t="shared" si="9"/>
        <v>2393.4358142873552</v>
      </c>
      <c r="BL110" s="81">
        <f t="shared" si="9"/>
        <v>2278.3340614033655</v>
      </c>
      <c r="BM110" s="81">
        <f t="shared" si="9"/>
        <v>1912.7876071373785</v>
      </c>
      <c r="BN110" s="81">
        <f>BN65-BN84+BN101</f>
        <v>2030.3431057535413</v>
      </c>
      <c r="BO110" s="81">
        <f t="shared" si="9"/>
        <v>2442.3164577985863</v>
      </c>
      <c r="BP110" s="81">
        <f t="shared" si="9"/>
        <v>2588.1290003413023</v>
      </c>
    </row>
    <row r="111" spans="1:70" x14ac:dyDescent="0.35">
      <c r="A111" s="183" t="s">
        <v>444</v>
      </c>
      <c r="B111" s="183" t="s">
        <v>381</v>
      </c>
      <c r="C111" s="80" t="s">
        <v>413</v>
      </c>
      <c r="D111" s="81">
        <f t="shared" ref="D111:AI111" si="10">D66+D101</f>
        <v>3.0999999999999996</v>
      </c>
      <c r="E111" s="81">
        <f t="shared" si="10"/>
        <v>3.3999999999999995</v>
      </c>
      <c r="F111" s="81">
        <f t="shared" si="10"/>
        <v>3.7999999999999985</v>
      </c>
      <c r="G111" s="81">
        <f t="shared" si="10"/>
        <v>4</v>
      </c>
      <c r="H111" s="81">
        <f t="shared" si="10"/>
        <v>4.5</v>
      </c>
      <c r="I111" s="81">
        <f t="shared" si="10"/>
        <v>5.0000000000000009</v>
      </c>
      <c r="J111" s="81">
        <f t="shared" si="10"/>
        <v>5.2999999999999972</v>
      </c>
      <c r="K111" s="81">
        <f t="shared" si="10"/>
        <v>5.9</v>
      </c>
      <c r="L111" s="81">
        <f t="shared" si="10"/>
        <v>6.5000000000000036</v>
      </c>
      <c r="M111" s="81">
        <f t="shared" si="10"/>
        <v>7.0000000000000009</v>
      </c>
      <c r="N111" s="81">
        <f t="shared" si="10"/>
        <v>8.1000000000000014</v>
      </c>
      <c r="O111" s="81">
        <f t="shared" si="10"/>
        <v>9.1999999999999993</v>
      </c>
      <c r="P111" s="81">
        <f t="shared" si="10"/>
        <v>9.6</v>
      </c>
      <c r="Q111" s="81">
        <f t="shared" si="10"/>
        <v>10.6</v>
      </c>
      <c r="R111" s="81">
        <f t="shared" si="10"/>
        <v>11.700000000000006</v>
      </c>
      <c r="S111" s="81">
        <f t="shared" si="10"/>
        <v>13.000000000000004</v>
      </c>
      <c r="T111" s="81">
        <f t="shared" si="10"/>
        <v>14.000000000000002</v>
      </c>
      <c r="U111" s="81">
        <f t="shared" si="10"/>
        <v>15.299999999999997</v>
      </c>
      <c r="V111" s="81">
        <f t="shared" si="10"/>
        <v>17.300000000000004</v>
      </c>
      <c r="W111" s="81">
        <f t="shared" si="10"/>
        <v>19.999999999999993</v>
      </c>
      <c r="X111" s="81">
        <f t="shared" si="10"/>
        <v>22.299999999999997</v>
      </c>
      <c r="Y111" s="81">
        <f t="shared" si="10"/>
        <v>25.4</v>
      </c>
      <c r="Z111" s="81">
        <f t="shared" si="10"/>
        <v>30.800000000000008</v>
      </c>
      <c r="AA111" s="81">
        <f t="shared" si="10"/>
        <v>37.200000000000017</v>
      </c>
      <c r="AB111" s="81">
        <f t="shared" si="10"/>
        <v>40.000000000000014</v>
      </c>
      <c r="AC111" s="81">
        <f t="shared" si="10"/>
        <v>43.899999999999977</v>
      </c>
      <c r="AD111" s="81">
        <f t="shared" si="10"/>
        <v>52.600000000000009</v>
      </c>
      <c r="AE111" s="81">
        <f t="shared" si="10"/>
        <v>64.600000000000009</v>
      </c>
      <c r="AF111" s="81">
        <f t="shared" si="10"/>
        <v>68.400000000000034</v>
      </c>
      <c r="AG111" s="81">
        <f t="shared" si="10"/>
        <v>70.200000000000017</v>
      </c>
      <c r="AH111" s="81">
        <f t="shared" si="10"/>
        <v>77.899999999999991</v>
      </c>
      <c r="AI111" s="81">
        <f t="shared" si="10"/>
        <v>91.000000000000014</v>
      </c>
      <c r="AJ111" s="81">
        <f t="shared" ref="AJ111:BP111" si="11">AJ66+AJ101</f>
        <v>112.2</v>
      </c>
      <c r="AK111" s="81">
        <f t="shared" si="11"/>
        <v>138.39999999999998</v>
      </c>
      <c r="AL111" s="81">
        <f t="shared" si="11"/>
        <v>169.09999999999997</v>
      </c>
      <c r="AM111" s="81">
        <f t="shared" si="11"/>
        <v>191.09999999999997</v>
      </c>
      <c r="AN111" s="81">
        <f t="shared" si="11"/>
        <v>189.29999999999993</v>
      </c>
      <c r="AO111" s="81">
        <f t="shared" si="11"/>
        <v>220.89999999999998</v>
      </c>
      <c r="AP111" s="81">
        <f t="shared" si="11"/>
        <v>236.29999999999995</v>
      </c>
      <c r="AQ111" s="81">
        <f t="shared" si="11"/>
        <v>254.89999999999992</v>
      </c>
      <c r="AR111" s="81">
        <f t="shared" si="11"/>
        <v>259.10000000000002</v>
      </c>
      <c r="AS111" s="81">
        <f t="shared" si="11"/>
        <v>288.60000000000008</v>
      </c>
      <c r="AT111" s="81">
        <f t="shared" si="11"/>
        <v>338.2000000000001</v>
      </c>
      <c r="AU111" s="81">
        <f t="shared" si="11"/>
        <v>341.4</v>
      </c>
      <c r="AV111" s="81">
        <f t="shared" si="11"/>
        <v>324.89999999999998</v>
      </c>
      <c r="AW111" s="81">
        <f t="shared" si="11"/>
        <v>285.60000000000002</v>
      </c>
      <c r="AX111" s="81">
        <f t="shared" si="11"/>
        <v>270.29999999999995</v>
      </c>
      <c r="AY111" s="81">
        <f t="shared" si="11"/>
        <v>280.30000000000007</v>
      </c>
      <c r="AZ111" s="81">
        <f t="shared" si="11"/>
        <v>296.5</v>
      </c>
      <c r="BA111" s="81">
        <f t="shared" si="11"/>
        <v>300.59999999999991</v>
      </c>
      <c r="BB111" s="81">
        <f t="shared" si="11"/>
        <v>326.60000000000014</v>
      </c>
      <c r="BC111" s="81">
        <f t="shared" si="11"/>
        <v>366.19999999999993</v>
      </c>
      <c r="BD111" s="81">
        <f t="shared" si="11"/>
        <v>382.90000000000032</v>
      </c>
      <c r="BE111" s="81">
        <f t="shared" si="11"/>
        <v>441.49999999999983</v>
      </c>
      <c r="BF111" s="81">
        <f t="shared" si="11"/>
        <v>453.59999999999985</v>
      </c>
      <c r="BG111" s="81">
        <f t="shared" si="11"/>
        <v>397.50000000000017</v>
      </c>
      <c r="BH111" s="81">
        <f t="shared" si="11"/>
        <v>384.6</v>
      </c>
      <c r="BI111" s="81">
        <f t="shared" si="11"/>
        <v>377.1</v>
      </c>
      <c r="BJ111" s="81">
        <f t="shared" si="11"/>
        <v>448.00000000000011</v>
      </c>
      <c r="BK111" s="81">
        <f t="shared" si="11"/>
        <v>501.2000000000001</v>
      </c>
      <c r="BL111" s="81">
        <f t="shared" si="11"/>
        <v>597.40000000000032</v>
      </c>
      <c r="BM111" s="81">
        <f t="shared" si="11"/>
        <v>582.89999999999975</v>
      </c>
      <c r="BN111" s="81">
        <f t="shared" si="11"/>
        <v>516.99999999999989</v>
      </c>
      <c r="BO111" s="81">
        <f t="shared" si="11"/>
        <v>498.6</v>
      </c>
      <c r="BP111" s="81">
        <f t="shared" si="11"/>
        <v>523.39999999999986</v>
      </c>
    </row>
    <row r="112" spans="1:70" x14ac:dyDescent="0.35">
      <c r="A112" s="183" t="s">
        <v>168</v>
      </c>
      <c r="B112" s="183" t="s">
        <v>169</v>
      </c>
      <c r="C112" s="80" t="s">
        <v>411</v>
      </c>
      <c r="D112" s="81">
        <v>0.7</v>
      </c>
      <c r="E112" s="81">
        <v>0.7</v>
      </c>
      <c r="F112" s="81">
        <v>0.7</v>
      </c>
      <c r="G112" s="81">
        <v>0.9</v>
      </c>
      <c r="H112" s="81">
        <v>1.2</v>
      </c>
      <c r="I112" s="81">
        <v>1.3</v>
      </c>
      <c r="J112" s="81">
        <v>1.2</v>
      </c>
      <c r="K112" s="81">
        <v>1</v>
      </c>
      <c r="L112" s="81">
        <v>1.4</v>
      </c>
      <c r="M112" s="81">
        <v>1.7</v>
      </c>
      <c r="N112" s="81">
        <v>1.9</v>
      </c>
      <c r="O112" s="81">
        <v>1.8</v>
      </c>
      <c r="P112" s="81">
        <v>1.8</v>
      </c>
      <c r="Q112" s="81">
        <v>1.9</v>
      </c>
      <c r="R112" s="81">
        <v>2.1</v>
      </c>
      <c r="S112" s="81">
        <v>2.3000000000000003</v>
      </c>
      <c r="T112" s="81">
        <v>2.8000000000000003</v>
      </c>
      <c r="U112" s="81">
        <v>3.2</v>
      </c>
      <c r="V112" s="81">
        <v>3.7</v>
      </c>
      <c r="W112" s="81">
        <v>3.5</v>
      </c>
      <c r="X112" s="81">
        <v>3.8</v>
      </c>
      <c r="Y112" s="81">
        <v>4.3</v>
      </c>
      <c r="Z112" s="81">
        <v>4.9000000000000004</v>
      </c>
      <c r="AA112" s="81">
        <v>4.5</v>
      </c>
      <c r="AB112" s="81">
        <v>4.2</v>
      </c>
      <c r="AC112" s="81">
        <v>4.7</v>
      </c>
      <c r="AD112" s="81">
        <v>5.9</v>
      </c>
      <c r="AE112" s="81">
        <v>7.3999999999999995</v>
      </c>
      <c r="AF112" s="81">
        <v>9.6</v>
      </c>
      <c r="AG112" s="81">
        <v>9.4</v>
      </c>
      <c r="AH112" s="81">
        <v>8.1</v>
      </c>
      <c r="AI112" s="81">
        <v>10.3</v>
      </c>
      <c r="AJ112" s="81">
        <v>13.4</v>
      </c>
      <c r="AK112" s="81">
        <v>15</v>
      </c>
      <c r="AL112" s="81">
        <v>17.7</v>
      </c>
      <c r="AM112" s="81">
        <v>20.6</v>
      </c>
      <c r="AN112" s="81">
        <v>22.700000000000003</v>
      </c>
      <c r="AO112" s="81">
        <v>30.400000000000002</v>
      </c>
      <c r="AP112" s="81">
        <v>35.5</v>
      </c>
      <c r="AQ112" s="81">
        <v>35.9</v>
      </c>
      <c r="AR112" s="81">
        <v>32.5</v>
      </c>
      <c r="AS112" s="81">
        <v>32.9</v>
      </c>
      <c r="AT112" s="81">
        <v>40.1</v>
      </c>
      <c r="AU112" s="81">
        <v>40.9</v>
      </c>
      <c r="AV112" s="81">
        <v>40.5</v>
      </c>
      <c r="AW112" s="81">
        <v>42.1</v>
      </c>
      <c r="AX112" s="81">
        <v>39</v>
      </c>
      <c r="AY112" s="81">
        <v>40.1</v>
      </c>
      <c r="AZ112" s="81">
        <v>44.099999999999994</v>
      </c>
      <c r="BA112" s="81">
        <v>54.5</v>
      </c>
      <c r="BB112" s="81">
        <v>46.699999999999996</v>
      </c>
      <c r="BC112" s="81">
        <v>63.400000000000006</v>
      </c>
      <c r="BD112" s="81">
        <v>67</v>
      </c>
      <c r="BE112" s="81">
        <v>86.2</v>
      </c>
      <c r="BF112" s="81">
        <v>102.3</v>
      </c>
      <c r="BG112" s="81">
        <v>79.800000000000011</v>
      </c>
      <c r="BH112" s="81">
        <v>71.699999999999989</v>
      </c>
      <c r="BI112" s="81">
        <v>75.900000000000006</v>
      </c>
      <c r="BJ112" s="81">
        <v>84.600000000000009</v>
      </c>
      <c r="BK112" s="81">
        <v>72.3</v>
      </c>
      <c r="BL112" s="81">
        <v>94.399999999999991</v>
      </c>
      <c r="BM112" s="81">
        <v>119.8</v>
      </c>
      <c r="BN112" s="81">
        <v>127.7</v>
      </c>
      <c r="BO112" s="81">
        <v>136.1</v>
      </c>
      <c r="BP112" s="81">
        <v>134.6</v>
      </c>
    </row>
    <row r="113" spans="1:122" x14ac:dyDescent="0.35">
      <c r="A113" s="183" t="s">
        <v>170</v>
      </c>
      <c r="B113" s="183" t="s">
        <v>171</v>
      </c>
      <c r="C113" s="80" t="s">
        <v>412</v>
      </c>
      <c r="D113" s="81">
        <v>4.2</v>
      </c>
      <c r="E113" s="81">
        <v>4.5999999999999996</v>
      </c>
      <c r="F113" s="81">
        <v>4.5</v>
      </c>
      <c r="G113" s="81">
        <v>4.8</v>
      </c>
      <c r="H113" s="81">
        <v>5.0999999999999996</v>
      </c>
      <c r="I113" s="81">
        <v>5.2999999999999989</v>
      </c>
      <c r="J113" s="81">
        <v>5.4</v>
      </c>
      <c r="K113" s="81">
        <v>5.4</v>
      </c>
      <c r="L113" s="81">
        <v>5.4</v>
      </c>
      <c r="M113" s="81">
        <v>5.5</v>
      </c>
      <c r="N113" s="81">
        <v>5.4</v>
      </c>
      <c r="O113" s="81">
        <v>5.6</v>
      </c>
      <c r="P113" s="81">
        <v>5.5</v>
      </c>
      <c r="Q113" s="81">
        <v>5.5</v>
      </c>
      <c r="R113" s="81">
        <v>5.5</v>
      </c>
      <c r="S113" s="81">
        <v>5.6000000000000014</v>
      </c>
      <c r="T113" s="81">
        <v>5.8000000000000007</v>
      </c>
      <c r="U113" s="81">
        <v>5.7999999999999989</v>
      </c>
      <c r="V113" s="81">
        <v>5.9999999999999982</v>
      </c>
      <c r="W113" s="81">
        <v>6.1</v>
      </c>
      <c r="X113" s="81">
        <v>5.9999999999999982</v>
      </c>
      <c r="Y113" s="81">
        <v>6.1000000000000014</v>
      </c>
      <c r="Z113" s="81">
        <v>5.9999999999999982</v>
      </c>
      <c r="AA113" s="81">
        <v>6.3000000000000007</v>
      </c>
      <c r="AB113" s="81">
        <v>6.2999999999999989</v>
      </c>
      <c r="AC113" s="81">
        <v>7.200000000000002</v>
      </c>
      <c r="AD113" s="81">
        <v>8.6999999999999993</v>
      </c>
      <c r="AE113" s="81">
        <v>8.4</v>
      </c>
      <c r="AF113" s="81">
        <v>8.6999999999999993</v>
      </c>
      <c r="AG113" s="81">
        <v>8.7000000000000011</v>
      </c>
      <c r="AH113" s="81">
        <v>9.5000000000000018</v>
      </c>
      <c r="AI113" s="81">
        <v>10.199999999999999</v>
      </c>
      <c r="AJ113" s="81">
        <v>11.400000000000002</v>
      </c>
      <c r="AK113" s="81">
        <v>14.299999999999999</v>
      </c>
      <c r="AL113" s="81">
        <v>20.2</v>
      </c>
      <c r="AM113" s="81">
        <v>24.3</v>
      </c>
      <c r="AN113" s="81">
        <v>25.800000000000004</v>
      </c>
      <c r="AO113" s="81">
        <v>28.4</v>
      </c>
      <c r="AP113" s="81">
        <v>32.6</v>
      </c>
      <c r="AQ113" s="81">
        <v>28.999999999999996</v>
      </c>
      <c r="AR113" s="81">
        <v>27.400000000000002</v>
      </c>
      <c r="AS113" s="81">
        <v>25.700000000000003</v>
      </c>
      <c r="AT113" s="81">
        <v>25.299999999999997</v>
      </c>
      <c r="AU113" s="81">
        <v>29.2</v>
      </c>
      <c r="AV113" s="81">
        <v>34.400000000000006</v>
      </c>
      <c r="AW113" s="81">
        <v>42.099999999999994</v>
      </c>
      <c r="AX113" s="81">
        <v>47.599999999999994</v>
      </c>
      <c r="AY113" s="81">
        <v>52.000000000000007</v>
      </c>
      <c r="AZ113" s="81">
        <v>56.099999999999987</v>
      </c>
      <c r="BA113" s="81">
        <v>58.400000000000006</v>
      </c>
      <c r="BB113" s="81">
        <v>61.300000000000004</v>
      </c>
      <c r="BC113" s="81">
        <v>60.7</v>
      </c>
      <c r="BD113" s="81">
        <v>60.599999999999987</v>
      </c>
      <c r="BE113" s="81">
        <v>60.70000000000001</v>
      </c>
      <c r="BF113" s="81">
        <v>64.5</v>
      </c>
      <c r="BG113" s="81">
        <v>58.499999999999986</v>
      </c>
      <c r="BH113" s="81">
        <v>54.899999999999991</v>
      </c>
      <c r="BI113" s="81">
        <v>55.100000000000009</v>
      </c>
      <c r="BJ113" s="81">
        <v>56.699999999999982</v>
      </c>
      <c r="BK113" s="81">
        <v>59.3</v>
      </c>
      <c r="BL113" s="81">
        <v>71</v>
      </c>
      <c r="BM113" s="81">
        <v>96.3</v>
      </c>
      <c r="BN113" s="81">
        <v>93.899999999999991</v>
      </c>
      <c r="BO113" s="81">
        <v>106.2</v>
      </c>
      <c r="BP113" s="81">
        <v>118.20000000000002</v>
      </c>
    </row>
    <row r="114" spans="1:122" ht="15" customHeight="1" x14ac:dyDescent="0.35">
      <c r="A114" s="38" t="s">
        <v>172</v>
      </c>
      <c r="B114" s="180" t="s">
        <v>173</v>
      </c>
      <c r="C114" s="208" t="s">
        <v>382</v>
      </c>
      <c r="D114" s="82">
        <v>34.866826003824094</v>
      </c>
      <c r="E114" s="82">
        <v>45.308845070422535</v>
      </c>
      <c r="F114" s="82">
        <v>41.558154639175271</v>
      </c>
      <c r="G114" s="82">
        <v>50.816889556724263</v>
      </c>
      <c r="H114" s="82">
        <v>57.3688835393624</v>
      </c>
      <c r="I114" s="82">
        <v>54.121981250000005</v>
      </c>
      <c r="J114" s="82">
        <v>53.487285464098065</v>
      </c>
      <c r="K114" s="82">
        <v>52.475155397390267</v>
      </c>
      <c r="L114" s="82">
        <v>65.550016736401687</v>
      </c>
      <c r="M114" s="82">
        <v>63.209333333333348</v>
      </c>
      <c r="N114" s="82">
        <v>62.225552132701438</v>
      </c>
      <c r="O114" s="82">
        <v>56.859554683668478</v>
      </c>
      <c r="P114" s="82">
        <v>70.672359982713914</v>
      </c>
      <c r="Q114" s="82">
        <v>68.480889073535522</v>
      </c>
      <c r="R114" s="82">
        <v>69.689843407707912</v>
      </c>
      <c r="S114" s="82">
        <v>79.039575667655768</v>
      </c>
      <c r="T114" s="82">
        <v>85.870745644599296</v>
      </c>
      <c r="U114" s="82">
        <v>94.310037060908797</v>
      </c>
      <c r="V114" s="82">
        <v>107.43808779631257</v>
      </c>
      <c r="W114" s="82">
        <v>114.64682071713148</v>
      </c>
      <c r="X114" s="82">
        <v>110.67779278821737</v>
      </c>
      <c r="Y114" s="82">
        <v>117.61596581196579</v>
      </c>
      <c r="Z114" s="82">
        <v>112.06788360128618</v>
      </c>
      <c r="AA114" s="82">
        <v>96.08728048780489</v>
      </c>
      <c r="AB114" s="82">
        <v>111.77628081791626</v>
      </c>
      <c r="AC114" s="82">
        <v>128.69026218662952</v>
      </c>
      <c r="AD114" s="82">
        <v>139.42533644133647</v>
      </c>
      <c r="AE114" s="82">
        <v>123.30649832141292</v>
      </c>
      <c r="AF114" s="82">
        <v>149.34226908396948</v>
      </c>
      <c r="AG114" s="82">
        <v>181.05105902653816</v>
      </c>
      <c r="AH114" s="82">
        <v>213.76346067885115</v>
      </c>
      <c r="AI114" s="82">
        <v>241.54924548933843</v>
      </c>
      <c r="AJ114" s="82">
        <v>235.03165646903599</v>
      </c>
      <c r="AK114" s="82">
        <v>202.41312806158152</v>
      </c>
      <c r="AL114" s="82">
        <v>233.77510602678572</v>
      </c>
      <c r="AM114" s="82">
        <v>208.07448387756494</v>
      </c>
      <c r="AN114" s="82">
        <v>269.783441673472</v>
      </c>
      <c r="AO114" s="82">
        <v>340.67748092878219</v>
      </c>
      <c r="AP114" s="82">
        <v>355.41642737896484</v>
      </c>
      <c r="AQ114" s="82">
        <v>332.72102947220691</v>
      </c>
      <c r="AR114" s="82">
        <v>387.8912805815354</v>
      </c>
      <c r="AS114" s="82">
        <v>451.40883676595746</v>
      </c>
      <c r="AT114" s="82">
        <v>439.00022986062851</v>
      </c>
      <c r="AU114" s="82">
        <v>439.23551637358344</v>
      </c>
      <c r="AV114" s="82">
        <v>465.18783970800706</v>
      </c>
      <c r="AW114" s="82">
        <v>520.04683541770896</v>
      </c>
      <c r="AX114" s="82">
        <v>575.75269969543149</v>
      </c>
      <c r="AY114" s="82">
        <v>677.98632444821192</v>
      </c>
      <c r="AZ114" s="82">
        <v>767.0227604142151</v>
      </c>
      <c r="BA114" s="82">
        <v>867.57507968127504</v>
      </c>
      <c r="BB114" s="82">
        <v>962.92610204552443</v>
      </c>
      <c r="BC114" s="82">
        <v>885.58306808717907</v>
      </c>
      <c r="BD114" s="82">
        <v>921.27305578218818</v>
      </c>
      <c r="BE114" s="82">
        <v>849.58508297472054</v>
      </c>
      <c r="BF114" s="82">
        <v>792.51720531658236</v>
      </c>
      <c r="BG114" s="82">
        <v>924.76777233226835</v>
      </c>
      <c r="BH114" s="82">
        <v>1053.7061864768684</v>
      </c>
      <c r="BI114" s="82">
        <v>1360.3637879158975</v>
      </c>
      <c r="BJ114" s="82">
        <v>1581.0727196724467</v>
      </c>
      <c r="BK114" s="82">
        <v>1760.735814287355</v>
      </c>
      <c r="BL114" s="82">
        <v>1515.4340614033647</v>
      </c>
      <c r="BM114" s="82">
        <v>1113.7876071373794</v>
      </c>
      <c r="BN114" s="82">
        <v>1291.7431057535398</v>
      </c>
      <c r="BO114" s="82">
        <v>1701.3164577985858</v>
      </c>
      <c r="BP114" s="82">
        <v>1812.0290003413022</v>
      </c>
    </row>
    <row r="115" spans="1:122" s="181" customFormat="1" ht="15" customHeight="1" x14ac:dyDescent="0.35">
      <c r="A115" s="287">
        <f>AVERAGE(D115:BP115)</f>
        <v>1.0149974898336589</v>
      </c>
      <c r="B115" s="180" t="s">
        <v>388</v>
      </c>
      <c r="C115" s="38" t="s">
        <v>383</v>
      </c>
      <c r="D115" s="182">
        <f>D103/D59</f>
        <v>1.009465215333649</v>
      </c>
      <c r="E115" s="182">
        <f t="shared" ref="E115:BP115" si="12">E103/E59</f>
        <v>1.0102434831405629</v>
      </c>
      <c r="F115" s="182">
        <f t="shared" si="12"/>
        <v>1.0113694244342575</v>
      </c>
      <c r="G115" s="182">
        <f t="shared" si="12"/>
        <v>1.01064875491481</v>
      </c>
      <c r="H115" s="182">
        <f t="shared" si="12"/>
        <v>1.0107121815357698</v>
      </c>
      <c r="I115" s="182">
        <f t="shared" si="12"/>
        <v>1.011310356173398</v>
      </c>
      <c r="J115" s="182">
        <f t="shared" si="12"/>
        <v>1.0107021589173306</v>
      </c>
      <c r="K115" s="182">
        <f t="shared" si="12"/>
        <v>1.011441572791286</v>
      </c>
      <c r="L115" s="182">
        <f t="shared" si="12"/>
        <v>1.0113450446039385</v>
      </c>
      <c r="M115" s="182">
        <f t="shared" si="12"/>
        <v>1.0119499467942845</v>
      </c>
      <c r="N115" s="182">
        <f t="shared" si="12"/>
        <v>1.0130105982164639</v>
      </c>
      <c r="O115" s="182">
        <f t="shared" si="12"/>
        <v>1.013848497438028</v>
      </c>
      <c r="P115" s="182">
        <f t="shared" si="12"/>
        <v>1.0152274633542357</v>
      </c>
      <c r="Q115" s="182">
        <f t="shared" si="12"/>
        <v>1.0167337228167947</v>
      </c>
      <c r="R115" s="182">
        <f t="shared" si="12"/>
        <v>1.0162856070637052</v>
      </c>
      <c r="S115" s="182">
        <f t="shared" si="12"/>
        <v>1.0162355470721165</v>
      </c>
      <c r="T115" s="182">
        <f t="shared" si="12"/>
        <v>1.0171290106951871</v>
      </c>
      <c r="U115" s="182">
        <f t="shared" si="12"/>
        <v>1.0163105845985363</v>
      </c>
      <c r="V115" s="182">
        <f t="shared" si="12"/>
        <v>1.0162419660275186</v>
      </c>
      <c r="W115" s="182">
        <f t="shared" si="12"/>
        <v>1.0161388922851204</v>
      </c>
      <c r="X115" s="182">
        <f t="shared" si="12"/>
        <v>1.0155746985906455</v>
      </c>
      <c r="Y115" s="182">
        <f t="shared" si="12"/>
        <v>1.0175625970940327</v>
      </c>
      <c r="Z115" s="182">
        <f t="shared" si="12"/>
        <v>1.0168251141988067</v>
      </c>
      <c r="AA115" s="182">
        <f t="shared" si="12"/>
        <v>1.0176646562000402</v>
      </c>
      <c r="AB115" s="182">
        <f t="shared" si="12"/>
        <v>1.0173799491753919</v>
      </c>
      <c r="AC115" s="182">
        <f t="shared" si="12"/>
        <v>1.017902985003053</v>
      </c>
      <c r="AD115" s="182">
        <f t="shared" si="12"/>
        <v>1.0189119393910167</v>
      </c>
      <c r="AE115" s="182">
        <f t="shared" si="12"/>
        <v>1.0179525509699194</v>
      </c>
      <c r="AF115" s="182">
        <f t="shared" si="12"/>
        <v>1.0150615024774963</v>
      </c>
      <c r="AG115" s="182">
        <f t="shared" si="12"/>
        <v>1.0161539057990367</v>
      </c>
      <c r="AH115" s="182">
        <f t="shared" si="12"/>
        <v>1.0142238123276885</v>
      </c>
      <c r="AI115" s="182">
        <f t="shared" si="12"/>
        <v>1.015197850686183</v>
      </c>
      <c r="AJ115" s="182">
        <f t="shared" si="12"/>
        <v>1.0166640064487698</v>
      </c>
      <c r="AK115" s="182">
        <f t="shared" si="12"/>
        <v>1.0139289001852219</v>
      </c>
      <c r="AL115" s="182">
        <f t="shared" si="12"/>
        <v>1.0112910905408472</v>
      </c>
      <c r="AM115" s="182">
        <f t="shared" si="12"/>
        <v>1.0114373644094365</v>
      </c>
      <c r="AN115" s="182">
        <f t="shared" si="12"/>
        <v>1.0092302218305167</v>
      </c>
      <c r="AO115" s="182">
        <f t="shared" si="12"/>
        <v>1.009015566656642</v>
      </c>
      <c r="AP115" s="182">
        <f t="shared" si="12"/>
        <v>1.0103199848059983</v>
      </c>
      <c r="AQ115" s="182">
        <f t="shared" si="12"/>
        <v>1.0097014975986582</v>
      </c>
      <c r="AR115" s="182">
        <f t="shared" si="12"/>
        <v>1.0105896483400727</v>
      </c>
      <c r="AS115" s="182">
        <f t="shared" si="12"/>
        <v>1.0146194358660383</v>
      </c>
      <c r="AT115" s="182">
        <f t="shared" si="12"/>
        <v>1.0156263677593309</v>
      </c>
      <c r="AU115" s="182">
        <f t="shared" si="12"/>
        <v>1.0168772230180558</v>
      </c>
      <c r="AV115" s="182">
        <f t="shared" si="12"/>
        <v>1.0193408842059917</v>
      </c>
      <c r="AW115" s="182">
        <f t="shared" si="12"/>
        <v>1.0174597836978592</v>
      </c>
      <c r="AX115" s="182">
        <f t="shared" si="12"/>
        <v>1.0164545776212515</v>
      </c>
      <c r="AY115" s="182">
        <f t="shared" si="12"/>
        <v>1.0161687977255138</v>
      </c>
      <c r="AZ115" s="182">
        <f t="shared" si="12"/>
        <v>1.0205867753292983</v>
      </c>
      <c r="BA115" s="182">
        <f t="shared" si="12"/>
        <v>1.0185099616477662</v>
      </c>
      <c r="BB115" s="182">
        <f t="shared" si="12"/>
        <v>1.0159638123993642</v>
      </c>
      <c r="BC115" s="182">
        <f t="shared" si="12"/>
        <v>1.0118848378693799</v>
      </c>
      <c r="BD115" s="182">
        <f t="shared" si="12"/>
        <v>1.0147790073911926</v>
      </c>
      <c r="BE115" s="182">
        <f t="shared" si="12"/>
        <v>1.0155931879968925</v>
      </c>
      <c r="BF115" s="182">
        <f t="shared" si="12"/>
        <v>1.0176937930714762</v>
      </c>
      <c r="BG115" s="182">
        <f t="shared" si="12"/>
        <v>1.018090604970892</v>
      </c>
      <c r="BH115" s="182">
        <f t="shared" si="12"/>
        <v>1.0181571858591119</v>
      </c>
      <c r="BI115" s="182">
        <f t="shared" si="12"/>
        <v>1.0216834997325777</v>
      </c>
      <c r="BJ115" s="182">
        <f t="shared" si="12"/>
        <v>1.0215795585135563</v>
      </c>
      <c r="BK115" s="182">
        <f t="shared" si="12"/>
        <v>1.0171970903514311</v>
      </c>
      <c r="BL115" s="182">
        <f t="shared" si="12"/>
        <v>1.0185152966072897</v>
      </c>
      <c r="BM115" s="182">
        <f t="shared" si="12"/>
        <v>1.0042502446011057</v>
      </c>
      <c r="BN115" s="182">
        <f t="shared" si="12"/>
        <v>1.0170468664189098</v>
      </c>
      <c r="BO115" s="182">
        <f t="shared" si="12"/>
        <v>1.0176169368743313</v>
      </c>
      <c r="BP115" s="182">
        <f t="shared" si="12"/>
        <v>1.0202012387227659</v>
      </c>
    </row>
    <row r="116" spans="1:122" s="181" customFormat="1" ht="15" customHeight="1" x14ac:dyDescent="0.35">
      <c r="A116" s="287">
        <f>AVERAGE(D116:BP116)</f>
        <v>1.0166299607445595</v>
      </c>
      <c r="B116" s="180" t="s">
        <v>388</v>
      </c>
      <c r="C116" s="38" t="s">
        <v>384</v>
      </c>
      <c r="D116" s="182">
        <f>D109/(D59-D64)</f>
        <v>1.0101530980308333</v>
      </c>
      <c r="E116" s="182">
        <f t="shared" ref="E116:BP116" si="13">E109/(E59-E64)</f>
        <v>1.0110347209894788</v>
      </c>
      <c r="F116" s="182">
        <f t="shared" si="13"/>
        <v>1.0123525110184399</v>
      </c>
      <c r="G116" s="182">
        <f t="shared" si="13"/>
        <v>1.0115268664656853</v>
      </c>
      <c r="H116" s="182">
        <f t="shared" si="13"/>
        <v>1.0115939788603119</v>
      </c>
      <c r="I116" s="182">
        <f t="shared" si="13"/>
        <v>1.0122645576582872</v>
      </c>
      <c r="J116" s="182">
        <f t="shared" si="13"/>
        <v>1.0115932253406827</v>
      </c>
      <c r="K116" s="182">
        <f t="shared" si="13"/>
        <v>1.0124509964354576</v>
      </c>
      <c r="L116" s="182">
        <f t="shared" si="13"/>
        <v>1.0122958245968263</v>
      </c>
      <c r="M116" s="182">
        <f t="shared" si="13"/>
        <v>1.0130165558193303</v>
      </c>
      <c r="N116" s="182">
        <f t="shared" si="13"/>
        <v>1.0142167461422267</v>
      </c>
      <c r="O116" s="182">
        <f t="shared" si="13"/>
        <v>1.0152206547269087</v>
      </c>
      <c r="P116" s="182">
        <f t="shared" si="13"/>
        <v>1.0166670309733548</v>
      </c>
      <c r="Q116" s="182">
        <f t="shared" si="13"/>
        <v>1.0182761607348605</v>
      </c>
      <c r="R116" s="182">
        <f t="shared" si="13"/>
        <v>1.0177795185100249</v>
      </c>
      <c r="S116" s="182">
        <f t="shared" si="13"/>
        <v>1.0176657356346535</v>
      </c>
      <c r="T116" s="182">
        <f t="shared" si="13"/>
        <v>1.0186185913446255</v>
      </c>
      <c r="U116" s="182">
        <f t="shared" si="13"/>
        <v>1.017695274729673</v>
      </c>
      <c r="V116" s="182">
        <f t="shared" si="13"/>
        <v>1.0175989262721026</v>
      </c>
      <c r="W116" s="182">
        <f t="shared" si="13"/>
        <v>1.0174873040406269</v>
      </c>
      <c r="X116" s="182">
        <f t="shared" si="13"/>
        <v>1.0169328797579276</v>
      </c>
      <c r="Y116" s="182">
        <f t="shared" si="13"/>
        <v>1.0191037691891924</v>
      </c>
      <c r="Z116" s="182">
        <f t="shared" si="13"/>
        <v>1.0183387146149447</v>
      </c>
      <c r="AA116" s="182">
        <f t="shared" si="13"/>
        <v>1.0193517309357605</v>
      </c>
      <c r="AB116" s="182">
        <f t="shared" si="13"/>
        <v>1.0190609641756905</v>
      </c>
      <c r="AC116" s="182">
        <f t="shared" si="13"/>
        <v>1.0196126272631862</v>
      </c>
      <c r="AD116" s="182">
        <f t="shared" si="13"/>
        <v>1.0206989411456657</v>
      </c>
      <c r="AE116" s="182">
        <f t="shared" si="13"/>
        <v>1.0198029557601969</v>
      </c>
      <c r="AF116" s="182">
        <f t="shared" si="13"/>
        <v>1.0167701573704393</v>
      </c>
      <c r="AG116" s="182">
        <f t="shared" si="13"/>
        <v>1.0179489961325896</v>
      </c>
      <c r="AH116" s="182">
        <f t="shared" si="13"/>
        <v>1.0158078787322082</v>
      </c>
      <c r="AI116" s="182">
        <f t="shared" si="13"/>
        <v>1.0168837901232328</v>
      </c>
      <c r="AJ116" s="182">
        <f t="shared" si="13"/>
        <v>1.0185711616709123</v>
      </c>
      <c r="AK116" s="182">
        <f t="shared" si="13"/>
        <v>1.0156551387600292</v>
      </c>
      <c r="AL116" s="182">
        <f t="shared" si="13"/>
        <v>1.0127318233328448</v>
      </c>
      <c r="AM116" s="182">
        <f t="shared" si="13"/>
        <v>1.0130344168693086</v>
      </c>
      <c r="AN116" s="182">
        <f t="shared" si="13"/>
        <v>1.0104468294293925</v>
      </c>
      <c r="AO116" s="182">
        <f t="shared" si="13"/>
        <v>1.0101179355528573</v>
      </c>
      <c r="AP116" s="182">
        <f t="shared" si="13"/>
        <v>1.0115785989825481</v>
      </c>
      <c r="AQ116" s="182">
        <f t="shared" si="13"/>
        <v>1.010895739037446</v>
      </c>
      <c r="AR116" s="182">
        <f t="shared" si="13"/>
        <v>1.0118894531164446</v>
      </c>
      <c r="AS116" s="182">
        <f t="shared" si="13"/>
        <v>1.01640356015424</v>
      </c>
      <c r="AT116" s="182">
        <f t="shared" si="13"/>
        <v>1.0175123917738242</v>
      </c>
      <c r="AU116" s="182">
        <f t="shared" si="13"/>
        <v>1.0189251395021919</v>
      </c>
      <c r="AV116" s="182">
        <f t="shared" si="13"/>
        <v>1.0217452725474763</v>
      </c>
      <c r="AW116" s="182">
        <f t="shared" si="13"/>
        <v>1.019543122587794</v>
      </c>
      <c r="AX116" s="182">
        <f t="shared" si="13"/>
        <v>1.0183908624842368</v>
      </c>
      <c r="AY116" s="182">
        <f t="shared" si="13"/>
        <v>1.0180444790098335</v>
      </c>
      <c r="AZ116" s="182">
        <f t="shared" si="13"/>
        <v>1.0230266762936842</v>
      </c>
      <c r="BA116" s="182">
        <f t="shared" si="13"/>
        <v>1.0206895532534321</v>
      </c>
      <c r="BB116" s="182">
        <f t="shared" si="13"/>
        <v>1.0178321079588044</v>
      </c>
      <c r="BC116" s="182">
        <f t="shared" si="13"/>
        <v>1.0132876069857624</v>
      </c>
      <c r="BD116" s="182">
        <f t="shared" si="13"/>
        <v>1.0165480147740675</v>
      </c>
      <c r="BE116" s="182">
        <f t="shared" si="13"/>
        <v>1.0175063612627546</v>
      </c>
      <c r="BF116" s="182">
        <f t="shared" si="13"/>
        <v>1.0199531377180378</v>
      </c>
      <c r="BG116" s="182">
        <f t="shared" si="13"/>
        <v>1.0204240040219577</v>
      </c>
      <c r="BH116" s="182">
        <f t="shared" si="13"/>
        <v>1.0204583093415207</v>
      </c>
      <c r="BI116" s="182">
        <f t="shared" si="13"/>
        <v>1.0243708847312685</v>
      </c>
      <c r="BJ116" s="182">
        <f t="shared" si="13"/>
        <v>1.0242547168217506</v>
      </c>
      <c r="BK116" s="182">
        <f t="shared" si="13"/>
        <v>1.0193601314748202</v>
      </c>
      <c r="BL116" s="182">
        <f t="shared" si="13"/>
        <v>1.0208761627307559</v>
      </c>
      <c r="BM116" s="182">
        <f t="shared" si="13"/>
        <v>1.0048190175743481</v>
      </c>
      <c r="BN116" s="182">
        <f t="shared" si="13"/>
        <v>1.0194394108146245</v>
      </c>
      <c r="BO116" s="182">
        <f t="shared" si="13"/>
        <v>1.0199549557782028</v>
      </c>
      <c r="BP116" s="182">
        <f t="shared" si="13"/>
        <v>1.022838788523752</v>
      </c>
    </row>
    <row r="117" spans="1:122" s="181" customFormat="1" ht="15" customHeight="1" x14ac:dyDescent="0.35">
      <c r="A117" s="287">
        <f>AVERAGE(D117:BP117)</f>
        <v>0.83832377038915851</v>
      </c>
      <c r="B117" s="180" t="s">
        <v>388</v>
      </c>
      <c r="C117" s="38" t="s">
        <v>385</v>
      </c>
      <c r="D117" s="182">
        <f>D107/D63</f>
        <v>0.73669463716700401</v>
      </c>
      <c r="E117" s="182">
        <f t="shared" ref="E117:BP117" si="14">E107/E63</f>
        <v>0.76758223094006739</v>
      </c>
      <c r="F117" s="182">
        <f t="shared" si="14"/>
        <v>0.78934469687039477</v>
      </c>
      <c r="G117" s="182">
        <f t="shared" si="14"/>
        <v>0.81050737704248788</v>
      </c>
      <c r="H117" s="182">
        <f t="shared" si="14"/>
        <v>0.80664991780444417</v>
      </c>
      <c r="I117" s="182">
        <f t="shared" si="14"/>
        <v>0.79537460411271643</v>
      </c>
      <c r="J117" s="182">
        <f t="shared" si="14"/>
        <v>0.79847000209560615</v>
      </c>
      <c r="K117" s="182">
        <f t="shared" si="14"/>
        <v>0.79772088760761828</v>
      </c>
      <c r="L117" s="182">
        <f t="shared" si="14"/>
        <v>0.82909859738930414</v>
      </c>
      <c r="M117" s="182">
        <f t="shared" si="14"/>
        <v>0.81765750233469825</v>
      </c>
      <c r="N117" s="182">
        <f t="shared" si="14"/>
        <v>0.81220177981395458</v>
      </c>
      <c r="O117" s="182">
        <f t="shared" si="14"/>
        <v>0.79124763309175961</v>
      </c>
      <c r="P117" s="182">
        <f t="shared" si="14"/>
        <v>0.83196320974006666</v>
      </c>
      <c r="Q117" s="182">
        <f t="shared" si="14"/>
        <v>0.82726055830867351</v>
      </c>
      <c r="R117" s="182">
        <f t="shared" si="14"/>
        <v>0.81912041743237884</v>
      </c>
      <c r="S117" s="182">
        <f t="shared" si="14"/>
        <v>0.83302063596906006</v>
      </c>
      <c r="T117" s="182">
        <f t="shared" si="14"/>
        <v>0.84570968393326773</v>
      </c>
      <c r="U117" s="182">
        <f t="shared" si="14"/>
        <v>0.8510783946074596</v>
      </c>
      <c r="V117" s="182">
        <f t="shared" si="14"/>
        <v>0.85897131152100092</v>
      </c>
      <c r="W117" s="182">
        <f t="shared" si="14"/>
        <v>0.85813319671176136</v>
      </c>
      <c r="X117" s="182">
        <f t="shared" si="14"/>
        <v>0.84925129489844053</v>
      </c>
      <c r="Y117" s="182">
        <f t="shared" si="14"/>
        <v>0.85401184621692272</v>
      </c>
      <c r="Z117" s="182">
        <f t="shared" si="14"/>
        <v>0.8416278530302197</v>
      </c>
      <c r="AA117" s="182">
        <f t="shared" si="14"/>
        <v>0.8287288673552119</v>
      </c>
      <c r="AB117" s="182">
        <f t="shared" si="14"/>
        <v>0.83665537410009438</v>
      </c>
      <c r="AC117" s="182">
        <f t="shared" si="14"/>
        <v>0.83559121952534055</v>
      </c>
      <c r="AD117" s="182">
        <f t="shared" si="14"/>
        <v>0.82364079343765095</v>
      </c>
      <c r="AE117" s="182">
        <f t="shared" si="14"/>
        <v>0.82168153675967004</v>
      </c>
      <c r="AF117" s="182">
        <f t="shared" si="14"/>
        <v>0.83762871352298729</v>
      </c>
      <c r="AG117" s="182">
        <f t="shared" si="14"/>
        <v>0.84704245131014033</v>
      </c>
      <c r="AH117" s="182">
        <f t="shared" si="14"/>
        <v>0.84910214515698867</v>
      </c>
      <c r="AI117" s="182">
        <f t="shared" si="14"/>
        <v>0.848663585258844</v>
      </c>
      <c r="AJ117" s="182">
        <f t="shared" si="14"/>
        <v>0.8477392906672645</v>
      </c>
      <c r="AK117" s="182">
        <f t="shared" si="14"/>
        <v>0.84985772285493177</v>
      </c>
      <c r="AL117" s="182">
        <f t="shared" si="14"/>
        <v>0.86197788505672623</v>
      </c>
      <c r="AM117" s="182">
        <f t="shared" si="14"/>
        <v>0.86988804756342375</v>
      </c>
      <c r="AN117" s="182">
        <f t="shared" si="14"/>
        <v>0.87152663855316925</v>
      </c>
      <c r="AO117" s="182">
        <f t="shared" si="14"/>
        <v>0.86551145390548911</v>
      </c>
      <c r="AP117" s="182">
        <f t="shared" si="14"/>
        <v>0.86923373994843234</v>
      </c>
      <c r="AQ117" s="182">
        <f t="shared" si="14"/>
        <v>0.85642353760893486</v>
      </c>
      <c r="AR117" s="182">
        <f t="shared" si="14"/>
        <v>0.85387900295998642</v>
      </c>
      <c r="AS117" s="182">
        <f t="shared" si="14"/>
        <v>0.86104854173287015</v>
      </c>
      <c r="AT117" s="182">
        <f t="shared" si="14"/>
        <v>0.86210149652854406</v>
      </c>
      <c r="AU117" s="182">
        <f t="shared" si="14"/>
        <v>0.86257450824664772</v>
      </c>
      <c r="AV117" s="182">
        <f t="shared" si="14"/>
        <v>0.87344898688763406</v>
      </c>
      <c r="AW117" s="182">
        <f t="shared" si="14"/>
        <v>0.85535228379292416</v>
      </c>
      <c r="AX117" s="182">
        <f t="shared" si="14"/>
        <v>0.84906458114645134</v>
      </c>
      <c r="AY117" s="182">
        <f t="shared" si="14"/>
        <v>0.85506029393541771</v>
      </c>
      <c r="AZ117" s="182">
        <f t="shared" si="14"/>
        <v>0.87170522752278434</v>
      </c>
      <c r="BA117" s="182">
        <f t="shared" si="14"/>
        <v>0.86127475581601531</v>
      </c>
      <c r="BB117" s="182">
        <f t="shared" si="14"/>
        <v>0.85757485579156112</v>
      </c>
      <c r="BC117" s="182">
        <f t="shared" si="14"/>
        <v>0.82795163735519084</v>
      </c>
      <c r="BD117" s="182">
        <f t="shared" si="14"/>
        <v>0.82794185050085456</v>
      </c>
      <c r="BE117" s="182">
        <f t="shared" si="14"/>
        <v>0.81224988271769805</v>
      </c>
      <c r="BF117" s="182">
        <f t="shared" si="14"/>
        <v>0.80500232308902397</v>
      </c>
      <c r="BG117" s="182">
        <f t="shared" si="14"/>
        <v>0.81580620344305355</v>
      </c>
      <c r="BH117" s="182">
        <f t="shared" si="14"/>
        <v>0.8232735632678615</v>
      </c>
      <c r="BI117" s="182">
        <f t="shared" si="14"/>
        <v>0.84515892433412787</v>
      </c>
      <c r="BJ117" s="182">
        <f t="shared" si="14"/>
        <v>0.8655799451038142</v>
      </c>
      <c r="BK117" s="182">
        <f t="shared" si="14"/>
        <v>0.86482894806282462</v>
      </c>
      <c r="BL117" s="182">
        <f t="shared" si="14"/>
        <v>0.86561754195750806</v>
      </c>
      <c r="BM117" s="182">
        <f t="shared" si="14"/>
        <v>0.80212489530813813</v>
      </c>
      <c r="BN117" s="182">
        <f t="shared" si="14"/>
        <v>0.86708686102603993</v>
      </c>
      <c r="BO117" s="182">
        <f t="shared" si="14"/>
        <v>0.87752708487524955</v>
      </c>
      <c r="BP117" s="182">
        <f t="shared" si="14"/>
        <v>0.8842196086684978</v>
      </c>
    </row>
    <row r="118" spans="1:122" s="181" customFormat="1" ht="15" customHeight="1" x14ac:dyDescent="0.35">
      <c r="A118" s="287">
        <f>AVERAGE(D118:BP118)</f>
        <v>0.77948611483702601</v>
      </c>
      <c r="B118" s="180" t="s">
        <v>388</v>
      </c>
      <c r="C118" s="38" t="s">
        <v>386</v>
      </c>
      <c r="D118" s="182">
        <f>D110/D65</f>
        <v>0.67985484183265965</v>
      </c>
      <c r="E118" s="182">
        <f t="shared" ref="E118:BP118" si="15">E110/E65</f>
        <v>0.71782749760882203</v>
      </c>
      <c r="F118" s="182">
        <f t="shared" si="15"/>
        <v>0.73554161281596597</v>
      </c>
      <c r="G118" s="182">
        <f t="shared" si="15"/>
        <v>0.76574004507888815</v>
      </c>
      <c r="H118" s="182">
        <f t="shared" si="15"/>
        <v>0.76081343235895527</v>
      </c>
      <c r="I118" s="182">
        <f t="shared" si="15"/>
        <v>0.74258775539160071</v>
      </c>
      <c r="J118" s="182">
        <f t="shared" si="15"/>
        <v>0.74446408018272503</v>
      </c>
      <c r="K118" s="182">
        <f t="shared" si="15"/>
        <v>0.74058396572363328</v>
      </c>
      <c r="L118" s="182">
        <f t="shared" si="15"/>
        <v>0.78493030675051578</v>
      </c>
      <c r="M118" s="182">
        <f t="shared" si="15"/>
        <v>0.76567095285196185</v>
      </c>
      <c r="N118" s="182">
        <f t="shared" si="15"/>
        <v>0.75509255942540165</v>
      </c>
      <c r="O118" s="182">
        <f t="shared" si="15"/>
        <v>0.72302711302823297</v>
      </c>
      <c r="P118" s="182">
        <f t="shared" si="15"/>
        <v>0.78011035698851694</v>
      </c>
      <c r="Q118" s="182">
        <f t="shared" si="15"/>
        <v>0.77353210262554128</v>
      </c>
      <c r="R118" s="182">
        <f t="shared" si="15"/>
        <v>0.76386131680435976</v>
      </c>
      <c r="S118" s="182">
        <f t="shared" si="15"/>
        <v>0.78479291275592322</v>
      </c>
      <c r="T118" s="182">
        <f t="shared" si="15"/>
        <v>0.80200552329332797</v>
      </c>
      <c r="U118" s="182">
        <f t="shared" si="15"/>
        <v>0.81004810021127005</v>
      </c>
      <c r="V118" s="182">
        <f t="shared" si="15"/>
        <v>0.82163968071139193</v>
      </c>
      <c r="W118" s="182">
        <f t="shared" si="15"/>
        <v>0.82005014620313521</v>
      </c>
      <c r="X118" s="182">
        <f t="shared" si="15"/>
        <v>0.80550869176460493</v>
      </c>
      <c r="Y118" s="182">
        <f t="shared" si="15"/>
        <v>0.81043827687250825</v>
      </c>
      <c r="Z118" s="182">
        <f t="shared" si="15"/>
        <v>0.79087948327990842</v>
      </c>
      <c r="AA118" s="182">
        <f t="shared" si="15"/>
        <v>0.76617295254422169</v>
      </c>
      <c r="AB118" s="182">
        <f t="shared" si="15"/>
        <v>0.77782388881494613</v>
      </c>
      <c r="AC118" s="182">
        <f t="shared" si="15"/>
        <v>0.77886186576636918</v>
      </c>
      <c r="AD118" s="182">
        <f t="shared" si="15"/>
        <v>0.76405969826613551</v>
      </c>
      <c r="AE118" s="182">
        <f t="shared" si="15"/>
        <v>0.75149888761582939</v>
      </c>
      <c r="AF118" s="182">
        <f t="shared" si="15"/>
        <v>0.77054953979088681</v>
      </c>
      <c r="AG118" s="182">
        <f t="shared" si="15"/>
        <v>0.78492580643493182</v>
      </c>
      <c r="AH118" s="182">
        <f t="shared" si="15"/>
        <v>0.78888354345203149</v>
      </c>
      <c r="AI118" s="182">
        <f t="shared" si="15"/>
        <v>0.7886661723051821</v>
      </c>
      <c r="AJ118" s="182">
        <f t="shared" si="15"/>
        <v>0.78223645178518908</v>
      </c>
      <c r="AK118" s="182">
        <f t="shared" si="15"/>
        <v>0.77538375536794091</v>
      </c>
      <c r="AL118" s="182">
        <f t="shared" si="15"/>
        <v>0.79418938022844288</v>
      </c>
      <c r="AM118" s="182">
        <f t="shared" si="15"/>
        <v>0.79919856786753896</v>
      </c>
      <c r="AN118" s="182">
        <f t="shared" si="15"/>
        <v>0.80754964455430833</v>
      </c>
      <c r="AO118" s="182">
        <f t="shared" si="15"/>
        <v>0.80814882267063692</v>
      </c>
      <c r="AP118" s="182">
        <f t="shared" si="15"/>
        <v>0.81290518277773427</v>
      </c>
      <c r="AQ118" s="182">
        <f t="shared" si="15"/>
        <v>0.79167701671181512</v>
      </c>
      <c r="AR118" s="182">
        <f t="shared" si="15"/>
        <v>0.78982265986763722</v>
      </c>
      <c r="AS118" s="182">
        <f t="shared" si="15"/>
        <v>0.8024606478757611</v>
      </c>
      <c r="AT118" s="182">
        <f t="shared" si="15"/>
        <v>0.80337582708174737</v>
      </c>
      <c r="AU118" s="182">
        <f t="shared" si="15"/>
        <v>0.80146594701119911</v>
      </c>
      <c r="AV118" s="182">
        <f t="shared" si="15"/>
        <v>0.81470218510550796</v>
      </c>
      <c r="AW118" s="182">
        <f t="shared" si="15"/>
        <v>0.79067522919906608</v>
      </c>
      <c r="AX118" s="182">
        <f t="shared" si="15"/>
        <v>0.78277332972090574</v>
      </c>
      <c r="AY118" s="182">
        <f t="shared" si="15"/>
        <v>0.79460550850590739</v>
      </c>
      <c r="AZ118" s="182">
        <f t="shared" si="15"/>
        <v>0.81862622057547829</v>
      </c>
      <c r="BA118" s="182">
        <f t="shared" si="15"/>
        <v>0.80696426841456159</v>
      </c>
      <c r="BB118" s="182">
        <f t="shared" si="15"/>
        <v>0.80346427251826635</v>
      </c>
      <c r="BC118" s="182">
        <f t="shared" si="15"/>
        <v>0.76092632200806221</v>
      </c>
      <c r="BD118" s="182">
        <f t="shared" si="15"/>
        <v>0.75869047420753033</v>
      </c>
      <c r="BE118" s="182">
        <f t="shared" si="15"/>
        <v>0.73309120167977992</v>
      </c>
      <c r="BF118" s="182">
        <f t="shared" si="15"/>
        <v>0.7178871134057726</v>
      </c>
      <c r="BG118" s="182">
        <f t="shared" si="15"/>
        <v>0.73171072207417887</v>
      </c>
      <c r="BH118" s="182">
        <f t="shared" si="15"/>
        <v>0.7443781508237971</v>
      </c>
      <c r="BI118" s="182">
        <f t="shared" si="15"/>
        <v>0.78155510432755981</v>
      </c>
      <c r="BJ118" s="182">
        <f t="shared" si="15"/>
        <v>0.8127659401154973</v>
      </c>
      <c r="BK118" s="182">
        <f t="shared" si="15"/>
        <v>0.81307056231523422</v>
      </c>
      <c r="BL118" s="182">
        <f t="shared" si="15"/>
        <v>0.80863675648744104</v>
      </c>
      <c r="BM118" s="182">
        <f t="shared" si="15"/>
        <v>0.71012310927286115</v>
      </c>
      <c r="BN118" s="182">
        <f t="shared" si="15"/>
        <v>0.80130361739424583</v>
      </c>
      <c r="BO118" s="182">
        <f t="shared" si="15"/>
        <v>0.82580438133510936</v>
      </c>
      <c r="BP118" s="182">
        <f t="shared" si="15"/>
        <v>0.83598598156959281</v>
      </c>
    </row>
    <row r="119" spans="1:122" ht="13.25" customHeight="1" x14ac:dyDescent="0.35">
      <c r="A119" s="209"/>
      <c r="B119" s="209"/>
      <c r="C119" s="80"/>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row>
    <row r="120" spans="1:122" s="189" customFormat="1" x14ac:dyDescent="0.35">
      <c r="A120" s="206" t="s">
        <v>174</v>
      </c>
      <c r="B120" s="206"/>
      <c r="C120" s="80"/>
      <c r="D120" s="289"/>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81"/>
      <c r="BG120" s="54"/>
      <c r="BH120" s="54"/>
      <c r="BI120" s="54"/>
      <c r="BJ120" s="54"/>
      <c r="BK120" s="54"/>
      <c r="BL120" s="54"/>
      <c r="BM120" s="54"/>
      <c r="BN120" s="54"/>
      <c r="BO120" s="54"/>
      <c r="BP120" s="54"/>
    </row>
    <row r="121" spans="1:122" s="189" customFormat="1" x14ac:dyDescent="0.35">
      <c r="A121" s="203" t="s">
        <v>390</v>
      </c>
      <c r="B121" s="183" t="s">
        <v>394</v>
      </c>
      <c r="C121" s="204" t="s">
        <v>391</v>
      </c>
      <c r="D121" s="176">
        <v>-0.9</v>
      </c>
      <c r="E121" s="176">
        <v>-1</v>
      </c>
      <c r="F121" s="176">
        <v>-1</v>
      </c>
      <c r="G121" s="176">
        <v>-1.2</v>
      </c>
      <c r="H121" s="176">
        <v>-1.2999999999999998</v>
      </c>
      <c r="I121" s="176">
        <v>-1.4</v>
      </c>
      <c r="J121" s="176">
        <v>-1.6</v>
      </c>
      <c r="K121" s="176">
        <v>-1.6</v>
      </c>
      <c r="L121" s="176">
        <v>-1.7000000000000002</v>
      </c>
      <c r="M121" s="176">
        <v>-2</v>
      </c>
      <c r="N121" s="176">
        <v>-2.2000000000000002</v>
      </c>
      <c r="O121" s="176">
        <v>-2.2000000000000002</v>
      </c>
      <c r="P121" s="176">
        <v>-2.2999999999999998</v>
      </c>
      <c r="Q121" s="176">
        <v>-2.5</v>
      </c>
      <c r="R121" s="176">
        <v>-2.5999999999999996</v>
      </c>
      <c r="S121" s="176">
        <v>-2.8</v>
      </c>
      <c r="T121" s="176">
        <v>-2.9</v>
      </c>
      <c r="U121" s="176">
        <v>-3.1</v>
      </c>
      <c r="V121" s="176">
        <v>-3.4</v>
      </c>
      <c r="W121" s="176">
        <v>-3.9</v>
      </c>
      <c r="X121" s="176">
        <v>-4.4000000000000004</v>
      </c>
      <c r="Y121" s="176">
        <v>-5.0999999999999996</v>
      </c>
      <c r="Z121" s="176">
        <v>-6</v>
      </c>
      <c r="AA121" s="176">
        <v>-6.6</v>
      </c>
      <c r="AB121" s="176">
        <v>-6.7</v>
      </c>
      <c r="AC121" s="176">
        <v>-7.2</v>
      </c>
      <c r="AD121" s="176">
        <v>-8.9</v>
      </c>
      <c r="AE121" s="176">
        <v>-10.6</v>
      </c>
      <c r="AF121" s="176">
        <v>-10.4</v>
      </c>
      <c r="AG121" s="176">
        <v>-11.8</v>
      </c>
      <c r="AH121" s="176">
        <v>-13.3</v>
      </c>
      <c r="AI121" s="176">
        <v>-16</v>
      </c>
      <c r="AJ121" s="176">
        <v>-19.2</v>
      </c>
      <c r="AK121" s="176">
        <v>-23</v>
      </c>
      <c r="AL121" s="176">
        <v>-27.4</v>
      </c>
      <c r="AM121" s="176">
        <v>-27.799999999999997</v>
      </c>
      <c r="AN121" s="176">
        <v>-22.1</v>
      </c>
      <c r="AO121" s="176">
        <v>-27.6</v>
      </c>
      <c r="AP121" s="176">
        <v>-27.299999999999997</v>
      </c>
      <c r="AQ121" s="176">
        <v>-29.5</v>
      </c>
      <c r="AR121" s="176">
        <v>-38.099999999999994</v>
      </c>
      <c r="AS121" s="176">
        <v>-44</v>
      </c>
      <c r="AT121" s="176">
        <v>-47.8</v>
      </c>
      <c r="AU121" s="176">
        <v>-43.599999999999994</v>
      </c>
      <c r="AV121" s="176">
        <v>-37.099999999999994</v>
      </c>
      <c r="AW121" s="176">
        <v>-36.1</v>
      </c>
      <c r="AX121" s="176">
        <v>-41.900000000000006</v>
      </c>
      <c r="AY121" s="176">
        <v>-47.6</v>
      </c>
      <c r="AZ121" s="176">
        <v>-51.5</v>
      </c>
      <c r="BA121" s="176">
        <v>-50.9</v>
      </c>
      <c r="BB121" s="176">
        <v>-53.6</v>
      </c>
      <c r="BC121" s="176">
        <v>-56.099999999999994</v>
      </c>
      <c r="BD121" s="176">
        <v>-58.400000000000006</v>
      </c>
      <c r="BE121" s="176">
        <v>-67</v>
      </c>
      <c r="BF121" s="176">
        <v>-67.2</v>
      </c>
      <c r="BG121" s="176">
        <v>-68</v>
      </c>
      <c r="BH121" s="176">
        <v>-73.7</v>
      </c>
      <c r="BI121" s="176">
        <v>-76.5</v>
      </c>
      <c r="BJ121" s="176">
        <v>-84.9</v>
      </c>
      <c r="BK121" s="176">
        <v>-90.1</v>
      </c>
      <c r="BL121" s="176">
        <v>-86.699999999999989</v>
      </c>
      <c r="BM121" s="176">
        <v>-85.8</v>
      </c>
      <c r="BN121" s="176">
        <v>-95.8</v>
      </c>
      <c r="BO121" s="176">
        <v>-106.10000000000001</v>
      </c>
      <c r="BP121" s="176">
        <v>-110.39999999999999</v>
      </c>
    </row>
    <row r="122" spans="1:122" s="189" customFormat="1" x14ac:dyDescent="0.35">
      <c r="A122" s="30" t="s">
        <v>389</v>
      </c>
      <c r="B122" s="295" t="s">
        <v>395</v>
      </c>
      <c r="C122" s="76" t="s">
        <v>392</v>
      </c>
      <c r="D122" s="193">
        <f>-D99-D121</f>
        <v>1.4999999999999996</v>
      </c>
      <c r="E122" s="193">
        <f t="shared" ref="E122:BP122" si="16">-E99-E121</f>
        <v>1.8999999999999995</v>
      </c>
      <c r="F122" s="193">
        <f t="shared" si="16"/>
        <v>2.0999999999999988</v>
      </c>
      <c r="G122" s="193">
        <f t="shared" si="16"/>
        <v>2.2000000000000011</v>
      </c>
      <c r="H122" s="193">
        <f t="shared" si="16"/>
        <v>2.5999999999999996</v>
      </c>
      <c r="I122" s="193">
        <f t="shared" si="16"/>
        <v>2.8000000000000012</v>
      </c>
      <c r="J122" s="193">
        <f t="shared" si="16"/>
        <v>2.7999999999999976</v>
      </c>
      <c r="K122" s="193">
        <f t="shared" si="16"/>
        <v>3.0000000000000004</v>
      </c>
      <c r="L122" s="193">
        <f t="shared" si="16"/>
        <v>3.3000000000000034</v>
      </c>
      <c r="M122" s="193">
        <f t="shared" si="16"/>
        <v>3.6000000000000014</v>
      </c>
      <c r="N122" s="193">
        <f t="shared" si="16"/>
        <v>4.1000000000000005</v>
      </c>
      <c r="O122" s="193">
        <f t="shared" si="16"/>
        <v>4.3999999999999995</v>
      </c>
      <c r="P122" s="193">
        <f t="shared" si="16"/>
        <v>5.3</v>
      </c>
      <c r="Q122" s="193">
        <f t="shared" si="16"/>
        <v>5.8999999999999986</v>
      </c>
      <c r="R122" s="193">
        <f t="shared" si="16"/>
        <v>5.9000000000000075</v>
      </c>
      <c r="S122" s="193">
        <f t="shared" si="16"/>
        <v>6.4000000000000012</v>
      </c>
      <c r="T122" s="193">
        <f t="shared" si="16"/>
        <v>7.2000000000000046</v>
      </c>
      <c r="U122" s="193">
        <f t="shared" si="16"/>
        <v>7.3999999999999968</v>
      </c>
      <c r="V122" s="193">
        <f t="shared" si="16"/>
        <v>8.1000000000000032</v>
      </c>
      <c r="W122" s="193">
        <f t="shared" si="16"/>
        <v>8.6999999999999975</v>
      </c>
      <c r="X122" s="193">
        <f t="shared" si="16"/>
        <v>8.7999999999999989</v>
      </c>
      <c r="Y122" s="193">
        <f t="shared" si="16"/>
        <v>10.899999999999997</v>
      </c>
      <c r="Z122" s="193">
        <f t="shared" si="16"/>
        <v>11.000000000000007</v>
      </c>
      <c r="AA122" s="193">
        <f t="shared" si="16"/>
        <v>12.000000000000012</v>
      </c>
      <c r="AB122" s="193">
        <f t="shared" si="16"/>
        <v>12.800000000000008</v>
      </c>
      <c r="AC122" s="193">
        <f t="shared" si="16"/>
        <v>14.499999999999982</v>
      </c>
      <c r="AD122" s="193">
        <f t="shared" si="16"/>
        <v>17.600000000000001</v>
      </c>
      <c r="AE122" s="193">
        <f t="shared" si="16"/>
        <v>17.400000000000013</v>
      </c>
      <c r="AF122" s="193">
        <f t="shared" si="16"/>
        <v>15.400000000000029</v>
      </c>
      <c r="AG122" s="193">
        <f t="shared" si="16"/>
        <v>19.000000000000018</v>
      </c>
      <c r="AH122" s="193">
        <f t="shared" si="16"/>
        <v>18.399999999999995</v>
      </c>
      <c r="AI122" s="193">
        <f t="shared" si="16"/>
        <v>21.800000000000011</v>
      </c>
      <c r="AJ122" s="193">
        <f t="shared" si="16"/>
        <v>26.2</v>
      </c>
      <c r="AK122" s="193">
        <f t="shared" si="16"/>
        <v>21.199999999999989</v>
      </c>
      <c r="AL122" s="193">
        <f t="shared" si="16"/>
        <v>16.899999999999942</v>
      </c>
      <c r="AM122" s="193">
        <f t="shared" si="16"/>
        <v>15.299999999999997</v>
      </c>
      <c r="AN122" s="193">
        <f t="shared" si="16"/>
        <v>12.399999999999899</v>
      </c>
      <c r="AO122" s="193">
        <f t="shared" si="16"/>
        <v>14.799999999999933</v>
      </c>
      <c r="AP122" s="193">
        <f t="shared" si="16"/>
        <v>21.999999999999929</v>
      </c>
      <c r="AQ122" s="193">
        <f t="shared" si="16"/>
        <v>21.599999999999909</v>
      </c>
      <c r="AR122" s="193">
        <f t="shared" si="16"/>
        <v>26.200000000000017</v>
      </c>
      <c r="AS122" s="193">
        <f t="shared" si="16"/>
        <v>44.200000000000045</v>
      </c>
      <c r="AT122" s="193">
        <f t="shared" si="16"/>
        <v>51.600000000000065</v>
      </c>
      <c r="AU122" s="193">
        <f t="shared" si="16"/>
        <v>60.899999999999949</v>
      </c>
      <c r="AV122" s="193">
        <f t="shared" si="16"/>
        <v>74.099999999999994</v>
      </c>
      <c r="AW122" s="193">
        <f t="shared" si="16"/>
        <v>69.80000000000004</v>
      </c>
      <c r="AX122" s="193">
        <f t="shared" si="16"/>
        <v>68.299999999999983</v>
      </c>
      <c r="AY122" s="193">
        <f t="shared" si="16"/>
        <v>71.400000000000063</v>
      </c>
      <c r="AZ122" s="193">
        <f t="shared" si="16"/>
        <v>99.600000000000023</v>
      </c>
      <c r="BA122" s="193">
        <f t="shared" si="16"/>
        <v>93.69999999999996</v>
      </c>
      <c r="BB122" s="193">
        <f t="shared" si="16"/>
        <v>83.500000000000085</v>
      </c>
      <c r="BC122" s="193">
        <f t="shared" si="16"/>
        <v>60.699999999999903</v>
      </c>
      <c r="BD122" s="193">
        <f t="shared" si="16"/>
        <v>84.000000000000369</v>
      </c>
      <c r="BE122" s="193">
        <f t="shared" si="16"/>
        <v>93.199999999999818</v>
      </c>
      <c r="BF122" s="193">
        <f t="shared" si="16"/>
        <v>110.59999999999987</v>
      </c>
      <c r="BG122" s="193">
        <f t="shared" si="16"/>
        <v>115.60000000000014</v>
      </c>
      <c r="BH122" s="193">
        <f t="shared" si="16"/>
        <v>122.09999999999998</v>
      </c>
      <c r="BI122" s="193">
        <f t="shared" si="16"/>
        <v>162.40000000000009</v>
      </c>
      <c r="BJ122" s="193">
        <f t="shared" si="16"/>
        <v>171.50000000000014</v>
      </c>
      <c r="BK122" s="193">
        <f t="shared" si="16"/>
        <v>133.80000000000004</v>
      </c>
      <c r="BL122" s="193">
        <f t="shared" si="16"/>
        <v>154.90000000000026</v>
      </c>
      <c r="BM122" s="193">
        <f t="shared" si="16"/>
        <v>4.7999999999997698</v>
      </c>
      <c r="BN122" s="193">
        <f t="shared" si="16"/>
        <v>133.39999999999992</v>
      </c>
      <c r="BO122" s="193">
        <f t="shared" si="16"/>
        <v>145.30000000000007</v>
      </c>
      <c r="BP122" s="193">
        <f t="shared" si="16"/>
        <v>182.79999999999995</v>
      </c>
    </row>
    <row r="123" spans="1:122" s="189" customFormat="1" x14ac:dyDescent="0.35">
      <c r="A123" s="183" t="s">
        <v>148</v>
      </c>
      <c r="B123" s="210" t="s">
        <v>400</v>
      </c>
      <c r="C123" s="80" t="s">
        <v>148</v>
      </c>
      <c r="D123" s="194">
        <f t="shared" ref="D123:AI123" si="17">D88+D122</f>
        <v>127.5</v>
      </c>
      <c r="E123" s="194">
        <f t="shared" si="17"/>
        <v>146.4</v>
      </c>
      <c r="F123" s="194">
        <f t="shared" si="17"/>
        <v>143.6</v>
      </c>
      <c r="G123" s="194">
        <f t="shared" si="17"/>
        <v>162.6</v>
      </c>
      <c r="H123" s="194">
        <f t="shared" si="17"/>
        <v>186.5</v>
      </c>
      <c r="I123" s="194">
        <f t="shared" si="17"/>
        <v>195.4</v>
      </c>
      <c r="J123" s="194">
        <f t="shared" si="17"/>
        <v>209</v>
      </c>
      <c r="K123" s="194">
        <f t="shared" si="17"/>
        <v>206.6</v>
      </c>
      <c r="L123" s="194">
        <f t="shared" si="17"/>
        <v>232.8</v>
      </c>
      <c r="M123" s="194">
        <f t="shared" si="17"/>
        <v>249.2</v>
      </c>
      <c r="N123" s="194">
        <f t="shared" si="17"/>
        <v>261</v>
      </c>
      <c r="O123" s="194">
        <f t="shared" si="17"/>
        <v>256.2</v>
      </c>
      <c r="P123" s="194">
        <f t="shared" si="17"/>
        <v>287.2</v>
      </c>
      <c r="Q123" s="194">
        <f t="shared" si="17"/>
        <v>299.79999999999995</v>
      </c>
      <c r="R123" s="194">
        <f t="shared" si="17"/>
        <v>308.00000000000006</v>
      </c>
      <c r="S123" s="194">
        <f t="shared" si="17"/>
        <v>335.4</v>
      </c>
      <c r="T123" s="194">
        <f t="shared" si="17"/>
        <v>356.7</v>
      </c>
      <c r="U123" s="194">
        <f t="shared" si="17"/>
        <v>385.09999999999997</v>
      </c>
      <c r="V123" s="194">
        <f t="shared" si="17"/>
        <v>422.5</v>
      </c>
      <c r="W123" s="194">
        <f t="shared" si="17"/>
        <v>462.8</v>
      </c>
      <c r="X123" s="194">
        <f t="shared" si="17"/>
        <v>488.1</v>
      </c>
      <c r="Y123" s="194">
        <f t="shared" si="17"/>
        <v>540</v>
      </c>
      <c r="Z123" s="194">
        <f t="shared" si="17"/>
        <v>587.70000000000005</v>
      </c>
      <c r="AA123" s="194">
        <f t="shared" si="17"/>
        <v>609.79999999999995</v>
      </c>
      <c r="AB123" s="194">
        <f t="shared" si="17"/>
        <v>658.9</v>
      </c>
      <c r="AC123" s="194">
        <f t="shared" si="17"/>
        <v>731.2</v>
      </c>
      <c r="AD123" s="194">
        <f t="shared" si="17"/>
        <v>820.2</v>
      </c>
      <c r="AE123" s="194">
        <f t="shared" si="17"/>
        <v>887.3</v>
      </c>
      <c r="AF123" s="194">
        <f t="shared" si="17"/>
        <v>959.8</v>
      </c>
      <c r="AG123" s="194">
        <f t="shared" si="17"/>
        <v>1081.9000000000001</v>
      </c>
      <c r="AH123" s="194">
        <f t="shared" si="17"/>
        <v>1223.5</v>
      </c>
      <c r="AI123" s="194">
        <f t="shared" si="17"/>
        <v>1397.8999999999999</v>
      </c>
      <c r="AJ123" s="194">
        <f t="shared" ref="AJ123:BO123" si="18">AJ88+AJ122</f>
        <v>1555.2</v>
      </c>
      <c r="AK123" s="194">
        <f t="shared" si="18"/>
        <v>1684.2</v>
      </c>
      <c r="AL123" s="194">
        <f t="shared" si="18"/>
        <v>1905.8999999999999</v>
      </c>
      <c r="AM123" s="194">
        <f t="shared" si="18"/>
        <v>1982.6</v>
      </c>
      <c r="AN123" s="194">
        <f t="shared" si="18"/>
        <v>2129.1</v>
      </c>
      <c r="AO123" s="194">
        <f t="shared" si="18"/>
        <v>2386.1</v>
      </c>
      <c r="AP123" s="194">
        <f t="shared" si="18"/>
        <v>2548.5</v>
      </c>
      <c r="AQ123" s="194">
        <f t="shared" si="18"/>
        <v>2662.2</v>
      </c>
      <c r="AR123" s="194">
        <f t="shared" si="18"/>
        <v>2858.7999999999997</v>
      </c>
      <c r="AS123" s="194">
        <f t="shared" si="18"/>
        <v>3109.7</v>
      </c>
      <c r="AT123" s="194">
        <f t="shared" si="18"/>
        <v>3281.1</v>
      </c>
      <c r="AU123" s="194">
        <f t="shared" si="18"/>
        <v>3437.9</v>
      </c>
      <c r="AV123" s="194">
        <f t="shared" si="18"/>
        <v>3541.5</v>
      </c>
      <c r="AW123" s="194">
        <f t="shared" si="18"/>
        <v>3712</v>
      </c>
      <c r="AX123" s="194">
        <f t="shared" si="18"/>
        <v>3891.5</v>
      </c>
      <c r="AY123" s="194">
        <f t="shared" si="18"/>
        <v>4181.8999999999996</v>
      </c>
      <c r="AZ123" s="194">
        <f t="shared" si="18"/>
        <v>4457.1000000000004</v>
      </c>
      <c r="BA123" s="194">
        <f t="shared" si="18"/>
        <v>4718.7</v>
      </c>
      <c r="BB123" s="194">
        <f t="shared" si="18"/>
        <v>5062.3999999999996</v>
      </c>
      <c r="BC123" s="194">
        <f t="shared" si="18"/>
        <v>5360</v>
      </c>
      <c r="BD123" s="194">
        <f t="shared" si="18"/>
        <v>5708.5</v>
      </c>
      <c r="BE123" s="194">
        <f t="shared" si="18"/>
        <v>6109.5999999999995</v>
      </c>
      <c r="BF123" s="194">
        <f t="shared" si="18"/>
        <v>6145.2999999999993</v>
      </c>
      <c r="BG123" s="194">
        <f t="shared" si="18"/>
        <v>6238.3</v>
      </c>
      <c r="BH123" s="194">
        <f t="shared" si="18"/>
        <v>6482.8</v>
      </c>
      <c r="BI123" s="194">
        <f t="shared" si="18"/>
        <v>6936.6</v>
      </c>
      <c r="BJ123" s="194">
        <f t="shared" si="18"/>
        <v>7469.4</v>
      </c>
      <c r="BK123" s="194">
        <f t="shared" si="18"/>
        <v>7957.1</v>
      </c>
      <c r="BL123" s="194">
        <f t="shared" si="18"/>
        <v>8120.5000000000009</v>
      </c>
      <c r="BM123" s="194">
        <f t="shared" si="18"/>
        <v>8003.8</v>
      </c>
      <c r="BN123" s="194">
        <f t="shared" si="18"/>
        <v>7793.2999999999993</v>
      </c>
      <c r="BO123" s="194">
        <f t="shared" si="18"/>
        <v>8232</v>
      </c>
      <c r="BP123" s="194">
        <f>BP88+BP122</f>
        <v>8676.1999999999989</v>
      </c>
    </row>
    <row r="124" spans="1:122" s="189" customFormat="1" x14ac:dyDescent="0.35">
      <c r="A124" s="60" t="s">
        <v>440</v>
      </c>
      <c r="B124" s="60" t="s">
        <v>441</v>
      </c>
      <c r="C124" s="80" t="s">
        <v>440</v>
      </c>
      <c r="D124" s="54">
        <v>82.1</v>
      </c>
      <c r="E124" s="54">
        <v>91.1</v>
      </c>
      <c r="F124" s="54">
        <v>88.8</v>
      </c>
      <c r="G124" s="54">
        <v>98.7</v>
      </c>
      <c r="H124" s="54">
        <v>114.6</v>
      </c>
      <c r="I124" s="54">
        <v>123</v>
      </c>
      <c r="J124" s="54">
        <v>134</v>
      </c>
      <c r="K124" s="54">
        <v>132.19999999999999</v>
      </c>
      <c r="L124" s="54">
        <v>144.6</v>
      </c>
      <c r="M124" s="54">
        <v>158.19999999999999</v>
      </c>
      <c r="N124" s="54">
        <v>166.5</v>
      </c>
      <c r="O124" s="54">
        <v>164</v>
      </c>
      <c r="P124" s="54">
        <v>180.3</v>
      </c>
      <c r="Q124" s="54">
        <v>190.7</v>
      </c>
      <c r="R124" s="54">
        <v>195.6</v>
      </c>
      <c r="S124" s="54">
        <v>211</v>
      </c>
      <c r="T124" s="54">
        <v>222.7</v>
      </c>
      <c r="U124" s="54">
        <v>239.2</v>
      </c>
      <c r="V124" s="54">
        <v>259.89999999999998</v>
      </c>
      <c r="W124" s="54">
        <v>288.5</v>
      </c>
      <c r="X124" s="54">
        <v>308.39999999999998</v>
      </c>
      <c r="Y124" s="54">
        <v>341.3</v>
      </c>
      <c r="Z124" s="54">
        <v>378.6</v>
      </c>
      <c r="AA124" s="54">
        <v>400.2</v>
      </c>
      <c r="AB124" s="54">
        <v>425.3</v>
      </c>
      <c r="AC124" s="54">
        <v>472.5</v>
      </c>
      <c r="AD124" s="54">
        <v>533.9</v>
      </c>
      <c r="AE124" s="54">
        <v>587.4</v>
      </c>
      <c r="AF124" s="54">
        <v>614.9</v>
      </c>
      <c r="AG124" s="54">
        <v>695.2</v>
      </c>
      <c r="AH124" s="54">
        <v>784.8</v>
      </c>
      <c r="AI124" s="54">
        <v>901.8</v>
      </c>
      <c r="AJ124" s="54">
        <v>1022</v>
      </c>
      <c r="AK124" s="54">
        <v>1120.0999999999999</v>
      </c>
      <c r="AL124" s="54">
        <v>1240</v>
      </c>
      <c r="AM124" s="54">
        <v>1293.8</v>
      </c>
      <c r="AN124" s="54">
        <v>1367.1</v>
      </c>
      <c r="AO124" s="54">
        <v>1513.9</v>
      </c>
      <c r="AP124" s="54">
        <v>1622.4</v>
      </c>
      <c r="AQ124" s="54">
        <v>1720.4</v>
      </c>
      <c r="AR124" s="54">
        <v>1840</v>
      </c>
      <c r="AS124" s="54">
        <v>1980.4</v>
      </c>
      <c r="AT124" s="54">
        <v>2088.3000000000002</v>
      </c>
      <c r="AU124" s="54">
        <v>2200.6</v>
      </c>
      <c r="AV124" s="54">
        <v>2249.4</v>
      </c>
      <c r="AW124" s="54">
        <v>2375.5</v>
      </c>
      <c r="AX124" s="54">
        <v>2488.1999999999998</v>
      </c>
      <c r="AY124" s="54">
        <v>2634.8</v>
      </c>
      <c r="AZ124" s="54">
        <v>2776</v>
      </c>
      <c r="BA124" s="54">
        <v>2914.9</v>
      </c>
      <c r="BB124" s="54">
        <v>3123.9</v>
      </c>
      <c r="BC124" s="54">
        <v>3396.8</v>
      </c>
      <c r="BD124" s="54">
        <v>3628.6</v>
      </c>
      <c r="BE124" s="54">
        <v>3950.7</v>
      </c>
      <c r="BF124" s="54">
        <v>3986.2</v>
      </c>
      <c r="BG124" s="54">
        <v>3980.7</v>
      </c>
      <c r="BH124" s="54">
        <v>4105.5</v>
      </c>
      <c r="BI124" s="54">
        <v>4265.8999999999996</v>
      </c>
      <c r="BJ124" s="54">
        <v>4498.5</v>
      </c>
      <c r="BK124" s="54">
        <v>4743.3999999999996</v>
      </c>
      <c r="BL124" s="54">
        <v>4944.1000000000004</v>
      </c>
      <c r="BM124" s="54">
        <v>5025.8999999999996</v>
      </c>
      <c r="BN124" s="54">
        <v>4709.6000000000004</v>
      </c>
      <c r="BO124" s="54">
        <v>4807.8999999999996</v>
      </c>
      <c r="BP124" s="54">
        <v>5057.8</v>
      </c>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54"/>
      <c r="CW124" s="54"/>
      <c r="CX124" s="54"/>
      <c r="CY124" s="54"/>
      <c r="CZ124" s="54"/>
      <c r="DA124" s="54"/>
      <c r="DB124" s="54"/>
      <c r="DC124" s="54"/>
      <c r="DD124" s="54"/>
      <c r="DE124" s="54"/>
      <c r="DF124" s="54"/>
      <c r="DG124" s="54"/>
      <c r="DH124" s="54"/>
      <c r="DI124" s="54"/>
      <c r="DJ124" s="54"/>
      <c r="DK124" s="54"/>
      <c r="DL124" s="54"/>
      <c r="DM124" s="54"/>
      <c r="DN124" s="54"/>
      <c r="DO124" s="54"/>
      <c r="DP124" s="54"/>
      <c r="DQ124" s="54"/>
      <c r="DR124" s="54"/>
    </row>
    <row r="125" spans="1:122" s="189" customFormat="1" x14ac:dyDescent="0.35">
      <c r="A125" s="60" t="s">
        <v>175</v>
      </c>
      <c r="B125" s="60" t="s">
        <v>442</v>
      </c>
      <c r="C125" s="80" t="s">
        <v>175</v>
      </c>
      <c r="D125" s="54">
        <v>11.5</v>
      </c>
      <c r="E125" s="54">
        <v>12.7</v>
      </c>
      <c r="F125" s="54">
        <v>13.4</v>
      </c>
      <c r="G125" s="54">
        <v>14.8</v>
      </c>
      <c r="H125" s="54">
        <v>15.9</v>
      </c>
      <c r="I125" s="54">
        <v>17.3</v>
      </c>
      <c r="J125" s="54">
        <v>18.5</v>
      </c>
      <c r="K125" s="54">
        <v>17.899999999999999</v>
      </c>
      <c r="L125" s="54">
        <v>19.8</v>
      </c>
      <c r="M125" s="54">
        <v>21.5</v>
      </c>
      <c r="N125" s="54">
        <v>22.8</v>
      </c>
      <c r="O125" s="54">
        <v>23.1</v>
      </c>
      <c r="P125" s="54">
        <v>25.6</v>
      </c>
      <c r="Q125" s="54">
        <v>27.8</v>
      </c>
      <c r="R125" s="54">
        <v>28.9</v>
      </c>
      <c r="S125" s="54">
        <v>31.2</v>
      </c>
      <c r="T125" s="54">
        <v>33.200000000000003</v>
      </c>
      <c r="U125" s="54">
        <v>35.6</v>
      </c>
      <c r="V125" s="54">
        <v>37.799999999999997</v>
      </c>
      <c r="W125" s="54">
        <v>38.9</v>
      </c>
      <c r="X125" s="54">
        <v>41.4</v>
      </c>
      <c r="Y125" s="54">
        <v>47.8</v>
      </c>
      <c r="Z125" s="54">
        <v>52.9</v>
      </c>
      <c r="AA125" s="54">
        <v>57</v>
      </c>
      <c r="AB125" s="54">
        <v>62.8</v>
      </c>
      <c r="AC125" s="54">
        <v>67.3</v>
      </c>
      <c r="AD125" s="54">
        <v>74.099999999999994</v>
      </c>
      <c r="AE125" s="54">
        <v>78.599999999999994</v>
      </c>
      <c r="AF125" s="54">
        <v>84.5</v>
      </c>
      <c r="AG125" s="54">
        <v>91.4</v>
      </c>
      <c r="AH125" s="54">
        <v>100</v>
      </c>
      <c r="AI125" s="54">
        <v>108.7</v>
      </c>
      <c r="AJ125" s="54">
        <v>115</v>
      </c>
      <c r="AK125" s="54">
        <v>128.6</v>
      </c>
      <c r="AL125" s="54">
        <v>154.4</v>
      </c>
      <c r="AM125" s="54">
        <v>161.30000000000001</v>
      </c>
      <c r="AN125" s="54">
        <v>177.4</v>
      </c>
      <c r="AO125" s="54">
        <v>195.6</v>
      </c>
      <c r="AP125" s="54">
        <v>209</v>
      </c>
      <c r="AQ125" s="54">
        <v>219.6</v>
      </c>
      <c r="AR125" s="54">
        <v>233.4</v>
      </c>
      <c r="AS125" s="54">
        <v>252</v>
      </c>
      <c r="AT125" s="54">
        <v>267.5</v>
      </c>
      <c r="AU125" s="54">
        <v>284.5</v>
      </c>
      <c r="AV125" s="54">
        <v>307.89999999999998</v>
      </c>
      <c r="AW125" s="54">
        <v>325.89999999999998</v>
      </c>
      <c r="AX125" s="54">
        <v>342</v>
      </c>
      <c r="AY125" s="54">
        <v>372.4</v>
      </c>
      <c r="AZ125" s="54">
        <v>379.1</v>
      </c>
      <c r="BA125" s="54">
        <v>390.7</v>
      </c>
      <c r="BB125" s="54">
        <v>406.9</v>
      </c>
      <c r="BC125" s="54">
        <v>418.4</v>
      </c>
      <c r="BD125" s="54">
        <v>441.5</v>
      </c>
      <c r="BE125" s="54">
        <v>466.6</v>
      </c>
      <c r="BF125" s="54">
        <v>462.6</v>
      </c>
      <c r="BG125" s="54">
        <v>492.2</v>
      </c>
      <c r="BH125" s="54">
        <v>517.29999999999995</v>
      </c>
      <c r="BI125" s="54">
        <v>553.70000000000005</v>
      </c>
      <c r="BJ125" s="54">
        <v>596.70000000000005</v>
      </c>
      <c r="BK125" s="54">
        <v>633.70000000000005</v>
      </c>
      <c r="BL125" s="54">
        <v>651.5</v>
      </c>
      <c r="BM125" s="54">
        <v>661</v>
      </c>
      <c r="BN125" s="54">
        <v>636.5</v>
      </c>
      <c r="BO125" s="54">
        <v>659</v>
      </c>
      <c r="BP125" s="54">
        <v>694.1</v>
      </c>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row>
    <row r="126" spans="1:122" s="189" customFormat="1" x14ac:dyDescent="0.35">
      <c r="A126" s="183" t="s">
        <v>150</v>
      </c>
      <c r="B126" s="183" t="s">
        <v>396</v>
      </c>
      <c r="C126" s="80" t="s">
        <v>150</v>
      </c>
      <c r="D126" s="194">
        <f t="shared" ref="D126:AI126" si="19">D90+D122</f>
        <v>33.799999999999997</v>
      </c>
      <c r="E126" s="194">
        <f t="shared" si="19"/>
        <v>42.5</v>
      </c>
      <c r="F126" s="194">
        <f t="shared" si="19"/>
        <v>41.4</v>
      </c>
      <c r="G126" s="194">
        <f t="shared" si="19"/>
        <v>49.2</v>
      </c>
      <c r="H126" s="194">
        <f t="shared" si="19"/>
        <v>56.1</v>
      </c>
      <c r="I126" s="194">
        <f t="shared" si="19"/>
        <v>55.1</v>
      </c>
      <c r="J126" s="194">
        <f t="shared" si="19"/>
        <v>56.499999999999993</v>
      </c>
      <c r="K126" s="194">
        <f t="shared" si="19"/>
        <v>56.5</v>
      </c>
      <c r="L126" s="194">
        <f t="shared" si="19"/>
        <v>68.399999999999991</v>
      </c>
      <c r="M126" s="194">
        <f t="shared" si="19"/>
        <v>69.5</v>
      </c>
      <c r="N126" s="194">
        <f t="shared" si="19"/>
        <v>71.8</v>
      </c>
      <c r="O126" s="194">
        <f t="shared" si="19"/>
        <v>69.100000000000009</v>
      </c>
      <c r="P126" s="194">
        <f t="shared" si="19"/>
        <v>81.399999999999991</v>
      </c>
      <c r="Q126" s="194">
        <f t="shared" si="19"/>
        <v>81.199999999999989</v>
      </c>
      <c r="R126" s="194">
        <f t="shared" si="19"/>
        <v>83.5</v>
      </c>
      <c r="S126" s="194">
        <f t="shared" si="19"/>
        <v>93.2</v>
      </c>
      <c r="T126" s="194">
        <f t="shared" si="19"/>
        <v>100.9</v>
      </c>
      <c r="U126" s="194">
        <f t="shared" si="19"/>
        <v>110.3</v>
      </c>
      <c r="V126" s="194">
        <f t="shared" si="19"/>
        <v>124.8</v>
      </c>
      <c r="W126" s="194">
        <f t="shared" si="19"/>
        <v>135.39999999999998</v>
      </c>
      <c r="X126" s="194">
        <f t="shared" si="19"/>
        <v>138.30000000000001</v>
      </c>
      <c r="Y126" s="194">
        <f t="shared" si="19"/>
        <v>150.9</v>
      </c>
      <c r="Z126" s="194">
        <f t="shared" si="19"/>
        <v>156.1</v>
      </c>
      <c r="AA126" s="194">
        <f t="shared" si="19"/>
        <v>152.6</v>
      </c>
      <c r="AB126" s="194">
        <f t="shared" si="19"/>
        <v>170.8</v>
      </c>
      <c r="AC126" s="194">
        <f t="shared" si="19"/>
        <v>191.39999999999998</v>
      </c>
      <c r="AD126" s="194">
        <f t="shared" si="19"/>
        <v>212.1</v>
      </c>
      <c r="AE126" s="194">
        <f t="shared" si="19"/>
        <v>221.20000000000002</v>
      </c>
      <c r="AF126" s="194">
        <f t="shared" si="19"/>
        <v>260.5</v>
      </c>
      <c r="AG126" s="194">
        <f t="shared" si="19"/>
        <v>295.2</v>
      </c>
      <c r="AH126" s="194">
        <f t="shared" si="19"/>
        <v>338.7</v>
      </c>
      <c r="AI126" s="194">
        <f t="shared" si="19"/>
        <v>387.3</v>
      </c>
      <c r="AJ126" s="194">
        <f t="shared" ref="AJ126:BP126" si="20">AJ90+AJ122</f>
        <v>418.2</v>
      </c>
      <c r="AK126" s="194">
        <f t="shared" si="20"/>
        <v>435.5</v>
      </c>
      <c r="AL126" s="194">
        <f t="shared" si="20"/>
        <v>511.39999999999992</v>
      </c>
      <c r="AM126" s="194">
        <f t="shared" si="20"/>
        <v>527.5</v>
      </c>
      <c r="AN126" s="194">
        <f t="shared" si="20"/>
        <v>584.49999999999989</v>
      </c>
      <c r="AO126" s="194">
        <f t="shared" si="20"/>
        <v>676.59999999999991</v>
      </c>
      <c r="AP126" s="194">
        <f t="shared" si="20"/>
        <v>716.99999999999989</v>
      </c>
      <c r="AQ126" s="194">
        <f t="shared" si="20"/>
        <v>722.19999999999993</v>
      </c>
      <c r="AR126" s="194">
        <f t="shared" si="20"/>
        <v>785.40000000000009</v>
      </c>
      <c r="AS126" s="194">
        <f t="shared" si="20"/>
        <v>877.30000000000007</v>
      </c>
      <c r="AT126" s="194">
        <f t="shared" si="20"/>
        <v>925.19999999999993</v>
      </c>
      <c r="AU126" s="194">
        <f t="shared" si="20"/>
        <v>952.8</v>
      </c>
      <c r="AV126" s="194">
        <f t="shared" si="20"/>
        <v>984.2</v>
      </c>
      <c r="AW126" s="194">
        <f t="shared" si="20"/>
        <v>1010.6</v>
      </c>
      <c r="AX126" s="194">
        <f t="shared" si="20"/>
        <v>1061.3</v>
      </c>
      <c r="AY126" s="194">
        <f t="shared" si="20"/>
        <v>1174.8000000000002</v>
      </c>
      <c r="AZ126" s="194">
        <f t="shared" si="20"/>
        <v>1302</v>
      </c>
      <c r="BA126" s="194">
        <f t="shared" si="20"/>
        <v>1413.1000000000001</v>
      </c>
      <c r="BB126" s="194">
        <f t="shared" si="20"/>
        <v>1531.6999999999998</v>
      </c>
      <c r="BC126" s="194">
        <f t="shared" si="20"/>
        <v>1544.6999999999998</v>
      </c>
      <c r="BD126" s="194">
        <f t="shared" si="20"/>
        <v>1638.4000000000005</v>
      </c>
      <c r="BE126" s="194">
        <f t="shared" si="20"/>
        <v>1692.3999999999999</v>
      </c>
      <c r="BF126" s="194">
        <f t="shared" si="20"/>
        <v>1696.6</v>
      </c>
      <c r="BG126" s="194">
        <f t="shared" si="20"/>
        <v>1765.4</v>
      </c>
      <c r="BH126" s="194">
        <f t="shared" si="20"/>
        <v>1860</v>
      </c>
      <c r="BI126" s="194">
        <f t="shared" si="20"/>
        <v>2117</v>
      </c>
      <c r="BJ126" s="194">
        <f t="shared" si="20"/>
        <v>2374.1999999999998</v>
      </c>
      <c r="BK126" s="194">
        <f t="shared" si="20"/>
        <v>2580</v>
      </c>
      <c r="BL126" s="194">
        <f t="shared" si="20"/>
        <v>2524.8000000000002</v>
      </c>
      <c r="BM126" s="194">
        <f t="shared" si="20"/>
        <v>2316.9999999999995</v>
      </c>
      <c r="BN126" s="194">
        <f t="shared" si="20"/>
        <v>2447.2000000000003</v>
      </c>
      <c r="BO126" s="194">
        <f t="shared" si="20"/>
        <v>2765.1000000000004</v>
      </c>
      <c r="BP126" s="194">
        <f t="shared" si="20"/>
        <v>2924.3</v>
      </c>
    </row>
    <row r="127" spans="1:122" x14ac:dyDescent="0.35">
      <c r="A127" s="60" t="s">
        <v>176</v>
      </c>
      <c r="B127" s="60" t="s">
        <v>443</v>
      </c>
      <c r="C127" s="76" t="s">
        <v>176</v>
      </c>
      <c r="D127" s="54">
        <v>8.9</v>
      </c>
      <c r="E127" s="54">
        <v>10.4</v>
      </c>
      <c r="F127" s="54">
        <v>11.2</v>
      </c>
      <c r="G127" s="54">
        <v>12</v>
      </c>
      <c r="H127" s="54">
        <v>13.6</v>
      </c>
      <c r="I127" s="54">
        <v>14.5</v>
      </c>
      <c r="J127" s="54">
        <v>15.4</v>
      </c>
      <c r="K127" s="54">
        <v>16.2</v>
      </c>
      <c r="L127" s="54">
        <v>17.100000000000001</v>
      </c>
      <c r="M127" s="54">
        <v>19.2</v>
      </c>
      <c r="N127" s="54">
        <v>21.3</v>
      </c>
      <c r="O127" s="54">
        <v>22.7</v>
      </c>
      <c r="P127" s="54">
        <v>23.7</v>
      </c>
      <c r="Q127" s="54">
        <v>24</v>
      </c>
      <c r="R127" s="54">
        <v>24.6</v>
      </c>
      <c r="S127" s="54">
        <v>25.5</v>
      </c>
      <c r="T127" s="54">
        <v>26.7</v>
      </c>
      <c r="U127" s="54">
        <v>28.2</v>
      </c>
      <c r="V127" s="54">
        <v>30.4</v>
      </c>
      <c r="W127" s="54">
        <v>33.4</v>
      </c>
      <c r="X127" s="54">
        <v>36.799999999999997</v>
      </c>
      <c r="Y127" s="54">
        <v>40.6</v>
      </c>
      <c r="Z127" s="54">
        <v>45.1</v>
      </c>
      <c r="AA127" s="54">
        <v>50</v>
      </c>
      <c r="AB127" s="54">
        <v>54.8</v>
      </c>
      <c r="AC127" s="54">
        <v>59.7</v>
      </c>
      <c r="AD127" s="54">
        <v>66.900000000000006</v>
      </c>
      <c r="AE127" s="54">
        <v>78.8</v>
      </c>
      <c r="AF127" s="54">
        <v>94.4</v>
      </c>
      <c r="AG127" s="54">
        <v>104.5</v>
      </c>
      <c r="AH127" s="54">
        <v>118</v>
      </c>
      <c r="AI127" s="54">
        <v>134.19999999999999</v>
      </c>
      <c r="AJ127" s="54">
        <v>155.1</v>
      </c>
      <c r="AK127" s="54">
        <v>179.8</v>
      </c>
      <c r="AL127" s="54">
        <v>208.1</v>
      </c>
      <c r="AM127" s="54">
        <v>231.4</v>
      </c>
      <c r="AN127" s="54">
        <v>240.4</v>
      </c>
      <c r="AO127" s="54">
        <v>252.9</v>
      </c>
      <c r="AP127" s="54">
        <v>271.7</v>
      </c>
      <c r="AQ127" s="54">
        <v>289.8</v>
      </c>
      <c r="AR127" s="54">
        <v>306.5</v>
      </c>
      <c r="AS127" s="54">
        <v>328.8</v>
      </c>
      <c r="AT127" s="54">
        <v>350.8</v>
      </c>
      <c r="AU127" s="54">
        <v>373</v>
      </c>
      <c r="AV127" s="54">
        <v>392.1</v>
      </c>
      <c r="AW127" s="54">
        <v>402</v>
      </c>
      <c r="AX127" s="54">
        <v>420.1</v>
      </c>
      <c r="AY127" s="54">
        <v>444.9</v>
      </c>
      <c r="AZ127" s="54">
        <v>476.8</v>
      </c>
      <c r="BA127" s="54">
        <v>506</v>
      </c>
      <c r="BB127" s="54">
        <v>540.9</v>
      </c>
      <c r="BC127" s="54">
        <v>578.29999999999995</v>
      </c>
      <c r="BD127" s="54">
        <v>625.79999999999995</v>
      </c>
      <c r="BE127" s="54">
        <v>685.1</v>
      </c>
      <c r="BF127" s="54">
        <v>730.3</v>
      </c>
      <c r="BG127" s="54">
        <v>755.9</v>
      </c>
      <c r="BH127" s="54">
        <v>775.5</v>
      </c>
      <c r="BI127" s="54">
        <v>809.2</v>
      </c>
      <c r="BJ127" s="54">
        <v>862.9</v>
      </c>
      <c r="BK127" s="54">
        <v>925.9</v>
      </c>
      <c r="BL127" s="54">
        <v>973.4</v>
      </c>
      <c r="BM127" s="54">
        <v>1028.5</v>
      </c>
      <c r="BN127" s="54">
        <v>1030.4000000000001</v>
      </c>
      <c r="BO127" s="54">
        <v>1026.5</v>
      </c>
      <c r="BP127" s="54">
        <v>1061.9000000000001</v>
      </c>
    </row>
    <row r="128" spans="1:122" s="189" customFormat="1" x14ac:dyDescent="0.35">
      <c r="A128" s="183" t="s">
        <v>149</v>
      </c>
      <c r="B128" s="183" t="s">
        <v>397</v>
      </c>
      <c r="C128" s="80" t="s">
        <v>149</v>
      </c>
      <c r="D128" s="194">
        <f>D89+D122</f>
        <v>118.6</v>
      </c>
      <c r="E128" s="194">
        <f t="shared" ref="E128:AI128" si="21">E89+E122</f>
        <v>136</v>
      </c>
      <c r="F128" s="194">
        <f t="shared" si="21"/>
        <v>132.4</v>
      </c>
      <c r="G128" s="194">
        <f t="shared" si="21"/>
        <v>150.6</v>
      </c>
      <c r="H128" s="194">
        <f t="shared" si="21"/>
        <v>172.9</v>
      </c>
      <c r="I128" s="194">
        <f t="shared" si="21"/>
        <v>180.9</v>
      </c>
      <c r="J128" s="194">
        <f t="shared" si="21"/>
        <v>193.6</v>
      </c>
      <c r="K128" s="194">
        <f t="shared" si="21"/>
        <v>190.4</v>
      </c>
      <c r="L128" s="194">
        <f t="shared" si="21"/>
        <v>215.70000000000002</v>
      </c>
      <c r="M128" s="194">
        <f t="shared" si="21"/>
        <v>230</v>
      </c>
      <c r="N128" s="194">
        <f t="shared" si="21"/>
        <v>239.69999999999996</v>
      </c>
      <c r="O128" s="194">
        <f t="shared" si="21"/>
        <v>233.50000000000003</v>
      </c>
      <c r="P128" s="194">
        <f t="shared" si="21"/>
        <v>263.5</v>
      </c>
      <c r="Q128" s="194">
        <f t="shared" si="21"/>
        <v>275.79999999999995</v>
      </c>
      <c r="R128" s="194">
        <f t="shared" si="21"/>
        <v>283.40000000000003</v>
      </c>
      <c r="S128" s="194">
        <f t="shared" si="21"/>
        <v>309.89999999999998</v>
      </c>
      <c r="T128" s="194">
        <f t="shared" si="21"/>
        <v>330</v>
      </c>
      <c r="U128" s="194">
        <f t="shared" si="21"/>
        <v>356.9</v>
      </c>
      <c r="V128" s="194">
        <f t="shared" si="21"/>
        <v>392.1</v>
      </c>
      <c r="W128" s="194">
        <f t="shared" si="21"/>
        <v>429.40000000000003</v>
      </c>
      <c r="X128" s="194">
        <f t="shared" si="21"/>
        <v>451.3</v>
      </c>
      <c r="Y128" s="194">
        <f t="shared" si="21"/>
        <v>499.4</v>
      </c>
      <c r="Z128" s="194">
        <f t="shared" si="21"/>
        <v>542.6</v>
      </c>
      <c r="AA128" s="194">
        <f t="shared" si="21"/>
        <v>559.79999999999995</v>
      </c>
      <c r="AB128" s="194">
        <f t="shared" si="21"/>
        <v>604.1</v>
      </c>
      <c r="AC128" s="194">
        <f t="shared" si="21"/>
        <v>671.5</v>
      </c>
      <c r="AD128" s="194">
        <f t="shared" si="21"/>
        <v>753.30000000000007</v>
      </c>
      <c r="AE128" s="194">
        <f t="shared" si="21"/>
        <v>808.5</v>
      </c>
      <c r="AF128" s="194">
        <f t="shared" si="21"/>
        <v>865.4</v>
      </c>
      <c r="AG128" s="194">
        <f t="shared" si="21"/>
        <v>977.40000000000009</v>
      </c>
      <c r="AH128" s="194">
        <f t="shared" si="21"/>
        <v>1105.5</v>
      </c>
      <c r="AI128" s="194">
        <f t="shared" si="21"/>
        <v>1263.6999999999998</v>
      </c>
      <c r="AJ128" s="194">
        <f t="shared" ref="AJ128:BP128" si="22">AJ89+AJ122</f>
        <v>1400.1000000000001</v>
      </c>
      <c r="AK128" s="194">
        <f t="shared" si="22"/>
        <v>1504.4</v>
      </c>
      <c r="AL128" s="194">
        <f t="shared" si="22"/>
        <v>1697.8</v>
      </c>
      <c r="AM128" s="194">
        <f t="shared" si="22"/>
        <v>1751.1999999999998</v>
      </c>
      <c r="AN128" s="194">
        <f t="shared" si="22"/>
        <v>1888.6999999999996</v>
      </c>
      <c r="AO128" s="194">
        <f t="shared" si="22"/>
        <v>2133.1999999999998</v>
      </c>
      <c r="AP128" s="194">
        <f t="shared" si="22"/>
        <v>2276.8000000000002</v>
      </c>
      <c r="AQ128" s="194">
        <f t="shared" si="22"/>
        <v>2372.3999999999996</v>
      </c>
      <c r="AR128" s="194">
        <f t="shared" si="22"/>
        <v>2552.2999999999997</v>
      </c>
      <c r="AS128" s="194">
        <f t="shared" si="22"/>
        <v>2780.8999999999996</v>
      </c>
      <c r="AT128" s="194">
        <f t="shared" si="22"/>
        <v>2930.2999999999997</v>
      </c>
      <c r="AU128" s="194">
        <f t="shared" si="22"/>
        <v>3064.9</v>
      </c>
      <c r="AV128" s="194">
        <f t="shared" si="22"/>
        <v>3149.4</v>
      </c>
      <c r="AW128" s="194">
        <f t="shared" si="22"/>
        <v>3310</v>
      </c>
      <c r="AX128" s="194">
        <f t="shared" si="22"/>
        <v>3471.4</v>
      </c>
      <c r="AY128" s="194">
        <f t="shared" si="22"/>
        <v>3737</v>
      </c>
      <c r="AZ128" s="194">
        <f t="shared" si="22"/>
        <v>3980.2999999999997</v>
      </c>
      <c r="BA128" s="194">
        <f t="shared" si="22"/>
        <v>4212.7</v>
      </c>
      <c r="BB128" s="194">
        <f t="shared" si="22"/>
        <v>4521.5</v>
      </c>
      <c r="BC128" s="194">
        <f t="shared" si="22"/>
        <v>4781.7</v>
      </c>
      <c r="BD128" s="194">
        <f t="shared" si="22"/>
        <v>5082.7</v>
      </c>
      <c r="BE128" s="194">
        <f t="shared" si="22"/>
        <v>5424.4999999999991</v>
      </c>
      <c r="BF128" s="194">
        <f t="shared" si="22"/>
        <v>5414.9999999999991</v>
      </c>
      <c r="BG128" s="194">
        <f t="shared" si="22"/>
        <v>5482.4000000000005</v>
      </c>
      <c r="BH128" s="194">
        <f t="shared" si="22"/>
        <v>5707.3</v>
      </c>
      <c r="BI128" s="194">
        <f t="shared" si="22"/>
        <v>6127.4</v>
      </c>
      <c r="BJ128" s="194">
        <f t="shared" si="22"/>
        <v>6606.5</v>
      </c>
      <c r="BK128" s="194">
        <f t="shared" si="22"/>
        <v>7031.2000000000007</v>
      </c>
      <c r="BL128" s="194">
        <f t="shared" si="22"/>
        <v>7147.1000000000013</v>
      </c>
      <c r="BM128" s="194">
        <f t="shared" si="22"/>
        <v>6975.3</v>
      </c>
      <c r="BN128" s="194">
        <f t="shared" si="22"/>
        <v>6762.9</v>
      </c>
      <c r="BO128" s="194">
        <f t="shared" si="22"/>
        <v>7205.5</v>
      </c>
      <c r="BP128" s="194">
        <f t="shared" si="22"/>
        <v>7614.3</v>
      </c>
    </row>
    <row r="129" spans="1:122" s="189" customFormat="1" x14ac:dyDescent="0.35">
      <c r="A129" s="183" t="s">
        <v>151</v>
      </c>
      <c r="B129" s="183" t="s">
        <v>398</v>
      </c>
      <c r="C129" s="80" t="s">
        <v>151</v>
      </c>
      <c r="D129" s="194">
        <f>D91+D122</f>
        <v>24.9</v>
      </c>
      <c r="E129" s="194">
        <f t="shared" ref="E129:BP129" si="23">E91+E122</f>
        <v>32.1</v>
      </c>
      <c r="F129" s="194">
        <f t="shared" si="23"/>
        <v>30.2</v>
      </c>
      <c r="G129" s="194">
        <f t="shared" si="23"/>
        <v>37.200000000000003</v>
      </c>
      <c r="H129" s="194">
        <f t="shared" si="23"/>
        <v>42.5</v>
      </c>
      <c r="I129" s="194">
        <f t="shared" si="23"/>
        <v>40.6</v>
      </c>
      <c r="J129" s="194">
        <f t="shared" si="23"/>
        <v>41.099999999999994</v>
      </c>
      <c r="K129" s="194">
        <f t="shared" si="23"/>
        <v>40.299999999999997</v>
      </c>
      <c r="L129" s="194">
        <f t="shared" si="23"/>
        <v>51.300000000000004</v>
      </c>
      <c r="M129" s="194">
        <f t="shared" si="23"/>
        <v>50.300000000000004</v>
      </c>
      <c r="N129" s="194">
        <f t="shared" si="23"/>
        <v>50.5</v>
      </c>
      <c r="O129" s="194">
        <f t="shared" si="23"/>
        <v>46.4</v>
      </c>
      <c r="P129" s="194">
        <f t="shared" si="23"/>
        <v>57.699999999999996</v>
      </c>
      <c r="Q129" s="194">
        <f t="shared" si="23"/>
        <v>57.199999999999996</v>
      </c>
      <c r="R129" s="194">
        <f t="shared" si="23"/>
        <v>58.900000000000006</v>
      </c>
      <c r="S129" s="194">
        <f t="shared" si="23"/>
        <v>67.7</v>
      </c>
      <c r="T129" s="194">
        <f t="shared" si="23"/>
        <v>74.2</v>
      </c>
      <c r="U129" s="194">
        <f t="shared" si="23"/>
        <v>82.1</v>
      </c>
      <c r="V129" s="194">
        <f t="shared" si="23"/>
        <v>94.4</v>
      </c>
      <c r="W129" s="194">
        <f t="shared" si="23"/>
        <v>102</v>
      </c>
      <c r="X129" s="194">
        <f t="shared" si="23"/>
        <v>101.5</v>
      </c>
      <c r="Y129" s="194">
        <f t="shared" si="23"/>
        <v>110.3</v>
      </c>
      <c r="Z129" s="194">
        <f t="shared" si="23"/>
        <v>111</v>
      </c>
      <c r="AA129" s="194">
        <f t="shared" si="23"/>
        <v>102.60000000000001</v>
      </c>
      <c r="AB129" s="194">
        <f t="shared" si="23"/>
        <v>116.00000000000001</v>
      </c>
      <c r="AC129" s="194">
        <f t="shared" si="23"/>
        <v>131.69999999999999</v>
      </c>
      <c r="AD129" s="194">
        <f t="shared" si="23"/>
        <v>145.19999999999999</v>
      </c>
      <c r="AE129" s="194">
        <f t="shared" si="23"/>
        <v>142.4</v>
      </c>
      <c r="AF129" s="194">
        <f t="shared" si="23"/>
        <v>166.10000000000002</v>
      </c>
      <c r="AG129" s="194">
        <f t="shared" si="23"/>
        <v>190.70000000000002</v>
      </c>
      <c r="AH129" s="194">
        <f t="shared" si="23"/>
        <v>220.70000000000002</v>
      </c>
      <c r="AI129" s="194">
        <f t="shared" si="23"/>
        <v>253.10000000000002</v>
      </c>
      <c r="AJ129" s="194">
        <f t="shared" si="23"/>
        <v>263.10000000000002</v>
      </c>
      <c r="AK129" s="194">
        <f t="shared" si="23"/>
        <v>255.7</v>
      </c>
      <c r="AL129" s="194">
        <f t="shared" si="23"/>
        <v>303.2999999999999</v>
      </c>
      <c r="AM129" s="194">
        <f t="shared" si="23"/>
        <v>296.10000000000002</v>
      </c>
      <c r="AN129" s="194">
        <f t="shared" si="23"/>
        <v>344.09999999999991</v>
      </c>
      <c r="AO129" s="194">
        <f t="shared" si="23"/>
        <v>423.69999999999993</v>
      </c>
      <c r="AP129" s="194">
        <f t="shared" si="23"/>
        <v>445.29999999999995</v>
      </c>
      <c r="AQ129" s="194">
        <f t="shared" si="23"/>
        <v>432.39999999999992</v>
      </c>
      <c r="AR129" s="194">
        <f t="shared" si="23"/>
        <v>478.9</v>
      </c>
      <c r="AS129" s="194">
        <f t="shared" si="23"/>
        <v>548.5</v>
      </c>
      <c r="AT129" s="194">
        <f t="shared" si="23"/>
        <v>574.4</v>
      </c>
      <c r="AU129" s="194">
        <f t="shared" si="23"/>
        <v>579.79999999999995</v>
      </c>
      <c r="AV129" s="194">
        <f t="shared" si="23"/>
        <v>592.1</v>
      </c>
      <c r="AW129" s="194">
        <f t="shared" si="23"/>
        <v>608.6</v>
      </c>
      <c r="AX129" s="194">
        <f t="shared" si="23"/>
        <v>641.19999999999993</v>
      </c>
      <c r="AY129" s="194">
        <f t="shared" si="23"/>
        <v>729.90000000000009</v>
      </c>
      <c r="AZ129" s="194">
        <f t="shared" si="23"/>
        <v>825.2</v>
      </c>
      <c r="BA129" s="194">
        <f t="shared" si="23"/>
        <v>907.09999999999991</v>
      </c>
      <c r="BB129" s="194">
        <f t="shared" si="23"/>
        <v>990.80000000000007</v>
      </c>
      <c r="BC129" s="194">
        <f t="shared" si="23"/>
        <v>966.4</v>
      </c>
      <c r="BD129" s="194">
        <f t="shared" si="23"/>
        <v>1012.6000000000004</v>
      </c>
      <c r="BE129" s="194">
        <f t="shared" si="23"/>
        <v>1007.2999999999998</v>
      </c>
      <c r="BF129" s="194">
        <f t="shared" si="23"/>
        <v>966.3</v>
      </c>
      <c r="BG129" s="194">
        <f t="shared" si="23"/>
        <v>1009.5000000000001</v>
      </c>
      <c r="BH129" s="194">
        <f t="shared" si="23"/>
        <v>1084.5</v>
      </c>
      <c r="BI129" s="194">
        <f t="shared" si="23"/>
        <v>1307.8000000000002</v>
      </c>
      <c r="BJ129" s="194">
        <f t="shared" si="23"/>
        <v>1511.3000000000002</v>
      </c>
      <c r="BK129" s="194">
        <f t="shared" si="23"/>
        <v>1654.1</v>
      </c>
      <c r="BL129" s="194">
        <f t="shared" si="23"/>
        <v>1551.4000000000003</v>
      </c>
      <c r="BM129" s="194">
        <f t="shared" si="23"/>
        <v>1288.4999999999998</v>
      </c>
      <c r="BN129" s="194">
        <f t="shared" si="23"/>
        <v>1416.8</v>
      </c>
      <c r="BO129" s="194">
        <f t="shared" si="23"/>
        <v>1738.6</v>
      </c>
      <c r="BP129" s="194">
        <f t="shared" si="23"/>
        <v>1862.3999999999999</v>
      </c>
      <c r="BQ129" s="220"/>
    </row>
    <row r="130" spans="1:122" s="189" customFormat="1" x14ac:dyDescent="0.35">
      <c r="A130" s="60" t="s">
        <v>445</v>
      </c>
      <c r="B130" s="74" t="s">
        <v>410</v>
      </c>
      <c r="C130" s="80" t="s">
        <v>447</v>
      </c>
      <c r="D130" s="194">
        <f>D92+D122</f>
        <v>1.7999999999999996</v>
      </c>
      <c r="E130" s="194">
        <f t="shared" ref="E130:BP130" si="24">E92+E122</f>
        <v>1.8999999999999995</v>
      </c>
      <c r="F130" s="194">
        <f t="shared" si="24"/>
        <v>2.0999999999999988</v>
      </c>
      <c r="G130" s="194">
        <f t="shared" si="24"/>
        <v>2.100000000000001</v>
      </c>
      <c r="H130" s="194">
        <f t="shared" si="24"/>
        <v>2.3999999999999995</v>
      </c>
      <c r="I130" s="194">
        <f t="shared" si="24"/>
        <v>2.600000000000001</v>
      </c>
      <c r="J130" s="194">
        <f t="shared" si="24"/>
        <v>2.7999999999999976</v>
      </c>
      <c r="K130" s="194">
        <f t="shared" si="24"/>
        <v>3.2000000000000006</v>
      </c>
      <c r="L130" s="194">
        <f t="shared" si="24"/>
        <v>3.5000000000000036</v>
      </c>
      <c r="M130" s="194">
        <f t="shared" si="24"/>
        <v>3.6000000000000014</v>
      </c>
      <c r="N130" s="194">
        <f t="shared" si="24"/>
        <v>4.3000000000000007</v>
      </c>
      <c r="O130" s="194">
        <f t="shared" si="24"/>
        <v>4.9999999999999991</v>
      </c>
      <c r="P130" s="194">
        <f t="shared" si="24"/>
        <v>5.0999999999999996</v>
      </c>
      <c r="Q130" s="194">
        <f t="shared" si="24"/>
        <v>5.6999999999999984</v>
      </c>
      <c r="R130" s="194">
        <f t="shared" si="24"/>
        <v>6.3000000000000078</v>
      </c>
      <c r="S130" s="194">
        <f t="shared" si="24"/>
        <v>7.1000000000000014</v>
      </c>
      <c r="T130" s="194">
        <f t="shared" si="24"/>
        <v>7.600000000000005</v>
      </c>
      <c r="U130" s="194">
        <f t="shared" si="24"/>
        <v>8.1999999999999975</v>
      </c>
      <c r="V130" s="194">
        <f t="shared" si="24"/>
        <v>9.3000000000000025</v>
      </c>
      <c r="W130" s="194">
        <f t="shared" si="24"/>
        <v>10.999999999999996</v>
      </c>
      <c r="X130" s="194">
        <f t="shared" si="24"/>
        <v>12.799999999999999</v>
      </c>
      <c r="Y130" s="194">
        <f t="shared" si="24"/>
        <v>14.799999999999997</v>
      </c>
      <c r="Z130" s="194">
        <f t="shared" si="24"/>
        <v>18.800000000000008</v>
      </c>
      <c r="AA130" s="194">
        <f t="shared" si="24"/>
        <v>23.300000000000011</v>
      </c>
      <c r="AB130" s="194">
        <f t="shared" si="24"/>
        <v>24.300000000000008</v>
      </c>
      <c r="AC130" s="194">
        <f t="shared" si="24"/>
        <v>25.799999999999983</v>
      </c>
      <c r="AD130" s="194">
        <f t="shared" si="24"/>
        <v>30.6</v>
      </c>
      <c r="AE130" s="194">
        <f t="shared" si="24"/>
        <v>38.100000000000009</v>
      </c>
      <c r="AF130" s="194">
        <f t="shared" si="24"/>
        <v>38.800000000000026</v>
      </c>
      <c r="AG130" s="194">
        <f t="shared" si="24"/>
        <v>37.800000000000018</v>
      </c>
      <c r="AH130" s="194">
        <f t="shared" si="24"/>
        <v>41.699999999999996</v>
      </c>
      <c r="AI130" s="194">
        <f t="shared" si="24"/>
        <v>49.300000000000011</v>
      </c>
      <c r="AJ130" s="194">
        <f t="shared" si="24"/>
        <v>61.099999999999994</v>
      </c>
      <c r="AK130" s="194">
        <f t="shared" si="24"/>
        <v>77.099999999999994</v>
      </c>
      <c r="AL130" s="194">
        <f t="shared" si="24"/>
        <v>94.599999999999937</v>
      </c>
      <c r="AM130" s="194">
        <f t="shared" si="24"/>
        <v>105.3</v>
      </c>
      <c r="AN130" s="194">
        <f t="shared" si="24"/>
        <v>98.999999999999886</v>
      </c>
      <c r="AO130" s="194">
        <f t="shared" si="24"/>
        <v>113.59999999999994</v>
      </c>
      <c r="AP130" s="194">
        <f t="shared" si="24"/>
        <v>118.89999999999993</v>
      </c>
      <c r="AQ130" s="194">
        <f t="shared" si="24"/>
        <v>127.89999999999991</v>
      </c>
      <c r="AR130" s="194">
        <f t="shared" si="24"/>
        <v>133.80000000000001</v>
      </c>
      <c r="AS130" s="194">
        <f t="shared" si="24"/>
        <v>152.00000000000006</v>
      </c>
      <c r="AT130" s="194">
        <f t="shared" si="24"/>
        <v>181.60000000000008</v>
      </c>
      <c r="AU130" s="194">
        <f t="shared" si="24"/>
        <v>186.69999999999993</v>
      </c>
      <c r="AV130" s="194">
        <f t="shared" si="24"/>
        <v>176.7</v>
      </c>
      <c r="AW130" s="194">
        <f t="shared" si="24"/>
        <v>150.40000000000003</v>
      </c>
      <c r="AX130" s="194">
        <f t="shared" si="24"/>
        <v>141.79999999999998</v>
      </c>
      <c r="AY130" s="194">
        <f t="shared" si="24"/>
        <v>146.40000000000006</v>
      </c>
      <c r="AZ130" s="194">
        <f t="shared" si="24"/>
        <v>164.3</v>
      </c>
      <c r="BA130" s="194">
        <f t="shared" si="24"/>
        <v>162.99999999999994</v>
      </c>
      <c r="BB130" s="194">
        <f t="shared" si="24"/>
        <v>178.30000000000007</v>
      </c>
      <c r="BC130" s="194">
        <f t="shared" si="24"/>
        <v>202.89999999999989</v>
      </c>
      <c r="BD130" s="194">
        <f t="shared" si="24"/>
        <v>223.00000000000037</v>
      </c>
      <c r="BE130" s="194">
        <f t="shared" si="24"/>
        <v>259.79999999999984</v>
      </c>
      <c r="BF130" s="194">
        <f t="shared" si="24"/>
        <v>264.79999999999984</v>
      </c>
      <c r="BG130" s="194">
        <f t="shared" si="24"/>
        <v>231.80000000000013</v>
      </c>
      <c r="BH130" s="194">
        <f t="shared" si="24"/>
        <v>221.5</v>
      </c>
      <c r="BI130" s="194">
        <f t="shared" si="24"/>
        <v>211.00000000000009</v>
      </c>
      <c r="BJ130" s="194">
        <f t="shared" si="24"/>
        <v>233.10000000000014</v>
      </c>
      <c r="BK130" s="194">
        <f t="shared" si="24"/>
        <v>254.20000000000005</v>
      </c>
      <c r="BL130" s="194">
        <f t="shared" si="24"/>
        <v>319.10000000000025</v>
      </c>
      <c r="BM130" s="194">
        <f t="shared" si="24"/>
        <v>343.49999999999977</v>
      </c>
      <c r="BN130" s="194">
        <f t="shared" si="24"/>
        <v>323.19999999999993</v>
      </c>
      <c r="BO130" s="194">
        <f t="shared" si="24"/>
        <v>327.90000000000009</v>
      </c>
      <c r="BP130" s="194">
        <f t="shared" si="24"/>
        <v>366.19999999999993</v>
      </c>
      <c r="BQ130" s="81"/>
      <c r="BR130" s="81"/>
      <c r="BS130" s="81"/>
      <c r="BT130" s="81"/>
      <c r="BU130" s="81"/>
      <c r="BV130" s="81"/>
      <c r="BW130" s="81"/>
      <c r="BX130" s="81"/>
      <c r="BY130" s="81"/>
      <c r="BZ130" s="81"/>
      <c r="CA130" s="81"/>
      <c r="CB130" s="81"/>
      <c r="CC130" s="81"/>
      <c r="CD130" s="81"/>
      <c r="CE130" s="81"/>
      <c r="CF130" s="81"/>
      <c r="CG130" s="81"/>
      <c r="CH130" s="81"/>
      <c r="CI130" s="81"/>
      <c r="CJ130" s="81"/>
      <c r="CK130" s="81"/>
      <c r="CL130" s="81"/>
      <c r="CM130" s="81"/>
      <c r="CN130" s="81"/>
      <c r="CO130" s="81"/>
      <c r="CP130" s="81"/>
      <c r="CQ130" s="81"/>
      <c r="CR130" s="81"/>
      <c r="CS130" s="81"/>
      <c r="CT130" s="81"/>
      <c r="CU130" s="81"/>
      <c r="CV130" s="81"/>
      <c r="CW130" s="81"/>
      <c r="CX130" s="81"/>
      <c r="CY130" s="81"/>
      <c r="CZ130" s="81"/>
      <c r="DA130" s="81"/>
      <c r="DB130" s="81"/>
      <c r="DC130" s="81"/>
      <c r="DD130" s="81"/>
      <c r="DE130" s="81"/>
      <c r="DF130" s="81"/>
      <c r="DG130" s="81"/>
      <c r="DH130" s="81"/>
      <c r="DI130" s="81"/>
      <c r="DJ130" s="81"/>
      <c r="DK130" s="81"/>
      <c r="DL130" s="81"/>
      <c r="DM130" s="81"/>
      <c r="DN130" s="81"/>
      <c r="DO130" s="81"/>
      <c r="DP130" s="81"/>
      <c r="DQ130" s="81"/>
      <c r="DR130" s="81"/>
    </row>
    <row r="131" spans="1:122" s="189" customFormat="1" x14ac:dyDescent="0.35">
      <c r="A131" s="60" t="s">
        <v>439</v>
      </c>
      <c r="B131" s="183" t="s">
        <v>177</v>
      </c>
      <c r="C131" s="80" t="s">
        <v>414</v>
      </c>
      <c r="D131" s="194">
        <f>D93</f>
        <v>0.6</v>
      </c>
      <c r="E131" s="194">
        <f t="shared" ref="E131:BP131" si="25">E93</f>
        <v>0.6</v>
      </c>
      <c r="F131" s="194">
        <f t="shared" si="25"/>
        <v>0.6</v>
      </c>
      <c r="G131" s="194">
        <f t="shared" si="25"/>
        <v>0.7</v>
      </c>
      <c r="H131" s="194">
        <f t="shared" si="25"/>
        <v>1.1000000000000001</v>
      </c>
      <c r="I131" s="194">
        <f t="shared" si="25"/>
        <v>1.1000000000000001</v>
      </c>
      <c r="J131" s="194">
        <f t="shared" si="25"/>
        <v>1</v>
      </c>
      <c r="K131" s="194">
        <f t="shared" si="25"/>
        <v>0.8</v>
      </c>
      <c r="L131" s="194">
        <f t="shared" si="25"/>
        <v>1.2</v>
      </c>
      <c r="M131" s="194">
        <f t="shared" si="25"/>
        <v>1.5</v>
      </c>
      <c r="N131" s="194">
        <f t="shared" si="25"/>
        <v>1.7</v>
      </c>
      <c r="O131" s="194">
        <f t="shared" si="25"/>
        <v>1.5</v>
      </c>
      <c r="P131" s="194">
        <f t="shared" si="25"/>
        <v>1.5</v>
      </c>
      <c r="Q131" s="194">
        <f t="shared" si="25"/>
        <v>1.6</v>
      </c>
      <c r="R131" s="194">
        <f t="shared" si="25"/>
        <v>1.8</v>
      </c>
      <c r="S131" s="194">
        <f t="shared" si="25"/>
        <v>2</v>
      </c>
      <c r="T131" s="194">
        <f t="shared" si="25"/>
        <v>2.4</v>
      </c>
      <c r="U131" s="194">
        <f t="shared" si="25"/>
        <v>2.9</v>
      </c>
      <c r="V131" s="194">
        <f t="shared" si="25"/>
        <v>3.3</v>
      </c>
      <c r="W131" s="194">
        <f t="shared" si="25"/>
        <v>3</v>
      </c>
      <c r="X131" s="194">
        <f t="shared" si="25"/>
        <v>3.3</v>
      </c>
      <c r="Y131" s="194">
        <f t="shared" si="25"/>
        <v>3.8</v>
      </c>
      <c r="Z131" s="194">
        <f t="shared" si="25"/>
        <v>4.4000000000000004</v>
      </c>
      <c r="AA131" s="194">
        <f t="shared" si="25"/>
        <v>3.9</v>
      </c>
      <c r="AB131" s="194">
        <f t="shared" si="25"/>
        <v>3.5</v>
      </c>
      <c r="AC131" s="194">
        <f t="shared" si="25"/>
        <v>4</v>
      </c>
      <c r="AD131" s="194">
        <f t="shared" si="25"/>
        <v>5</v>
      </c>
      <c r="AE131" s="194">
        <f t="shared" si="25"/>
        <v>6.6</v>
      </c>
      <c r="AF131" s="194">
        <f t="shared" si="25"/>
        <v>8.6</v>
      </c>
      <c r="AG131" s="194">
        <f t="shared" si="25"/>
        <v>7.9</v>
      </c>
      <c r="AH131" s="194">
        <f t="shared" si="25"/>
        <v>6.3</v>
      </c>
      <c r="AI131" s="194">
        <f t="shared" si="25"/>
        <v>8.1999999999999993</v>
      </c>
      <c r="AJ131" s="194">
        <f t="shared" si="25"/>
        <v>11.3</v>
      </c>
      <c r="AK131" s="194">
        <f t="shared" si="25"/>
        <v>12.6</v>
      </c>
      <c r="AL131" s="194">
        <f t="shared" si="25"/>
        <v>15.1</v>
      </c>
      <c r="AM131" s="194">
        <f t="shared" si="25"/>
        <v>17.7</v>
      </c>
      <c r="AN131" s="194">
        <f t="shared" si="25"/>
        <v>20.3</v>
      </c>
      <c r="AO131" s="194">
        <f t="shared" si="25"/>
        <v>28</v>
      </c>
      <c r="AP131" s="194">
        <f t="shared" si="25"/>
        <v>31.9</v>
      </c>
      <c r="AQ131" s="194">
        <f t="shared" si="25"/>
        <v>29.9</v>
      </c>
      <c r="AR131" s="194">
        <f t="shared" si="25"/>
        <v>25.3</v>
      </c>
      <c r="AS131" s="194">
        <f t="shared" si="25"/>
        <v>26.9</v>
      </c>
      <c r="AT131" s="194">
        <f t="shared" si="25"/>
        <v>34.4</v>
      </c>
      <c r="AU131" s="194">
        <f t="shared" si="25"/>
        <v>34.799999999999997</v>
      </c>
      <c r="AV131" s="194">
        <f t="shared" si="25"/>
        <v>34.6</v>
      </c>
      <c r="AW131" s="194">
        <f t="shared" si="25"/>
        <v>35.1</v>
      </c>
      <c r="AX131" s="194">
        <f t="shared" si="25"/>
        <v>32.700000000000003</v>
      </c>
      <c r="AY131" s="194">
        <f t="shared" si="25"/>
        <v>33.200000000000003</v>
      </c>
      <c r="AZ131" s="194">
        <f t="shared" si="25"/>
        <v>37.700000000000003</v>
      </c>
      <c r="BA131" s="194">
        <f t="shared" si="25"/>
        <v>44.6</v>
      </c>
      <c r="BB131" s="194">
        <f t="shared" si="25"/>
        <v>35.200000000000003</v>
      </c>
      <c r="BC131" s="194">
        <f t="shared" si="25"/>
        <v>53.8</v>
      </c>
      <c r="BD131" s="194">
        <f t="shared" si="25"/>
        <v>54.9</v>
      </c>
      <c r="BE131" s="194">
        <f t="shared" si="25"/>
        <v>73.8</v>
      </c>
      <c r="BF131" s="194">
        <f t="shared" si="25"/>
        <v>87</v>
      </c>
      <c r="BG131" s="194">
        <f t="shared" si="25"/>
        <v>63.5</v>
      </c>
      <c r="BH131" s="194">
        <f t="shared" si="25"/>
        <v>50.9</v>
      </c>
      <c r="BI131" s="194">
        <f t="shared" si="25"/>
        <v>54.9</v>
      </c>
      <c r="BJ131" s="194">
        <f t="shared" si="25"/>
        <v>61.6</v>
      </c>
      <c r="BK131" s="194">
        <f t="shared" si="25"/>
        <v>48.4</v>
      </c>
      <c r="BL131" s="194">
        <f t="shared" si="25"/>
        <v>72.599999999999994</v>
      </c>
      <c r="BM131" s="194">
        <f t="shared" si="25"/>
        <v>103.2</v>
      </c>
      <c r="BN131" s="194">
        <f t="shared" si="25"/>
        <v>104</v>
      </c>
      <c r="BO131" s="194">
        <f t="shared" si="25"/>
        <v>109.8</v>
      </c>
      <c r="BP131" s="194">
        <f t="shared" si="25"/>
        <v>108.1</v>
      </c>
      <c r="BQ131" s="81"/>
      <c r="BR131" s="81"/>
      <c r="BS131" s="81"/>
      <c r="BT131" s="81"/>
      <c r="BU131" s="81"/>
      <c r="BV131" s="81"/>
      <c r="BW131" s="81"/>
      <c r="BX131" s="81"/>
      <c r="BY131" s="81"/>
      <c r="BZ131" s="81"/>
      <c r="CA131" s="81"/>
      <c r="CB131" s="81"/>
      <c r="CC131" s="81"/>
      <c r="CD131" s="81"/>
      <c r="CE131" s="81"/>
      <c r="CF131" s="81"/>
      <c r="CG131" s="81"/>
      <c r="CH131" s="81"/>
      <c r="CI131" s="81"/>
      <c r="CJ131" s="81"/>
      <c r="CK131" s="81"/>
      <c r="CL131" s="81"/>
      <c r="CM131" s="81"/>
      <c r="CN131" s="81"/>
      <c r="CO131" s="81"/>
      <c r="CP131" s="81"/>
      <c r="CQ131" s="81"/>
      <c r="CR131" s="81"/>
      <c r="CS131" s="81"/>
      <c r="CT131" s="81"/>
      <c r="CU131" s="81"/>
      <c r="CV131" s="81"/>
      <c r="CW131" s="81"/>
      <c r="CX131" s="81"/>
      <c r="CY131" s="81"/>
      <c r="CZ131" s="81"/>
      <c r="DA131" s="81"/>
      <c r="DB131" s="81"/>
      <c r="DC131" s="81"/>
      <c r="DD131" s="81"/>
      <c r="DE131" s="81"/>
      <c r="DF131" s="81"/>
      <c r="DG131" s="81"/>
      <c r="DH131" s="81"/>
      <c r="DI131" s="81"/>
      <c r="DJ131" s="81"/>
      <c r="DK131" s="81"/>
      <c r="DL131" s="81"/>
      <c r="DM131" s="81"/>
      <c r="DN131" s="81"/>
      <c r="DO131" s="81"/>
      <c r="DP131" s="81"/>
      <c r="DQ131" s="81"/>
      <c r="DR131" s="81"/>
    </row>
    <row r="132" spans="1:122" s="189" customFormat="1" x14ac:dyDescent="0.35">
      <c r="A132" s="183" t="s">
        <v>401</v>
      </c>
      <c r="B132" s="183" t="s">
        <v>399</v>
      </c>
      <c r="C132" s="85" t="s">
        <v>152</v>
      </c>
      <c r="D132" s="194">
        <f>D94</f>
        <v>22.5</v>
      </c>
      <c r="E132" s="194">
        <f t="shared" ref="E132:BP132" si="26">E94</f>
        <v>29.6</v>
      </c>
      <c r="F132" s="194">
        <f t="shared" si="26"/>
        <v>27.6</v>
      </c>
      <c r="G132" s="194">
        <f t="shared" si="26"/>
        <v>34.4</v>
      </c>
      <c r="H132" s="194">
        <f t="shared" si="26"/>
        <v>39.1</v>
      </c>
      <c r="I132" s="194">
        <f t="shared" si="26"/>
        <v>37</v>
      </c>
      <c r="J132" s="194">
        <f t="shared" si="26"/>
        <v>37.299999999999997</v>
      </c>
      <c r="K132" s="194">
        <f t="shared" si="26"/>
        <v>36.4</v>
      </c>
      <c r="L132" s="194">
        <f t="shared" si="26"/>
        <v>46.6</v>
      </c>
      <c r="M132" s="194">
        <f t="shared" si="26"/>
        <v>45.2</v>
      </c>
      <c r="N132" s="194">
        <f t="shared" si="26"/>
        <v>44.5</v>
      </c>
      <c r="O132" s="194">
        <f t="shared" si="26"/>
        <v>39.9</v>
      </c>
      <c r="P132" s="194">
        <f t="shared" si="26"/>
        <v>51.1</v>
      </c>
      <c r="Q132" s="194">
        <f t="shared" si="26"/>
        <v>50</v>
      </c>
      <c r="R132" s="194">
        <f t="shared" si="26"/>
        <v>50.9</v>
      </c>
      <c r="S132" s="194">
        <f t="shared" si="26"/>
        <v>58.6</v>
      </c>
      <c r="T132" s="194">
        <f t="shared" si="26"/>
        <v>64.3</v>
      </c>
      <c r="U132" s="194">
        <f t="shared" si="26"/>
        <v>71.099999999999994</v>
      </c>
      <c r="V132" s="194">
        <f t="shared" si="26"/>
        <v>81.8</v>
      </c>
      <c r="W132" s="194">
        <f t="shared" si="26"/>
        <v>88</v>
      </c>
      <c r="X132" s="194">
        <f t="shared" si="26"/>
        <v>85.4</v>
      </c>
      <c r="Y132" s="194">
        <f t="shared" si="26"/>
        <v>91.6</v>
      </c>
      <c r="Z132" s="194">
        <f t="shared" si="26"/>
        <v>87.9</v>
      </c>
      <c r="AA132" s="194">
        <f t="shared" si="26"/>
        <v>75.400000000000006</v>
      </c>
      <c r="AB132" s="194">
        <f t="shared" si="26"/>
        <v>88.2</v>
      </c>
      <c r="AC132" s="194">
        <f t="shared" si="26"/>
        <v>101.9</v>
      </c>
      <c r="AD132" s="194">
        <f t="shared" si="26"/>
        <v>109.6</v>
      </c>
      <c r="AE132" s="194">
        <f t="shared" si="26"/>
        <v>97.7</v>
      </c>
      <c r="AF132" s="194">
        <f t="shared" si="26"/>
        <v>118.7</v>
      </c>
      <c r="AG132" s="194">
        <f t="shared" si="26"/>
        <v>145.1</v>
      </c>
      <c r="AH132" s="194">
        <f t="shared" si="26"/>
        <v>172.7</v>
      </c>
      <c r="AI132" s="194">
        <f t="shared" si="26"/>
        <v>195.6</v>
      </c>
      <c r="AJ132" s="194">
        <f t="shared" si="26"/>
        <v>190.7</v>
      </c>
      <c r="AK132" s="194">
        <f t="shared" si="26"/>
        <v>166</v>
      </c>
      <c r="AL132" s="194">
        <f t="shared" si="26"/>
        <v>193.6</v>
      </c>
      <c r="AM132" s="194">
        <f t="shared" si="26"/>
        <v>173.1</v>
      </c>
      <c r="AN132" s="194">
        <f t="shared" si="26"/>
        <v>224.8</v>
      </c>
      <c r="AO132" s="194">
        <f t="shared" si="26"/>
        <v>282</v>
      </c>
      <c r="AP132" s="194">
        <f t="shared" si="26"/>
        <v>294.39999999999998</v>
      </c>
      <c r="AQ132" s="194">
        <f t="shared" si="26"/>
        <v>274.7</v>
      </c>
      <c r="AR132" s="194">
        <f t="shared" si="26"/>
        <v>319.8</v>
      </c>
      <c r="AS132" s="194">
        <f t="shared" si="26"/>
        <v>369.6</v>
      </c>
      <c r="AT132" s="194">
        <f t="shared" si="26"/>
        <v>358.4</v>
      </c>
      <c r="AU132" s="194">
        <f t="shared" si="26"/>
        <v>358.4</v>
      </c>
      <c r="AV132" s="194">
        <f t="shared" si="26"/>
        <v>380.8</v>
      </c>
      <c r="AW132" s="194">
        <f t="shared" si="26"/>
        <v>423.1</v>
      </c>
      <c r="AX132" s="194">
        <f t="shared" si="26"/>
        <v>466.8</v>
      </c>
      <c r="AY132" s="194">
        <f t="shared" si="26"/>
        <v>550.29999999999995</v>
      </c>
      <c r="AZ132" s="194">
        <f t="shared" si="26"/>
        <v>623.20000000000005</v>
      </c>
      <c r="BA132" s="194">
        <f t="shared" si="26"/>
        <v>699.5</v>
      </c>
      <c r="BB132" s="194">
        <f t="shared" si="26"/>
        <v>777.3</v>
      </c>
      <c r="BC132" s="194">
        <f t="shared" si="26"/>
        <v>709.7</v>
      </c>
      <c r="BD132" s="194">
        <f t="shared" si="26"/>
        <v>734.8</v>
      </c>
      <c r="BE132" s="194">
        <f t="shared" si="26"/>
        <v>673.6</v>
      </c>
      <c r="BF132" s="194">
        <f t="shared" si="26"/>
        <v>614.5</v>
      </c>
      <c r="BG132" s="194">
        <f t="shared" si="26"/>
        <v>714.3</v>
      </c>
      <c r="BH132" s="194">
        <f t="shared" si="26"/>
        <v>812</v>
      </c>
      <c r="BI132" s="194">
        <f t="shared" si="26"/>
        <v>1041.9000000000001</v>
      </c>
      <c r="BJ132" s="194">
        <f t="shared" si="26"/>
        <v>1216.5999999999999</v>
      </c>
      <c r="BK132" s="194">
        <f t="shared" si="26"/>
        <v>1351.5</v>
      </c>
      <c r="BL132" s="194">
        <f t="shared" si="26"/>
        <v>1159.8</v>
      </c>
      <c r="BM132" s="194">
        <f t="shared" si="26"/>
        <v>841.8</v>
      </c>
      <c r="BN132" s="194">
        <f t="shared" si="26"/>
        <v>989.5</v>
      </c>
      <c r="BO132" s="194">
        <f t="shared" si="26"/>
        <v>1300.9000000000001</v>
      </c>
      <c r="BP132" s="194">
        <f t="shared" si="26"/>
        <v>1388.1</v>
      </c>
    </row>
    <row r="133" spans="1:122" s="189" customFormat="1" x14ac:dyDescent="0.35">
      <c r="A133" s="297">
        <f>AVERAGE(D133:BP133)</f>
        <v>1.0955704779331243</v>
      </c>
      <c r="B133" s="296" t="s">
        <v>586</v>
      </c>
      <c r="C133" s="80" t="s">
        <v>585</v>
      </c>
      <c r="D133" s="100">
        <f>D129/D91</f>
        <v>1.0641025641025641</v>
      </c>
      <c r="E133" s="100">
        <f t="shared" ref="E133:BP133" si="27">E129/E91</f>
        <v>1.0629139072847682</v>
      </c>
      <c r="F133" s="100">
        <f t="shared" si="27"/>
        <v>1.0747330960854091</v>
      </c>
      <c r="G133" s="100">
        <f t="shared" si="27"/>
        <v>1.0628571428571429</v>
      </c>
      <c r="H133" s="100">
        <f t="shared" si="27"/>
        <v>1.0651629072681705</v>
      </c>
      <c r="I133" s="100">
        <f t="shared" si="27"/>
        <v>1.0740740740740742</v>
      </c>
      <c r="J133" s="100">
        <f t="shared" si="27"/>
        <v>1.073107049608355</v>
      </c>
      <c r="K133" s="100">
        <f t="shared" si="27"/>
        <v>1.0804289544235925</v>
      </c>
      <c r="L133" s="100">
        <f t="shared" si="27"/>
        <v>1.0687500000000001</v>
      </c>
      <c r="M133" s="100">
        <f t="shared" si="27"/>
        <v>1.0770877944325481</v>
      </c>
      <c r="N133" s="100">
        <f t="shared" si="27"/>
        <v>1.0883620689655173</v>
      </c>
      <c r="O133" s="100">
        <f t="shared" si="27"/>
        <v>1.1047619047619048</v>
      </c>
      <c r="P133" s="100">
        <f t="shared" si="27"/>
        <v>1.1011450381679388</v>
      </c>
      <c r="Q133" s="100">
        <f t="shared" si="27"/>
        <v>1.1150097465886939</v>
      </c>
      <c r="R133" s="100">
        <f t="shared" si="27"/>
        <v>1.1113207547169812</v>
      </c>
      <c r="S133" s="100">
        <f t="shared" si="27"/>
        <v>1.1044045676998369</v>
      </c>
      <c r="T133" s="100">
        <f t="shared" si="27"/>
        <v>1.1074626865671642</v>
      </c>
      <c r="U133" s="100">
        <f t="shared" si="27"/>
        <v>1.0990629183400267</v>
      </c>
      <c r="V133" s="100">
        <f t="shared" si="27"/>
        <v>1.0938586326767092</v>
      </c>
      <c r="W133" s="100">
        <f t="shared" si="27"/>
        <v>1.0932475884244373</v>
      </c>
      <c r="X133" s="100">
        <f t="shared" si="27"/>
        <v>1.0949298813376482</v>
      </c>
      <c r="Y133" s="100">
        <f t="shared" si="27"/>
        <v>1.1096579476861166</v>
      </c>
      <c r="Z133" s="100">
        <f t="shared" si="27"/>
        <v>1.1100000000000001</v>
      </c>
      <c r="AA133" s="100">
        <f t="shared" si="27"/>
        <v>1.132450331125828</v>
      </c>
      <c r="AB133" s="100">
        <f t="shared" si="27"/>
        <v>1.124031007751938</v>
      </c>
      <c r="AC133" s="100">
        <f t="shared" si="27"/>
        <v>1.1237201365187712</v>
      </c>
      <c r="AD133" s="100">
        <f t="shared" si="27"/>
        <v>1.1379310344827587</v>
      </c>
      <c r="AE133" s="100">
        <f t="shared" si="27"/>
        <v>1.1392</v>
      </c>
      <c r="AF133" s="100">
        <f t="shared" si="27"/>
        <v>1.1021897810218981</v>
      </c>
      <c r="AG133" s="100">
        <f t="shared" si="27"/>
        <v>1.1106581246359932</v>
      </c>
      <c r="AH133" s="100">
        <f t="shared" si="27"/>
        <v>1.0909540286702917</v>
      </c>
      <c r="AI133" s="100">
        <f t="shared" si="27"/>
        <v>1.0942498919152617</v>
      </c>
      <c r="AJ133" s="100">
        <f t="shared" si="27"/>
        <v>1.1105951878429718</v>
      </c>
      <c r="AK133" s="100">
        <f t="shared" si="27"/>
        <v>1.0904051172707889</v>
      </c>
      <c r="AL133" s="100">
        <f t="shared" si="27"/>
        <v>1.0590083798882679</v>
      </c>
      <c r="AM133" s="100">
        <f t="shared" si="27"/>
        <v>1.0544871794871795</v>
      </c>
      <c r="AN133" s="100">
        <f t="shared" si="27"/>
        <v>1.0373831775700932</v>
      </c>
      <c r="AO133" s="100">
        <f t="shared" si="27"/>
        <v>1.0361946686231351</v>
      </c>
      <c r="AP133" s="100">
        <f t="shared" si="27"/>
        <v>1.0519725962674225</v>
      </c>
      <c r="AQ133" s="100">
        <f t="shared" si="27"/>
        <v>1.0525803310613435</v>
      </c>
      <c r="AR133" s="100">
        <f t="shared" si="27"/>
        <v>1.0578749723878949</v>
      </c>
      <c r="AS133" s="100">
        <f t="shared" si="27"/>
        <v>1.0876462423160818</v>
      </c>
      <c r="AT133" s="100">
        <f t="shared" si="27"/>
        <v>1.0986993114001531</v>
      </c>
      <c r="AU133" s="100">
        <f t="shared" si="27"/>
        <v>1.1173636538832143</v>
      </c>
      <c r="AV133" s="100">
        <f t="shared" si="27"/>
        <v>1.1430501930501931</v>
      </c>
      <c r="AW133" s="100">
        <f t="shared" si="27"/>
        <v>1.1295471417965852</v>
      </c>
      <c r="AX133" s="100">
        <f t="shared" si="27"/>
        <v>1.1192180136149414</v>
      </c>
      <c r="AY133" s="100">
        <f t="shared" si="27"/>
        <v>1.1084282460136676</v>
      </c>
      <c r="AZ133" s="100">
        <f t="shared" si="27"/>
        <v>1.1372657111356119</v>
      </c>
      <c r="BA133" s="100">
        <f t="shared" si="27"/>
        <v>1.1151954757806737</v>
      </c>
      <c r="BB133" s="100">
        <f t="shared" si="27"/>
        <v>1.0920313016642789</v>
      </c>
      <c r="BC133" s="100">
        <f t="shared" si="27"/>
        <v>1.0670199845423429</v>
      </c>
      <c r="BD133" s="100">
        <f t="shared" si="27"/>
        <v>1.0904587551152276</v>
      </c>
      <c r="BE133" s="100">
        <f t="shared" si="27"/>
        <v>1.1019582102614591</v>
      </c>
      <c r="BF133" s="100">
        <f t="shared" si="27"/>
        <v>1.1292509056912468</v>
      </c>
      <c r="BG133" s="100">
        <f t="shared" si="27"/>
        <v>1.1293209531267481</v>
      </c>
      <c r="BH133" s="100">
        <f t="shared" si="27"/>
        <v>1.1268703241895262</v>
      </c>
      <c r="BI133" s="100">
        <f t="shared" si="27"/>
        <v>1.1417845294220361</v>
      </c>
      <c r="BJ133" s="100">
        <f t="shared" si="27"/>
        <v>1.1280041797283178</v>
      </c>
      <c r="BK133" s="100">
        <f t="shared" si="27"/>
        <v>1.0880089456028414</v>
      </c>
      <c r="BL133" s="100">
        <f t="shared" si="27"/>
        <v>1.1109201575366991</v>
      </c>
      <c r="BM133" s="100">
        <f t="shared" si="27"/>
        <v>1.0037391913998597</v>
      </c>
      <c r="BN133" s="100">
        <f t="shared" si="27"/>
        <v>1.1039426523297491</v>
      </c>
      <c r="BO133" s="100">
        <f t="shared" si="27"/>
        <v>1.0911943764513903</v>
      </c>
      <c r="BP133" s="100">
        <f t="shared" si="27"/>
        <v>1.1088354370088116</v>
      </c>
    </row>
    <row r="134" spans="1:122" s="189" customFormat="1" x14ac:dyDescent="0.35">
      <c r="A134" s="206"/>
      <c r="B134" s="206"/>
      <c r="C134" s="80"/>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row>
    <row r="135" spans="1:122" s="189" customFormat="1" x14ac:dyDescent="0.35">
      <c r="A135" s="206" t="s">
        <v>449</v>
      </c>
      <c r="B135" s="206"/>
      <c r="C135" s="80"/>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row>
    <row r="136" spans="1:122" s="189" customFormat="1" x14ac:dyDescent="0.35">
      <c r="A136" s="183" t="s">
        <v>179</v>
      </c>
      <c r="B136" s="183" t="s">
        <v>179</v>
      </c>
      <c r="C136" s="80" t="s">
        <v>180</v>
      </c>
      <c r="D136" s="199">
        <f t="shared" ref="D136:AI136" si="28">D103-D123</f>
        <v>75.134999999999991</v>
      </c>
      <c r="E136" s="199">
        <f t="shared" si="28"/>
        <v>80.433000000000021</v>
      </c>
      <c r="F136" s="199">
        <f t="shared" si="28"/>
        <v>78.787999999999982</v>
      </c>
      <c r="G136" s="199">
        <f t="shared" si="28"/>
        <v>84.16</v>
      </c>
      <c r="H136" s="199">
        <f t="shared" si="28"/>
        <v>96.55499999999995</v>
      </c>
      <c r="I136" s="199">
        <f t="shared" si="28"/>
        <v>99.668000000000092</v>
      </c>
      <c r="J136" s="199">
        <f t="shared" si="28"/>
        <v>102.649</v>
      </c>
      <c r="K136" s="199">
        <f t="shared" si="28"/>
        <v>102.80199999999999</v>
      </c>
      <c r="L136" s="199">
        <f t="shared" si="28"/>
        <v>105.94799999999998</v>
      </c>
      <c r="M136" s="199">
        <f t="shared" si="28"/>
        <v>106.46599999999995</v>
      </c>
      <c r="N136" s="199">
        <f t="shared" si="28"/>
        <v>112.73000000000008</v>
      </c>
      <c r="O136" s="199">
        <f t="shared" si="28"/>
        <v>117.17099999999999</v>
      </c>
      <c r="P136" s="199">
        <f t="shared" si="28"/>
        <v>119.49200000000002</v>
      </c>
      <c r="Q136" s="199">
        <f t="shared" si="28"/>
        <v>119.44099999999997</v>
      </c>
      <c r="R136" s="199">
        <f t="shared" si="28"/>
        <v>122.58699999999988</v>
      </c>
      <c r="S136" s="199">
        <f t="shared" si="28"/>
        <v>127.79000000000008</v>
      </c>
      <c r="T136" s="199">
        <f t="shared" si="28"/>
        <v>130.21999999999991</v>
      </c>
      <c r="U136" s="199">
        <f t="shared" si="28"/>
        <v>138.30299999999994</v>
      </c>
      <c r="V136" s="199">
        <f t="shared" si="28"/>
        <v>146.87699999999995</v>
      </c>
      <c r="W136" s="199">
        <f t="shared" si="28"/>
        <v>160.52500000000003</v>
      </c>
      <c r="X136" s="199">
        <f t="shared" si="28"/>
        <v>163.96699999999987</v>
      </c>
      <c r="Y136" s="199">
        <f t="shared" si="28"/>
        <v>172.65199999999993</v>
      </c>
      <c r="Z136" s="199">
        <f t="shared" si="28"/>
        <v>179.82399999999996</v>
      </c>
      <c r="AA136" s="199">
        <f t="shared" si="28"/>
        <v>190.98200000000008</v>
      </c>
      <c r="AB136" s="199">
        <f t="shared" si="28"/>
        <v>207.4559999999999</v>
      </c>
      <c r="AC136" s="199">
        <f t="shared" si="28"/>
        <v>223.9910000000001</v>
      </c>
      <c r="AD136" s="199">
        <f t="shared" si="28"/>
        <v>257.33299999999986</v>
      </c>
      <c r="AE136" s="199">
        <f t="shared" si="28"/>
        <v>275.09900000000016</v>
      </c>
      <c r="AF136" s="199">
        <f t="shared" si="28"/>
        <v>300.47600000000011</v>
      </c>
      <c r="AG136" s="199">
        <f t="shared" si="28"/>
        <v>333.45199999999977</v>
      </c>
      <c r="AH136" s="199">
        <f t="shared" si="28"/>
        <v>359.46299999999997</v>
      </c>
      <c r="AI136" s="199">
        <f t="shared" si="28"/>
        <v>405.66700000000014</v>
      </c>
      <c r="AJ136" s="199">
        <f t="shared" ref="AJ136:BP136" si="29">AJ103-AJ123</f>
        <v>470.31799999999953</v>
      </c>
      <c r="AK136" s="199">
        <f t="shared" si="29"/>
        <v>492.31600000000003</v>
      </c>
      <c r="AL136" s="199">
        <f t="shared" si="29"/>
        <v>530.27899999999977</v>
      </c>
      <c r="AM136" s="199">
        <f t="shared" si="29"/>
        <v>511.20299999999997</v>
      </c>
      <c r="AN136" s="199">
        <f t="shared" si="29"/>
        <v>582.52599999999984</v>
      </c>
      <c r="AO136" s="199">
        <f t="shared" si="29"/>
        <v>646.91199999999981</v>
      </c>
      <c r="AP136" s="199">
        <f t="shared" si="29"/>
        <v>701.75899999999956</v>
      </c>
      <c r="AQ136" s="199">
        <f t="shared" si="29"/>
        <v>761.92900000000009</v>
      </c>
      <c r="AR136" s="199">
        <f t="shared" si="29"/>
        <v>767.60999999999967</v>
      </c>
      <c r="AS136" s="199">
        <f t="shared" si="29"/>
        <v>804.57799999999907</v>
      </c>
      <c r="AT136" s="199">
        <f t="shared" si="29"/>
        <v>930.53700000000072</v>
      </c>
      <c r="AU136" s="199">
        <f t="shared" si="29"/>
        <v>996.60699999999952</v>
      </c>
      <c r="AV136" s="199">
        <f t="shared" si="29"/>
        <v>1001.5799999999999</v>
      </c>
      <c r="AW136" s="199">
        <f t="shared" si="29"/>
        <v>1089.817</v>
      </c>
      <c r="AX136" s="199">
        <f t="shared" si="29"/>
        <v>1161.5609999999997</v>
      </c>
      <c r="AY136" s="199">
        <f t="shared" si="29"/>
        <v>1210.4170000000004</v>
      </c>
      <c r="AZ136" s="199">
        <f t="shared" si="29"/>
        <v>1209.308</v>
      </c>
      <c r="BA136" s="199">
        <f t="shared" si="29"/>
        <v>1290.0259999999998</v>
      </c>
      <c r="BB136" s="199">
        <f t="shared" si="29"/>
        <v>1346.317</v>
      </c>
      <c r="BC136" s="199">
        <f t="shared" si="29"/>
        <v>1391.6670000000004</v>
      </c>
      <c r="BD136" s="199">
        <f t="shared" si="29"/>
        <v>1501.1719999999996</v>
      </c>
      <c r="BE136" s="199">
        <f t="shared" si="29"/>
        <v>1575.8069999999998</v>
      </c>
      <c r="BF136" s="199">
        <f t="shared" si="29"/>
        <v>1757.5350000000008</v>
      </c>
      <c r="BG136" s="199">
        <f t="shared" si="29"/>
        <v>1882.5159999999996</v>
      </c>
      <c r="BH136" s="199">
        <f t="shared" si="29"/>
        <v>2012.5039999999981</v>
      </c>
      <c r="BI136" s="199">
        <f t="shared" si="29"/>
        <v>2161.8889999999992</v>
      </c>
      <c r="BJ136" s="199">
        <f t="shared" si="29"/>
        <v>2249.5329999999994</v>
      </c>
      <c r="BK136" s="199">
        <f t="shared" si="29"/>
        <v>2305.3160000000007</v>
      </c>
      <c r="BL136" s="199">
        <f t="shared" si="29"/>
        <v>2639.3380000000006</v>
      </c>
      <c r="BM136" s="199">
        <f t="shared" si="29"/>
        <v>2652.4540000000006</v>
      </c>
      <c r="BN136" s="199">
        <f t="shared" si="29"/>
        <v>2569.9560000000019</v>
      </c>
      <c r="BO136" s="199">
        <f t="shared" si="29"/>
        <v>2615.9959999999974</v>
      </c>
      <c r="BP136" s="199">
        <f t="shared" si="29"/>
        <v>2717.0320000000029</v>
      </c>
    </row>
    <row r="137" spans="1:122" s="189" customFormat="1" x14ac:dyDescent="0.35">
      <c r="A137" s="183" t="s">
        <v>181</v>
      </c>
      <c r="B137" s="183" t="s">
        <v>181</v>
      </c>
      <c r="C137" s="80" t="s">
        <v>95</v>
      </c>
      <c r="D137" s="199">
        <f t="shared" ref="D137:AI137" si="30">D60</f>
        <v>2.2999999999999998</v>
      </c>
      <c r="E137" s="199">
        <f t="shared" si="30"/>
        <v>-0.5</v>
      </c>
      <c r="F137" s="199">
        <f t="shared" si="30"/>
        <v>1.8</v>
      </c>
      <c r="G137" s="199">
        <f t="shared" si="30"/>
        <v>1.4</v>
      </c>
      <c r="H137" s="199">
        <f t="shared" si="30"/>
        <v>3.6</v>
      </c>
      <c r="I137" s="199">
        <f t="shared" si="30"/>
        <v>2.7</v>
      </c>
      <c r="J137" s="199">
        <f t="shared" si="30"/>
        <v>4</v>
      </c>
      <c r="K137" s="199">
        <f t="shared" si="30"/>
        <v>3.1</v>
      </c>
      <c r="L137" s="199">
        <f t="shared" si="30"/>
        <v>2.4</v>
      </c>
      <c r="M137" s="199">
        <f t="shared" si="30"/>
        <v>-1.8</v>
      </c>
      <c r="N137" s="199">
        <f t="shared" si="30"/>
        <v>-0.1</v>
      </c>
      <c r="O137" s="199">
        <f t="shared" si="30"/>
        <v>1</v>
      </c>
      <c r="P137" s="199">
        <f t="shared" si="30"/>
        <v>0.5</v>
      </c>
      <c r="Q137" s="199">
        <f t="shared" si="30"/>
        <v>-1</v>
      </c>
      <c r="R137" s="199">
        <f t="shared" si="30"/>
        <v>-0.6</v>
      </c>
      <c r="S137" s="199">
        <f t="shared" si="30"/>
        <v>0.3</v>
      </c>
      <c r="T137" s="199">
        <f t="shared" si="30"/>
        <v>-0.8</v>
      </c>
      <c r="U137" s="199">
        <f t="shared" si="30"/>
        <v>0.8</v>
      </c>
      <c r="V137" s="199">
        <f t="shared" si="30"/>
        <v>1.5</v>
      </c>
      <c r="W137" s="199">
        <f t="shared" si="30"/>
        <v>6.2</v>
      </c>
      <c r="X137" s="199">
        <f t="shared" si="30"/>
        <v>4.5</v>
      </c>
      <c r="Y137" s="199">
        <f t="shared" si="30"/>
        <v>4.3</v>
      </c>
      <c r="Z137" s="199">
        <f t="shared" si="30"/>
        <v>2.9</v>
      </c>
      <c r="AA137" s="199">
        <f t="shared" si="30"/>
        <v>6.9</v>
      </c>
      <c r="AB137" s="199">
        <f t="shared" si="30"/>
        <v>11</v>
      </c>
      <c r="AC137" s="199">
        <f t="shared" si="30"/>
        <v>8.9</v>
      </c>
      <c r="AD137" s="199">
        <f t="shared" si="30"/>
        <v>8</v>
      </c>
      <c r="AE137" s="199">
        <f t="shared" si="30"/>
        <v>9.8000000000000007</v>
      </c>
      <c r="AF137" s="199">
        <f t="shared" si="30"/>
        <v>16.3</v>
      </c>
      <c r="AG137" s="199">
        <f t="shared" si="30"/>
        <v>23.5</v>
      </c>
      <c r="AH137" s="199">
        <f t="shared" si="30"/>
        <v>21.2</v>
      </c>
      <c r="AI137" s="199">
        <f t="shared" si="30"/>
        <v>26.1</v>
      </c>
      <c r="AJ137" s="199">
        <f t="shared" ref="AJ137:BP137" si="31">AJ60</f>
        <v>47</v>
      </c>
      <c r="AK137" s="199">
        <f t="shared" si="31"/>
        <v>45.3</v>
      </c>
      <c r="AL137" s="199">
        <f t="shared" si="31"/>
        <v>36.6</v>
      </c>
      <c r="AM137" s="199">
        <f t="shared" si="31"/>
        <v>4.8</v>
      </c>
      <c r="AN137" s="199">
        <f t="shared" si="31"/>
        <v>49.7</v>
      </c>
      <c r="AO137" s="199">
        <f t="shared" si="31"/>
        <v>31.5</v>
      </c>
      <c r="AP137" s="199">
        <f t="shared" si="31"/>
        <v>42.3</v>
      </c>
      <c r="AQ137" s="199">
        <f t="shared" si="31"/>
        <v>67.7</v>
      </c>
      <c r="AR137" s="199">
        <f t="shared" si="31"/>
        <v>32.9</v>
      </c>
      <c r="AS137" s="199">
        <f t="shared" si="31"/>
        <v>-9.5</v>
      </c>
      <c r="AT137" s="199">
        <f t="shared" si="31"/>
        <v>56.1</v>
      </c>
      <c r="AU137" s="199">
        <f t="shared" si="31"/>
        <v>84.2</v>
      </c>
      <c r="AV137" s="199">
        <f t="shared" si="31"/>
        <v>79.7</v>
      </c>
      <c r="AW137" s="199">
        <f t="shared" si="31"/>
        <v>110</v>
      </c>
      <c r="AX137" s="199">
        <f t="shared" si="31"/>
        <v>135.80000000000001</v>
      </c>
      <c r="AY137" s="199">
        <f t="shared" si="31"/>
        <v>108.8</v>
      </c>
      <c r="AZ137" s="199">
        <f t="shared" si="31"/>
        <v>52.5</v>
      </c>
      <c r="BA137" s="199">
        <f t="shared" si="31"/>
        <v>25.9</v>
      </c>
      <c r="BB137" s="199">
        <f t="shared" si="31"/>
        <v>-14</v>
      </c>
      <c r="BC137" s="199">
        <f t="shared" si="31"/>
        <v>-85.3</v>
      </c>
      <c r="BD137" s="199">
        <f t="shared" si="31"/>
        <v>-71.099999999999994</v>
      </c>
      <c r="BE137" s="199">
        <f t="shared" si="31"/>
        <v>-134</v>
      </c>
      <c r="BF137" s="199">
        <f t="shared" si="31"/>
        <v>-103.4</v>
      </c>
      <c r="BG137" s="199">
        <f t="shared" si="31"/>
        <v>-22.1</v>
      </c>
      <c r="BH137" s="199">
        <f t="shared" si="31"/>
        <v>16.600000000000001</v>
      </c>
      <c r="BI137" s="199">
        <f t="shared" si="31"/>
        <v>-22.3</v>
      </c>
      <c r="BJ137" s="199">
        <f t="shared" si="31"/>
        <v>-95.1</v>
      </c>
      <c r="BK137" s="199">
        <f t="shared" si="31"/>
        <v>-242.3</v>
      </c>
      <c r="BL137" s="199">
        <f t="shared" si="31"/>
        <v>-12</v>
      </c>
      <c r="BM137" s="199">
        <f t="shared" si="31"/>
        <v>-2.4</v>
      </c>
      <c r="BN137" s="199">
        <f t="shared" si="31"/>
        <v>118.3</v>
      </c>
      <c r="BO137" s="199">
        <f t="shared" si="31"/>
        <v>23.3</v>
      </c>
      <c r="BP137" s="199">
        <f t="shared" si="31"/>
        <v>31.9</v>
      </c>
    </row>
    <row r="138" spans="1:122" s="189" customFormat="1" x14ac:dyDescent="0.35">
      <c r="A138" s="183" t="s">
        <v>404</v>
      </c>
      <c r="B138" s="183" t="s">
        <v>404</v>
      </c>
      <c r="C138" s="85" t="s">
        <v>182</v>
      </c>
      <c r="D138" s="199">
        <f t="shared" ref="D138:AI138" si="32">D105-D124</f>
        <v>45.125173996175903</v>
      </c>
      <c r="E138" s="199">
        <f t="shared" si="32"/>
        <v>48.347154929577471</v>
      </c>
      <c r="F138" s="199">
        <f t="shared" si="32"/>
        <v>44.90884536082477</v>
      </c>
      <c r="G138" s="199">
        <f t="shared" si="32"/>
        <v>47.103110443275725</v>
      </c>
      <c r="H138" s="199">
        <f t="shared" si="32"/>
        <v>53.545116460637615</v>
      </c>
      <c r="I138" s="199">
        <f t="shared" si="32"/>
        <v>56.919018749999992</v>
      </c>
      <c r="J138" s="199">
        <f t="shared" si="32"/>
        <v>58.152714535901936</v>
      </c>
      <c r="K138" s="199">
        <f t="shared" si="32"/>
        <v>58.382844602609737</v>
      </c>
      <c r="L138" s="199">
        <f t="shared" si="32"/>
        <v>58.801983263598345</v>
      </c>
      <c r="M138" s="199">
        <f t="shared" si="32"/>
        <v>63.032666666666671</v>
      </c>
      <c r="N138" s="199">
        <f t="shared" si="32"/>
        <v>66.321447867298616</v>
      </c>
      <c r="O138" s="199">
        <f t="shared" si="32"/>
        <v>69.708445316331591</v>
      </c>
      <c r="P138" s="199">
        <f t="shared" si="32"/>
        <v>69.058640017286081</v>
      </c>
      <c r="Q138" s="199">
        <f t="shared" si="32"/>
        <v>70.486110926464505</v>
      </c>
      <c r="R138" s="199">
        <f t="shared" si="32"/>
        <v>72.206156592292103</v>
      </c>
      <c r="S138" s="199">
        <f t="shared" si="32"/>
        <v>73.596424332344156</v>
      </c>
      <c r="T138" s="199">
        <f t="shared" si="32"/>
        <v>74.709254355400674</v>
      </c>
      <c r="U138" s="199">
        <f t="shared" si="32"/>
        <v>78.084962939091213</v>
      </c>
      <c r="V138" s="199">
        <f t="shared" si="32"/>
        <v>81.458912203687476</v>
      </c>
      <c r="W138" s="199">
        <f t="shared" si="32"/>
        <v>87.359179282868581</v>
      </c>
      <c r="X138" s="199">
        <f t="shared" si="32"/>
        <v>91.284207211782643</v>
      </c>
      <c r="Y138" s="199">
        <f t="shared" si="32"/>
        <v>96.935034188034194</v>
      </c>
      <c r="Z138" s="199">
        <f t="shared" si="32"/>
        <v>104.09511639871386</v>
      </c>
      <c r="AA138" s="199">
        <f t="shared" si="32"/>
        <v>109.80171951219518</v>
      </c>
      <c r="AB138" s="199">
        <f t="shared" si="32"/>
        <v>113.68471918208371</v>
      </c>
      <c r="AC138" s="199">
        <f t="shared" si="32"/>
        <v>124.22373781337046</v>
      </c>
      <c r="AD138" s="199">
        <f t="shared" si="32"/>
        <v>145.28966355866362</v>
      </c>
      <c r="AE138" s="199">
        <f t="shared" si="32"/>
        <v>153.95350167858692</v>
      </c>
      <c r="AF138" s="199">
        <f t="shared" si="32"/>
        <v>158.73573091603055</v>
      </c>
      <c r="AG138" s="199">
        <f t="shared" si="32"/>
        <v>172.24794097346182</v>
      </c>
      <c r="AH138" s="199">
        <f t="shared" si="32"/>
        <v>186.60453932114876</v>
      </c>
      <c r="AI138" s="199">
        <f t="shared" si="32"/>
        <v>211.84575451066144</v>
      </c>
      <c r="AJ138" s="199">
        <f t="shared" ref="AJ138:BP138" si="33">AJ105-AJ124</f>
        <v>237.58234353096395</v>
      </c>
      <c r="AK138" s="199">
        <f t="shared" si="33"/>
        <v>245.70087193841846</v>
      </c>
      <c r="AL138" s="199">
        <f t="shared" si="33"/>
        <v>257.31989397321422</v>
      </c>
      <c r="AM138" s="199">
        <f t="shared" si="33"/>
        <v>261.40951612243521</v>
      </c>
      <c r="AN138" s="199">
        <f t="shared" si="33"/>
        <v>273.56255832652823</v>
      </c>
      <c r="AO138" s="199">
        <f t="shared" si="33"/>
        <v>315.00651907121755</v>
      </c>
      <c r="AP138" s="199">
        <f t="shared" si="33"/>
        <v>336.25357262103466</v>
      </c>
      <c r="AQ138" s="199">
        <f t="shared" si="33"/>
        <v>363.37597052779302</v>
      </c>
      <c r="AR138" s="199">
        <f t="shared" si="33"/>
        <v>391.76971941846477</v>
      </c>
      <c r="AS138" s="199">
        <f t="shared" si="33"/>
        <v>438.35016323404261</v>
      </c>
      <c r="AT138" s="199">
        <f t="shared" si="33"/>
        <v>469.63577013937083</v>
      </c>
      <c r="AU138" s="199">
        <f t="shared" si="33"/>
        <v>496.33548362641659</v>
      </c>
      <c r="AV138" s="199">
        <f t="shared" si="33"/>
        <v>498.48216029199375</v>
      </c>
      <c r="AW138" s="199">
        <f t="shared" si="33"/>
        <v>544.30916458229149</v>
      </c>
      <c r="AX138" s="199">
        <f t="shared" si="33"/>
        <v>580.75430030456846</v>
      </c>
      <c r="AY138" s="199">
        <f t="shared" si="33"/>
        <v>611.353675551788</v>
      </c>
      <c r="AZ138" s="199">
        <f t="shared" si="33"/>
        <v>640.64823958578472</v>
      </c>
      <c r="BA138" s="199">
        <f t="shared" si="33"/>
        <v>700.38892031872547</v>
      </c>
      <c r="BB138" s="199">
        <f t="shared" si="33"/>
        <v>746.01489795447606</v>
      </c>
      <c r="BC138" s="199">
        <f t="shared" si="33"/>
        <v>841.81993191282163</v>
      </c>
      <c r="BD138" s="199">
        <f t="shared" si="33"/>
        <v>920.8439442178119</v>
      </c>
      <c r="BE138" s="199">
        <f t="shared" si="33"/>
        <v>1032.1619170252798</v>
      </c>
      <c r="BF138" s="199">
        <f t="shared" si="33"/>
        <v>1154.779794683418</v>
      </c>
      <c r="BG138" s="199">
        <f t="shared" si="33"/>
        <v>1172.909227667732</v>
      </c>
      <c r="BH138" s="199">
        <f t="shared" si="33"/>
        <v>1222.0748135231324</v>
      </c>
      <c r="BI138" s="199">
        <f t="shared" si="33"/>
        <v>1303.9012120841035</v>
      </c>
      <c r="BJ138" s="199">
        <f t="shared" si="33"/>
        <v>1347.6742803275538</v>
      </c>
      <c r="BK138" s="199">
        <f t="shared" si="33"/>
        <v>1436.3071857126452</v>
      </c>
      <c r="BL138" s="199">
        <f t="shared" si="33"/>
        <v>1516.0289385966344</v>
      </c>
      <c r="BM138" s="199">
        <f t="shared" si="33"/>
        <v>1623.8803928626221</v>
      </c>
      <c r="BN138" s="199">
        <f t="shared" si="33"/>
        <v>1438.548894246459</v>
      </c>
      <c r="BO138" s="199">
        <f t="shared" si="33"/>
        <v>1479.8695422014143</v>
      </c>
      <c r="BP138" s="199">
        <f t="shared" si="33"/>
        <v>1544.6639996586982</v>
      </c>
    </row>
    <row r="139" spans="1:122" s="189" customFormat="1" x14ac:dyDescent="0.35">
      <c r="A139" s="183" t="s">
        <v>183</v>
      </c>
      <c r="B139" s="183" t="s">
        <v>183</v>
      </c>
      <c r="C139" s="80" t="s">
        <v>184</v>
      </c>
      <c r="D139" s="199">
        <f t="shared" ref="D139:AI139" si="34">D106-D125</f>
        <v>5</v>
      </c>
      <c r="E139" s="199">
        <f t="shared" si="34"/>
        <v>5.1999999999999993</v>
      </c>
      <c r="F139" s="199">
        <f t="shared" si="34"/>
        <v>5.4999999999999947</v>
      </c>
      <c r="G139" s="199">
        <f t="shared" si="34"/>
        <v>5.6999999999999957</v>
      </c>
      <c r="H139" s="199">
        <f t="shared" si="34"/>
        <v>5.9999999999999982</v>
      </c>
      <c r="I139" s="199">
        <f t="shared" si="34"/>
        <v>7.0000000000000036</v>
      </c>
      <c r="J139" s="199">
        <f t="shared" si="34"/>
        <v>7.8000000000000007</v>
      </c>
      <c r="K139" s="199">
        <f t="shared" si="34"/>
        <v>8.2000000000000028</v>
      </c>
      <c r="L139" s="199">
        <f t="shared" si="34"/>
        <v>8.5999999999999979</v>
      </c>
      <c r="M139" s="199">
        <f t="shared" si="34"/>
        <v>8.5000000000000036</v>
      </c>
      <c r="N139" s="199">
        <f t="shared" si="34"/>
        <v>8.8999999999999986</v>
      </c>
      <c r="O139" s="199">
        <f t="shared" si="34"/>
        <v>8.9000000000000057</v>
      </c>
      <c r="P139" s="199">
        <f t="shared" si="34"/>
        <v>9.3000000000000043</v>
      </c>
      <c r="Q139" s="199">
        <f t="shared" si="34"/>
        <v>10.000000000000004</v>
      </c>
      <c r="R139" s="199">
        <f t="shared" si="34"/>
        <v>9.9000000000000057</v>
      </c>
      <c r="S139" s="199">
        <f t="shared" si="34"/>
        <v>10.100000000000005</v>
      </c>
      <c r="T139" s="199">
        <f t="shared" si="34"/>
        <v>10.599999999999994</v>
      </c>
      <c r="U139" s="199">
        <f t="shared" si="34"/>
        <v>10.899999999999991</v>
      </c>
      <c r="V139" s="199">
        <f t="shared" si="34"/>
        <v>11.100000000000009</v>
      </c>
      <c r="W139" s="199">
        <f t="shared" si="34"/>
        <v>10.900000000000006</v>
      </c>
      <c r="X139" s="199">
        <f t="shared" si="34"/>
        <v>12.000000000000007</v>
      </c>
      <c r="Y139" s="199">
        <f t="shared" si="34"/>
        <v>12.400000000000006</v>
      </c>
      <c r="Z139" s="199">
        <f t="shared" si="34"/>
        <v>13.100000000000001</v>
      </c>
      <c r="AA139" s="199">
        <f t="shared" si="34"/>
        <v>14.400000000000006</v>
      </c>
      <c r="AB139" s="199">
        <f t="shared" si="34"/>
        <v>16.299999999999997</v>
      </c>
      <c r="AC139" s="199">
        <f t="shared" si="34"/>
        <v>15.90000000000002</v>
      </c>
      <c r="AD139" s="199">
        <f t="shared" si="34"/>
        <v>18.400000000000006</v>
      </c>
      <c r="AE139" s="199">
        <f t="shared" si="34"/>
        <v>22.100000000000023</v>
      </c>
      <c r="AF139" s="199">
        <f t="shared" si="34"/>
        <v>23.40000000000002</v>
      </c>
      <c r="AG139" s="199">
        <f t="shared" si="34"/>
        <v>24.600000000000009</v>
      </c>
      <c r="AH139" s="199">
        <f t="shared" si="34"/>
        <v>24.799999999999997</v>
      </c>
      <c r="AI139" s="199">
        <f t="shared" si="34"/>
        <v>24.899999999999991</v>
      </c>
      <c r="AJ139" s="199">
        <f t="shared" ref="AJ139:BP139" si="35">AJ106-AJ125</f>
        <v>27.299999999999983</v>
      </c>
      <c r="AK139" s="199">
        <f t="shared" si="35"/>
        <v>30.099999999999994</v>
      </c>
      <c r="AL139" s="199">
        <f t="shared" si="35"/>
        <v>34.5</v>
      </c>
      <c r="AM139" s="199">
        <f t="shared" si="35"/>
        <v>26.199999999999989</v>
      </c>
      <c r="AN139" s="199">
        <f t="shared" si="35"/>
        <v>23.599999999999994</v>
      </c>
      <c r="AO139" s="199">
        <f t="shared" si="35"/>
        <v>28.900000000000006</v>
      </c>
      <c r="AP139" s="199">
        <f t="shared" si="35"/>
        <v>30.700000000000045</v>
      </c>
      <c r="AQ139" s="199">
        <f t="shared" si="35"/>
        <v>29.000000000000028</v>
      </c>
      <c r="AR139" s="199">
        <f t="shared" si="35"/>
        <v>29.099999999999994</v>
      </c>
      <c r="AS139" s="199">
        <f t="shared" si="35"/>
        <v>34.799999999999955</v>
      </c>
      <c r="AT139" s="199">
        <f t="shared" si="35"/>
        <v>41</v>
      </c>
      <c r="AU139" s="199">
        <f t="shared" si="35"/>
        <v>46.599999999999966</v>
      </c>
      <c r="AV139" s="199">
        <f t="shared" si="35"/>
        <v>49.900000000000091</v>
      </c>
      <c r="AW139" s="199">
        <f t="shared" si="35"/>
        <v>53.199999999999932</v>
      </c>
      <c r="AX139" s="199">
        <f t="shared" si="35"/>
        <v>50.199999999999989</v>
      </c>
      <c r="AY139" s="199">
        <f t="shared" si="35"/>
        <v>62.60000000000008</v>
      </c>
      <c r="AZ139" s="199">
        <f t="shared" si="35"/>
        <v>66</v>
      </c>
      <c r="BA139" s="199">
        <f t="shared" si="35"/>
        <v>74.39999999999992</v>
      </c>
      <c r="BB139" s="199">
        <f t="shared" si="35"/>
        <v>87.400000000000091</v>
      </c>
      <c r="BC139" s="199">
        <f t="shared" si="35"/>
        <v>99.500000000000114</v>
      </c>
      <c r="BD139" s="199">
        <f t="shared" si="35"/>
        <v>98.799999999999955</v>
      </c>
      <c r="BE139" s="199">
        <f t="shared" si="35"/>
        <v>105.10000000000014</v>
      </c>
      <c r="BF139" s="199">
        <f t="shared" si="35"/>
        <v>110.29999999999995</v>
      </c>
      <c r="BG139" s="199">
        <f t="shared" si="35"/>
        <v>125.19999999999999</v>
      </c>
      <c r="BH139" s="199">
        <f t="shared" si="35"/>
        <v>130.39999999999998</v>
      </c>
      <c r="BI139" s="199">
        <f t="shared" si="35"/>
        <v>146.79999999999995</v>
      </c>
      <c r="BJ139" s="199">
        <f t="shared" si="35"/>
        <v>151.29999999999995</v>
      </c>
      <c r="BK139" s="199">
        <f t="shared" si="35"/>
        <v>170.69999999999993</v>
      </c>
      <c r="BL139" s="199">
        <f t="shared" si="35"/>
        <v>187.20000000000005</v>
      </c>
      <c r="BM139" s="199">
        <f t="shared" si="35"/>
        <v>182.69999999999993</v>
      </c>
      <c r="BN139" s="199">
        <f t="shared" si="35"/>
        <v>175.90000000000009</v>
      </c>
      <c r="BO139" s="199">
        <f t="shared" si="35"/>
        <v>186.60000000000002</v>
      </c>
      <c r="BP139" s="199">
        <f t="shared" si="35"/>
        <v>186.9000000000002</v>
      </c>
    </row>
    <row r="140" spans="1:122" s="189" customFormat="1" x14ac:dyDescent="0.35">
      <c r="A140" s="183" t="s">
        <v>185</v>
      </c>
      <c r="B140" s="183" t="s">
        <v>186</v>
      </c>
      <c r="C140" s="80" t="s">
        <v>187</v>
      </c>
      <c r="D140" s="199">
        <f t="shared" ref="D140:AI140" si="36">D107-D126</f>
        <v>22.809826003824071</v>
      </c>
      <c r="E140" s="199">
        <f t="shared" si="36"/>
        <v>27.485845070422542</v>
      </c>
      <c r="F140" s="199">
        <f t="shared" si="36"/>
        <v>26.57915463917525</v>
      </c>
      <c r="G140" s="199">
        <f t="shared" si="36"/>
        <v>29.856889556724283</v>
      </c>
      <c r="H140" s="199">
        <f t="shared" si="36"/>
        <v>33.309883539362396</v>
      </c>
      <c r="I140" s="199">
        <f t="shared" si="36"/>
        <v>33.048981250000061</v>
      </c>
      <c r="J140" s="199">
        <f t="shared" si="36"/>
        <v>32.696285464098089</v>
      </c>
      <c r="K140" s="199">
        <f t="shared" si="36"/>
        <v>33.11915539739023</v>
      </c>
      <c r="L140" s="199">
        <f t="shared" si="36"/>
        <v>36.14601673640172</v>
      </c>
      <c r="M140" s="199">
        <f t="shared" si="36"/>
        <v>36.73333333333332</v>
      </c>
      <c r="N140" s="199">
        <f t="shared" si="36"/>
        <v>37.508552132701467</v>
      </c>
      <c r="O140" s="199">
        <f t="shared" si="36"/>
        <v>37.562554683668438</v>
      </c>
      <c r="P140" s="199">
        <f t="shared" si="36"/>
        <v>40.533359982713918</v>
      </c>
      <c r="Q140" s="199">
        <f t="shared" si="36"/>
        <v>40.054889073535492</v>
      </c>
      <c r="R140" s="199">
        <f t="shared" si="36"/>
        <v>41.080843407707931</v>
      </c>
      <c r="S140" s="199">
        <f t="shared" si="36"/>
        <v>43.793575667655901</v>
      </c>
      <c r="T140" s="199">
        <f t="shared" si="36"/>
        <v>45.610745644599234</v>
      </c>
      <c r="U140" s="199">
        <f t="shared" si="36"/>
        <v>48.518037060908924</v>
      </c>
      <c r="V140" s="199">
        <f t="shared" si="36"/>
        <v>52.818087796312611</v>
      </c>
      <c r="W140" s="199">
        <f t="shared" si="36"/>
        <v>56.065820717131487</v>
      </c>
      <c r="X140" s="199">
        <f t="shared" si="36"/>
        <v>56.182792788217313</v>
      </c>
      <c r="Y140" s="199">
        <f t="shared" si="36"/>
        <v>59.016965811965889</v>
      </c>
      <c r="Z140" s="199">
        <f t="shared" si="36"/>
        <v>59.828883601286236</v>
      </c>
      <c r="AA140" s="199">
        <f t="shared" si="36"/>
        <v>59.880280487804697</v>
      </c>
      <c r="AB140" s="199">
        <f t="shared" si="36"/>
        <v>66.471280817916238</v>
      </c>
      <c r="AC140" s="199">
        <f t="shared" si="36"/>
        <v>74.967262186629455</v>
      </c>
      <c r="AD140" s="199">
        <f t="shared" si="36"/>
        <v>85.743336441336425</v>
      </c>
      <c r="AE140" s="199">
        <f t="shared" si="36"/>
        <v>89.345498321412975</v>
      </c>
      <c r="AF140" s="199">
        <f t="shared" si="36"/>
        <v>101.94026908396961</v>
      </c>
      <c r="AG140" s="199">
        <f t="shared" si="36"/>
        <v>113.20405902653795</v>
      </c>
      <c r="AH140" s="199">
        <f t="shared" si="36"/>
        <v>126.85846067885109</v>
      </c>
      <c r="AI140" s="199">
        <f t="shared" si="36"/>
        <v>142.92124548933879</v>
      </c>
      <c r="AJ140" s="199">
        <f t="shared" ref="AJ140:BP140" si="37">AJ107-AJ126</f>
        <v>158.43565646903579</v>
      </c>
      <c r="AK140" s="199">
        <f t="shared" si="37"/>
        <v>171.21512806158114</v>
      </c>
      <c r="AL140" s="199">
        <f t="shared" si="37"/>
        <v>201.95910602678617</v>
      </c>
      <c r="AM140" s="199">
        <f t="shared" si="37"/>
        <v>218.79348387756454</v>
      </c>
      <c r="AN140" s="199">
        <f t="shared" si="37"/>
        <v>235.7634416734719</v>
      </c>
      <c r="AO140" s="199">
        <f t="shared" si="37"/>
        <v>271.5054809287825</v>
      </c>
      <c r="AP140" s="199">
        <f t="shared" si="37"/>
        <v>292.60542737896469</v>
      </c>
      <c r="AQ140" s="199">
        <f t="shared" si="37"/>
        <v>301.85302947220737</v>
      </c>
      <c r="AR140" s="199">
        <f t="shared" si="37"/>
        <v>313.84028058153535</v>
      </c>
      <c r="AS140" s="199">
        <f t="shared" si="37"/>
        <v>340.9278367659573</v>
      </c>
      <c r="AT140" s="199">
        <f t="shared" si="37"/>
        <v>363.90122986062886</v>
      </c>
      <c r="AU140" s="199">
        <f t="shared" si="37"/>
        <v>369.47151637358343</v>
      </c>
      <c r="AV140" s="199">
        <f t="shared" si="37"/>
        <v>373.49783970800786</v>
      </c>
      <c r="AW140" s="199">
        <f t="shared" si="37"/>
        <v>382.30783541770927</v>
      </c>
      <c r="AX140" s="199">
        <f t="shared" si="37"/>
        <v>394.80669969543078</v>
      </c>
      <c r="AY140" s="199">
        <f t="shared" si="37"/>
        <v>427.56332444821192</v>
      </c>
      <c r="AZ140" s="199">
        <f t="shared" si="37"/>
        <v>450.15976041421459</v>
      </c>
      <c r="BA140" s="199">
        <f t="shared" si="37"/>
        <v>489.33707968127555</v>
      </c>
      <c r="BB140" s="199">
        <f t="shared" si="37"/>
        <v>526.80210204552441</v>
      </c>
      <c r="BC140" s="199">
        <f t="shared" si="37"/>
        <v>535.74706808717792</v>
      </c>
      <c r="BD140" s="199">
        <f t="shared" si="37"/>
        <v>552.62805578218877</v>
      </c>
      <c r="BE140" s="199">
        <f t="shared" si="37"/>
        <v>572.44508297472044</v>
      </c>
      <c r="BF140" s="199">
        <f t="shared" si="37"/>
        <v>595.75520531658231</v>
      </c>
      <c r="BG140" s="199">
        <f t="shared" si="37"/>
        <v>606.5067723322677</v>
      </c>
      <c r="BH140" s="199">
        <f t="shared" si="37"/>
        <v>643.42918647686838</v>
      </c>
      <c r="BI140" s="199">
        <f t="shared" si="37"/>
        <v>733.48778791589575</v>
      </c>
      <c r="BJ140" s="199">
        <f t="shared" si="37"/>
        <v>845.65871967244721</v>
      </c>
      <c r="BK140" s="199">
        <f t="shared" si="37"/>
        <v>940.60881428735502</v>
      </c>
      <c r="BL140" s="199">
        <f t="shared" si="37"/>
        <v>948.20906140336547</v>
      </c>
      <c r="BM140" s="199">
        <f t="shared" si="37"/>
        <v>848.17360713737889</v>
      </c>
      <c r="BN140" s="199">
        <f t="shared" si="37"/>
        <v>837.20710575354087</v>
      </c>
      <c r="BO140" s="199">
        <f t="shared" si="37"/>
        <v>926.22645779858658</v>
      </c>
      <c r="BP140" s="199">
        <f t="shared" si="37"/>
        <v>953.5680003413022</v>
      </c>
    </row>
    <row r="141" spans="1:122" s="189" customFormat="1" x14ac:dyDescent="0.35">
      <c r="A141" s="183" t="s">
        <v>188</v>
      </c>
      <c r="B141" s="183" t="s">
        <v>188</v>
      </c>
      <c r="C141" s="80" t="s">
        <v>189</v>
      </c>
      <c r="D141" s="199">
        <f t="shared" ref="D141:AI141" si="38">D108-D127</f>
        <v>4.7000000000000028</v>
      </c>
      <c r="E141" s="199">
        <f t="shared" si="38"/>
        <v>5.7000000000000011</v>
      </c>
      <c r="F141" s="199">
        <f t="shared" si="38"/>
        <v>6.3000000000000007</v>
      </c>
      <c r="G141" s="199">
        <f t="shared" si="38"/>
        <v>6.5999999999999943</v>
      </c>
      <c r="H141" s="199">
        <f t="shared" si="38"/>
        <v>7.6999999999999975</v>
      </c>
      <c r="I141" s="199">
        <f t="shared" si="38"/>
        <v>8.1999999999999957</v>
      </c>
      <c r="J141" s="199">
        <f t="shared" si="38"/>
        <v>8.3000000000000025</v>
      </c>
      <c r="K141" s="199">
        <f t="shared" si="38"/>
        <v>8.6000000000000085</v>
      </c>
      <c r="L141" s="199">
        <f t="shared" si="38"/>
        <v>8.7999999999999936</v>
      </c>
      <c r="M141" s="199">
        <f t="shared" si="38"/>
        <v>9.600000000000005</v>
      </c>
      <c r="N141" s="199">
        <f t="shared" si="38"/>
        <v>10.000000000000004</v>
      </c>
      <c r="O141" s="199">
        <f t="shared" si="38"/>
        <v>10.499999999999996</v>
      </c>
      <c r="P141" s="199">
        <f t="shared" si="38"/>
        <v>10.899999999999995</v>
      </c>
      <c r="Q141" s="199">
        <f t="shared" si="38"/>
        <v>10.800000000000004</v>
      </c>
      <c r="R141" s="199">
        <f t="shared" si="38"/>
        <v>11</v>
      </c>
      <c r="S141" s="199">
        <f t="shared" si="38"/>
        <v>11.400000000000006</v>
      </c>
      <c r="T141" s="199">
        <f t="shared" si="38"/>
        <v>11.599999999999998</v>
      </c>
      <c r="U141" s="199">
        <f t="shared" si="38"/>
        <v>12.100000000000005</v>
      </c>
      <c r="V141" s="199">
        <f t="shared" si="38"/>
        <v>12.800000000000011</v>
      </c>
      <c r="W141" s="199">
        <f t="shared" si="38"/>
        <v>13.900000000000006</v>
      </c>
      <c r="X141" s="199">
        <f t="shared" si="38"/>
        <v>14.70000000000001</v>
      </c>
      <c r="Y141" s="199">
        <f t="shared" si="38"/>
        <v>15.899999999999999</v>
      </c>
      <c r="Z141" s="199">
        <f t="shared" si="38"/>
        <v>17.199999999999996</v>
      </c>
      <c r="AA141" s="199">
        <f t="shared" si="38"/>
        <v>18.599999999999994</v>
      </c>
      <c r="AB141" s="199">
        <f t="shared" si="38"/>
        <v>20.300000000000011</v>
      </c>
      <c r="AC141" s="199">
        <f t="shared" si="38"/>
        <v>22.100000000000009</v>
      </c>
      <c r="AD141" s="199">
        <f t="shared" si="38"/>
        <v>24.400000000000006</v>
      </c>
      <c r="AE141" s="199">
        <f t="shared" si="38"/>
        <v>27.900000000000006</v>
      </c>
      <c r="AF141" s="199">
        <f t="shared" si="38"/>
        <v>32.099999999999994</v>
      </c>
      <c r="AG141" s="199">
        <f t="shared" si="38"/>
        <v>34.800000000000011</v>
      </c>
      <c r="AH141" s="199">
        <f t="shared" si="38"/>
        <v>38.400000000000006</v>
      </c>
      <c r="AI141" s="199">
        <f t="shared" si="38"/>
        <v>43.199999999999989</v>
      </c>
      <c r="AJ141" s="199">
        <f t="shared" ref="AJ141:BP141" si="39">AJ108-AJ127</f>
        <v>49.499999999999972</v>
      </c>
      <c r="AK141" s="199">
        <f t="shared" si="39"/>
        <v>56.899999999999977</v>
      </c>
      <c r="AL141" s="199">
        <f t="shared" si="39"/>
        <v>64.499999999999972</v>
      </c>
      <c r="AM141" s="199">
        <f t="shared" si="39"/>
        <v>70.700000000000074</v>
      </c>
      <c r="AN141" s="199">
        <f t="shared" si="39"/>
        <v>72.499999999999972</v>
      </c>
      <c r="AO141" s="199">
        <f t="shared" si="39"/>
        <v>74.600000000000051</v>
      </c>
      <c r="AP141" s="199">
        <f t="shared" si="39"/>
        <v>78.000000000000057</v>
      </c>
      <c r="AQ141" s="199">
        <f t="shared" si="39"/>
        <v>81.899999999999977</v>
      </c>
      <c r="AR141" s="199">
        <f t="shared" si="39"/>
        <v>85.800000000000011</v>
      </c>
      <c r="AS141" s="199">
        <f t="shared" si="39"/>
        <v>90.799999999999955</v>
      </c>
      <c r="AT141" s="199">
        <f t="shared" si="39"/>
        <v>95.799999999999955</v>
      </c>
      <c r="AU141" s="199">
        <f t="shared" si="39"/>
        <v>98.900000000000091</v>
      </c>
      <c r="AV141" s="199">
        <f t="shared" si="39"/>
        <v>100.69999999999999</v>
      </c>
      <c r="AW141" s="199">
        <f t="shared" si="39"/>
        <v>101.09999999999997</v>
      </c>
      <c r="AX141" s="199">
        <f t="shared" si="39"/>
        <v>103.29999999999995</v>
      </c>
      <c r="AY141" s="199">
        <f t="shared" si="39"/>
        <v>106.70000000000005</v>
      </c>
      <c r="AZ141" s="199">
        <f t="shared" si="39"/>
        <v>111.50000000000006</v>
      </c>
      <c r="BA141" s="199">
        <f t="shared" si="39"/>
        <v>115.49999999999989</v>
      </c>
      <c r="BB141" s="199">
        <f t="shared" si="39"/>
        <v>119.99999999999989</v>
      </c>
      <c r="BC141" s="199">
        <f t="shared" si="39"/>
        <v>126.10000000000014</v>
      </c>
      <c r="BD141" s="199">
        <f t="shared" si="39"/>
        <v>133.70000000000016</v>
      </c>
      <c r="BE141" s="199">
        <f t="shared" si="39"/>
        <v>141.89999999999998</v>
      </c>
      <c r="BF141" s="199">
        <f t="shared" si="39"/>
        <v>149.00000000000011</v>
      </c>
      <c r="BG141" s="199">
        <f t="shared" si="39"/>
        <v>155.39999999999998</v>
      </c>
      <c r="BH141" s="199">
        <f t="shared" si="39"/>
        <v>162.99999999999989</v>
      </c>
      <c r="BI141" s="199">
        <f t="shared" si="39"/>
        <v>172.79999999999984</v>
      </c>
      <c r="BJ141" s="199">
        <f t="shared" si="39"/>
        <v>186.39999999999998</v>
      </c>
      <c r="BK141" s="199">
        <f t="shared" si="39"/>
        <v>201.30000000000007</v>
      </c>
      <c r="BL141" s="199">
        <f t="shared" si="39"/>
        <v>221.30000000000007</v>
      </c>
      <c r="BM141" s="199">
        <f t="shared" si="39"/>
        <v>223.90000000000009</v>
      </c>
      <c r="BN141" s="199">
        <f t="shared" si="39"/>
        <v>223.69999999999982</v>
      </c>
      <c r="BO141" s="199">
        <f t="shared" si="39"/>
        <v>222.5</v>
      </c>
      <c r="BP141" s="199">
        <f t="shared" si="39"/>
        <v>227.79999999999973</v>
      </c>
    </row>
    <row r="142" spans="1:122" s="189" customFormat="1" x14ac:dyDescent="0.35">
      <c r="A142" s="183" t="s">
        <v>190</v>
      </c>
      <c r="B142" s="183" t="s">
        <v>190</v>
      </c>
      <c r="C142" s="80" t="s">
        <v>191</v>
      </c>
      <c r="D142" s="199">
        <f t="shared" ref="D142:AI142" si="40">D109-D128</f>
        <v>70.435000000000002</v>
      </c>
      <c r="E142" s="199">
        <f t="shared" si="40"/>
        <v>74.733000000000033</v>
      </c>
      <c r="F142" s="199">
        <f t="shared" si="40"/>
        <v>72.487999999999971</v>
      </c>
      <c r="G142" s="199">
        <f t="shared" si="40"/>
        <v>77.56</v>
      </c>
      <c r="H142" s="199">
        <f t="shared" si="40"/>
        <v>88.854999999999933</v>
      </c>
      <c r="I142" s="199">
        <f t="shared" si="40"/>
        <v>91.468000000000103</v>
      </c>
      <c r="J142" s="199">
        <f t="shared" si="40"/>
        <v>94.349000000000018</v>
      </c>
      <c r="K142" s="199">
        <f t="shared" si="40"/>
        <v>94.20199999999997</v>
      </c>
      <c r="L142" s="199">
        <f t="shared" si="40"/>
        <v>97.147999999999996</v>
      </c>
      <c r="M142" s="199">
        <f t="shared" si="40"/>
        <v>96.865999999999929</v>
      </c>
      <c r="N142" s="199">
        <f t="shared" si="40"/>
        <v>102.7300000000001</v>
      </c>
      <c r="O142" s="199">
        <f t="shared" si="40"/>
        <v>106.67099999999996</v>
      </c>
      <c r="P142" s="199">
        <f t="shared" si="40"/>
        <v>108.59199999999998</v>
      </c>
      <c r="Q142" s="199">
        <f t="shared" si="40"/>
        <v>108.64099999999996</v>
      </c>
      <c r="R142" s="199">
        <f t="shared" si="40"/>
        <v>111.58699999999988</v>
      </c>
      <c r="S142" s="199">
        <f t="shared" si="40"/>
        <v>116.3900000000001</v>
      </c>
      <c r="T142" s="199">
        <f t="shared" si="40"/>
        <v>118.61999999999989</v>
      </c>
      <c r="U142" s="199">
        <f t="shared" si="40"/>
        <v>126.20299999999992</v>
      </c>
      <c r="V142" s="199">
        <f t="shared" si="40"/>
        <v>134.07699999999988</v>
      </c>
      <c r="W142" s="199">
        <f t="shared" si="40"/>
        <v>146.62500000000006</v>
      </c>
      <c r="X142" s="199">
        <f t="shared" si="40"/>
        <v>149.26699999999988</v>
      </c>
      <c r="Y142" s="199">
        <f t="shared" si="40"/>
        <v>156.75199999999995</v>
      </c>
      <c r="Z142" s="199">
        <f t="shared" si="40"/>
        <v>162.62400000000002</v>
      </c>
      <c r="AA142" s="199">
        <f t="shared" si="40"/>
        <v>172.38200000000006</v>
      </c>
      <c r="AB142" s="199">
        <f t="shared" si="40"/>
        <v>187.15599999999984</v>
      </c>
      <c r="AC142" s="199">
        <f t="shared" si="40"/>
        <v>201.89100000000008</v>
      </c>
      <c r="AD142" s="199">
        <f t="shared" si="40"/>
        <v>232.93299999999988</v>
      </c>
      <c r="AE142" s="199">
        <f t="shared" si="40"/>
        <v>247.19900000000007</v>
      </c>
      <c r="AF142" s="199">
        <f t="shared" si="40"/>
        <v>268.37600000000009</v>
      </c>
      <c r="AG142" s="199">
        <f t="shared" si="40"/>
        <v>298.65199999999982</v>
      </c>
      <c r="AH142" s="199">
        <f t="shared" si="40"/>
        <v>321.06299999999987</v>
      </c>
      <c r="AI142" s="199">
        <f t="shared" si="40"/>
        <v>362.4670000000001</v>
      </c>
      <c r="AJ142" s="199">
        <f t="shared" ref="AJ142:BP142" si="41">AJ109-AJ128</f>
        <v>420.81799999999953</v>
      </c>
      <c r="AK142" s="199">
        <f t="shared" si="41"/>
        <v>435.41599999999994</v>
      </c>
      <c r="AL142" s="199">
        <f t="shared" si="41"/>
        <v>465.77899999999977</v>
      </c>
      <c r="AM142" s="199">
        <f t="shared" si="41"/>
        <v>440.50300000000016</v>
      </c>
      <c r="AN142" s="199">
        <f t="shared" si="41"/>
        <v>510.02600000000007</v>
      </c>
      <c r="AO142" s="199">
        <f t="shared" si="41"/>
        <v>572.3119999999999</v>
      </c>
      <c r="AP142" s="199">
        <f t="shared" si="41"/>
        <v>623.75899999999911</v>
      </c>
      <c r="AQ142" s="199">
        <f t="shared" si="41"/>
        <v>680.02900000000045</v>
      </c>
      <c r="AR142" s="199">
        <f t="shared" si="41"/>
        <v>681.80999999999949</v>
      </c>
      <c r="AS142" s="199">
        <f t="shared" si="41"/>
        <v>713.77799999999934</v>
      </c>
      <c r="AT142" s="199">
        <f t="shared" si="41"/>
        <v>834.73700000000099</v>
      </c>
      <c r="AU142" s="199">
        <f t="shared" si="41"/>
        <v>897.70699999999943</v>
      </c>
      <c r="AV142" s="199">
        <f t="shared" si="41"/>
        <v>900.87999999999965</v>
      </c>
      <c r="AW142" s="199">
        <f t="shared" si="41"/>
        <v>988.71699999999964</v>
      </c>
      <c r="AX142" s="199">
        <f t="shared" si="41"/>
        <v>1058.261</v>
      </c>
      <c r="AY142" s="199">
        <f t="shared" si="41"/>
        <v>1103.7169999999996</v>
      </c>
      <c r="AZ142" s="199">
        <f t="shared" si="41"/>
        <v>1097.8080000000004</v>
      </c>
      <c r="BA142" s="199">
        <f t="shared" si="41"/>
        <v>1174.5259999999998</v>
      </c>
      <c r="BB142" s="199">
        <f t="shared" si="41"/>
        <v>1226.317</v>
      </c>
      <c r="BC142" s="199">
        <f t="shared" si="41"/>
        <v>1265.567</v>
      </c>
      <c r="BD142" s="199">
        <f t="shared" si="41"/>
        <v>1367.4719999999998</v>
      </c>
      <c r="BE142" s="199">
        <f t="shared" si="41"/>
        <v>1433.9070000000002</v>
      </c>
      <c r="BF142" s="199">
        <f t="shared" si="41"/>
        <v>1608.5350000000008</v>
      </c>
      <c r="BG142" s="199">
        <f t="shared" si="41"/>
        <v>1727.1159999999991</v>
      </c>
      <c r="BH142" s="199">
        <f t="shared" si="41"/>
        <v>1849.5039999999981</v>
      </c>
      <c r="BI142" s="199">
        <f t="shared" si="41"/>
        <v>1989.0889999999999</v>
      </c>
      <c r="BJ142" s="199">
        <f t="shared" si="41"/>
        <v>2063.1329999999998</v>
      </c>
      <c r="BK142" s="199">
        <f t="shared" si="41"/>
        <v>2104.0159999999996</v>
      </c>
      <c r="BL142" s="199">
        <f t="shared" si="41"/>
        <v>2418.0379999999996</v>
      </c>
      <c r="BM142" s="199">
        <f t="shared" si="41"/>
        <v>2428.554000000001</v>
      </c>
      <c r="BN142" s="199">
        <f t="shared" si="41"/>
        <v>2346.2560000000012</v>
      </c>
      <c r="BO142" s="199">
        <f t="shared" si="41"/>
        <v>2393.4959999999974</v>
      </c>
      <c r="BP142" s="199">
        <f t="shared" si="41"/>
        <v>2489.2320000000027</v>
      </c>
    </row>
    <row r="143" spans="1:122" s="189" customFormat="1" x14ac:dyDescent="0.35">
      <c r="A143" s="183" t="s">
        <v>192</v>
      </c>
      <c r="B143" s="183" t="s">
        <v>192</v>
      </c>
      <c r="C143" s="80" t="s">
        <v>193</v>
      </c>
      <c r="D143" s="199">
        <f t="shared" ref="D143:AI143" si="42">D110-D129</f>
        <v>18.066826003824076</v>
      </c>
      <c r="E143" s="199">
        <f t="shared" si="42"/>
        <v>21.808845070422549</v>
      </c>
      <c r="F143" s="199">
        <f t="shared" si="42"/>
        <v>20.258154639175249</v>
      </c>
      <c r="G143" s="199">
        <f t="shared" si="42"/>
        <v>23.21688955672429</v>
      </c>
      <c r="H143" s="199">
        <f t="shared" si="42"/>
        <v>25.668883539362383</v>
      </c>
      <c r="I143" s="199">
        <f t="shared" si="42"/>
        <v>24.821981250000057</v>
      </c>
      <c r="J143" s="199">
        <f t="shared" si="42"/>
        <v>24.487285464098093</v>
      </c>
      <c r="K143" s="199">
        <f t="shared" si="42"/>
        <v>24.575155397390262</v>
      </c>
      <c r="L143" s="199">
        <f t="shared" si="42"/>
        <v>27.350016736401692</v>
      </c>
      <c r="M143" s="199">
        <f t="shared" si="42"/>
        <v>27.109333333333332</v>
      </c>
      <c r="N143" s="199">
        <f t="shared" si="42"/>
        <v>27.425552132701469</v>
      </c>
      <c r="O143" s="199">
        <f t="shared" si="42"/>
        <v>27.059554683668445</v>
      </c>
      <c r="P143" s="199">
        <f t="shared" si="42"/>
        <v>29.672359982713907</v>
      </c>
      <c r="Q143" s="199">
        <f t="shared" si="42"/>
        <v>29.280889073535484</v>
      </c>
      <c r="R143" s="199">
        <f t="shared" si="42"/>
        <v>30.089843407707917</v>
      </c>
      <c r="S143" s="199">
        <f t="shared" si="42"/>
        <v>32.439575667655888</v>
      </c>
      <c r="T143" s="199">
        <f t="shared" si="42"/>
        <v>34.070745644599185</v>
      </c>
      <c r="U143" s="199">
        <f t="shared" si="42"/>
        <v>36.410037060908877</v>
      </c>
      <c r="V143" s="199">
        <f t="shared" si="42"/>
        <v>39.938087796312601</v>
      </c>
      <c r="W143" s="199">
        <f t="shared" si="42"/>
        <v>42.246820717131442</v>
      </c>
      <c r="X143" s="199">
        <f t="shared" si="42"/>
        <v>41.4777927882173</v>
      </c>
      <c r="Y143" s="199">
        <f t="shared" si="42"/>
        <v>43.115965811965864</v>
      </c>
      <c r="Z143" s="199">
        <f t="shared" si="42"/>
        <v>42.667883601286206</v>
      </c>
      <c r="AA143" s="199">
        <f t="shared" si="42"/>
        <v>41.287280487804665</v>
      </c>
      <c r="AB143" s="199">
        <f t="shared" si="42"/>
        <v>46.176280817916208</v>
      </c>
      <c r="AC143" s="199">
        <f t="shared" si="42"/>
        <v>52.890262186629485</v>
      </c>
      <c r="AD143" s="199">
        <f t="shared" si="42"/>
        <v>61.325336441336333</v>
      </c>
      <c r="AE143" s="199">
        <f t="shared" si="42"/>
        <v>61.406498321413011</v>
      </c>
      <c r="AF143" s="199">
        <f t="shared" si="42"/>
        <v>69.842269083969541</v>
      </c>
      <c r="AG143" s="199">
        <f t="shared" si="42"/>
        <v>78.45105902653799</v>
      </c>
      <c r="AH143" s="199">
        <f t="shared" si="42"/>
        <v>88.463460678851078</v>
      </c>
      <c r="AI143" s="199">
        <f t="shared" si="42"/>
        <v>99.749245489338705</v>
      </c>
      <c r="AJ143" s="199">
        <f t="shared" ref="AJ143:BP143" si="43">AJ110-AJ129</f>
        <v>108.93165646903566</v>
      </c>
      <c r="AK143" s="199">
        <f t="shared" si="43"/>
        <v>114.31312806158115</v>
      </c>
      <c r="AL143" s="199">
        <f t="shared" si="43"/>
        <v>137.47510602678625</v>
      </c>
      <c r="AM143" s="199">
        <f t="shared" si="43"/>
        <v>148.17448387756457</v>
      </c>
      <c r="AN143" s="199">
        <f t="shared" si="43"/>
        <v>163.28344167347205</v>
      </c>
      <c r="AO143" s="199">
        <f t="shared" si="43"/>
        <v>196.87748092878235</v>
      </c>
      <c r="AP143" s="199">
        <f t="shared" si="43"/>
        <v>214.61642737896454</v>
      </c>
      <c r="AQ143" s="199">
        <f t="shared" si="43"/>
        <v>220.02102947220732</v>
      </c>
      <c r="AR143" s="199">
        <f t="shared" si="43"/>
        <v>227.99128058153519</v>
      </c>
      <c r="AS143" s="199">
        <f t="shared" si="43"/>
        <v>250.10883676595711</v>
      </c>
      <c r="AT143" s="199">
        <f t="shared" si="43"/>
        <v>268.10022986062859</v>
      </c>
      <c r="AU143" s="199">
        <f t="shared" si="43"/>
        <v>270.63551637358376</v>
      </c>
      <c r="AV143" s="199">
        <f t="shared" si="43"/>
        <v>272.78783970800771</v>
      </c>
      <c r="AW143" s="199">
        <f t="shared" si="43"/>
        <v>281.14683541770921</v>
      </c>
      <c r="AX143" s="199">
        <f t="shared" si="43"/>
        <v>291.55269969543076</v>
      </c>
      <c r="AY143" s="199">
        <f t="shared" si="43"/>
        <v>320.88632444821178</v>
      </c>
      <c r="AZ143" s="199">
        <f t="shared" si="43"/>
        <v>338.72276041421469</v>
      </c>
      <c r="BA143" s="199">
        <f t="shared" si="43"/>
        <v>373.87507968127534</v>
      </c>
      <c r="BB143" s="199">
        <f t="shared" si="43"/>
        <v>406.82610204552373</v>
      </c>
      <c r="BC143" s="199">
        <f t="shared" si="43"/>
        <v>409.58306808717828</v>
      </c>
      <c r="BD143" s="199">
        <f t="shared" si="43"/>
        <v>418.97305578218902</v>
      </c>
      <c r="BE143" s="199">
        <f t="shared" si="43"/>
        <v>430.58508297472019</v>
      </c>
      <c r="BF143" s="199">
        <f t="shared" si="43"/>
        <v>446.71720531658275</v>
      </c>
      <c r="BG143" s="199">
        <f t="shared" si="43"/>
        <v>451.06777233226819</v>
      </c>
      <c r="BH143" s="199">
        <f t="shared" si="43"/>
        <v>480.4061864768687</v>
      </c>
      <c r="BI143" s="199">
        <f t="shared" si="43"/>
        <v>560.66378791589591</v>
      </c>
      <c r="BJ143" s="199">
        <f t="shared" si="43"/>
        <v>659.27271967244678</v>
      </c>
      <c r="BK143" s="199">
        <f t="shared" si="43"/>
        <v>739.33581428735533</v>
      </c>
      <c r="BL143" s="199">
        <f t="shared" si="43"/>
        <v>726.93406140336515</v>
      </c>
      <c r="BM143" s="199">
        <f t="shared" si="43"/>
        <v>624.2876071373787</v>
      </c>
      <c r="BN143" s="199">
        <f t="shared" si="43"/>
        <v>613.54310575354134</v>
      </c>
      <c r="BO143" s="199">
        <f t="shared" si="43"/>
        <v>703.71645779858636</v>
      </c>
      <c r="BP143" s="199">
        <f t="shared" si="43"/>
        <v>725.72900034130248</v>
      </c>
    </row>
    <row r="144" spans="1:122" s="189" customFormat="1" x14ac:dyDescent="0.35">
      <c r="A144" s="183" t="s">
        <v>194</v>
      </c>
      <c r="B144" s="183" t="s">
        <v>415</v>
      </c>
      <c r="C144" s="80" t="s">
        <v>24</v>
      </c>
      <c r="D144" s="199">
        <f t="shared" ref="D144:AI144" si="44">D111-D130</f>
        <v>1.3</v>
      </c>
      <c r="E144" s="199">
        <f t="shared" si="44"/>
        <v>1.5</v>
      </c>
      <c r="F144" s="199">
        <f t="shared" si="44"/>
        <v>1.6999999999999997</v>
      </c>
      <c r="G144" s="199">
        <f t="shared" si="44"/>
        <v>1.899999999999999</v>
      </c>
      <c r="H144" s="199">
        <f t="shared" si="44"/>
        <v>2.1000000000000005</v>
      </c>
      <c r="I144" s="199">
        <f t="shared" si="44"/>
        <v>2.4</v>
      </c>
      <c r="J144" s="199">
        <f t="shared" si="44"/>
        <v>2.4999999999999996</v>
      </c>
      <c r="K144" s="199">
        <f t="shared" si="44"/>
        <v>2.6999999999999997</v>
      </c>
      <c r="L144" s="199">
        <f t="shared" si="44"/>
        <v>3</v>
      </c>
      <c r="M144" s="199">
        <f t="shared" si="44"/>
        <v>3.3999999999999995</v>
      </c>
      <c r="N144" s="199">
        <f t="shared" si="44"/>
        <v>3.8000000000000007</v>
      </c>
      <c r="O144" s="199">
        <f t="shared" si="44"/>
        <v>4.2</v>
      </c>
      <c r="P144" s="199">
        <f t="shared" si="44"/>
        <v>4.5</v>
      </c>
      <c r="Q144" s="199">
        <f t="shared" si="44"/>
        <v>4.9000000000000012</v>
      </c>
      <c r="R144" s="199">
        <f t="shared" si="44"/>
        <v>5.3999999999999986</v>
      </c>
      <c r="S144" s="199">
        <f t="shared" si="44"/>
        <v>5.9000000000000021</v>
      </c>
      <c r="T144" s="199">
        <f t="shared" si="44"/>
        <v>6.3999999999999968</v>
      </c>
      <c r="U144" s="199">
        <f t="shared" si="44"/>
        <v>7.1</v>
      </c>
      <c r="V144" s="199">
        <f t="shared" si="44"/>
        <v>8.0000000000000018</v>
      </c>
      <c r="W144" s="199">
        <f t="shared" si="44"/>
        <v>8.9999999999999964</v>
      </c>
      <c r="X144" s="199">
        <f t="shared" si="44"/>
        <v>9.4999999999999982</v>
      </c>
      <c r="Y144" s="199">
        <f t="shared" si="44"/>
        <v>10.600000000000001</v>
      </c>
      <c r="Z144" s="199">
        <f t="shared" si="44"/>
        <v>12</v>
      </c>
      <c r="AA144" s="199">
        <f t="shared" si="44"/>
        <v>13.900000000000006</v>
      </c>
      <c r="AB144" s="199">
        <f t="shared" si="44"/>
        <v>15.700000000000006</v>
      </c>
      <c r="AC144" s="199">
        <f t="shared" si="44"/>
        <v>18.099999999999994</v>
      </c>
      <c r="AD144" s="199">
        <f t="shared" si="44"/>
        <v>22.000000000000007</v>
      </c>
      <c r="AE144" s="199">
        <f t="shared" si="44"/>
        <v>26.5</v>
      </c>
      <c r="AF144" s="199">
        <f t="shared" si="44"/>
        <v>29.600000000000009</v>
      </c>
      <c r="AG144" s="199">
        <f t="shared" si="44"/>
        <v>32.4</v>
      </c>
      <c r="AH144" s="199">
        <f t="shared" si="44"/>
        <v>36.199999999999996</v>
      </c>
      <c r="AI144" s="199">
        <f t="shared" si="44"/>
        <v>41.7</v>
      </c>
      <c r="AJ144" s="199">
        <f t="shared" ref="AJ144:BP144" si="45">AJ111-AJ130</f>
        <v>51.100000000000009</v>
      </c>
      <c r="AK144" s="199">
        <f t="shared" si="45"/>
        <v>61.299999999999983</v>
      </c>
      <c r="AL144" s="199">
        <f t="shared" si="45"/>
        <v>74.500000000000028</v>
      </c>
      <c r="AM144" s="199">
        <f t="shared" si="45"/>
        <v>85.799999999999969</v>
      </c>
      <c r="AN144" s="199">
        <f t="shared" si="45"/>
        <v>90.30000000000004</v>
      </c>
      <c r="AO144" s="199">
        <f t="shared" si="45"/>
        <v>107.30000000000004</v>
      </c>
      <c r="AP144" s="199">
        <f t="shared" si="45"/>
        <v>117.40000000000002</v>
      </c>
      <c r="AQ144" s="199">
        <f t="shared" si="45"/>
        <v>127.00000000000001</v>
      </c>
      <c r="AR144" s="199">
        <f t="shared" si="45"/>
        <v>125.30000000000001</v>
      </c>
      <c r="AS144" s="199">
        <f t="shared" si="45"/>
        <v>136.60000000000002</v>
      </c>
      <c r="AT144" s="199">
        <f t="shared" si="45"/>
        <v>156.60000000000002</v>
      </c>
      <c r="AU144" s="199">
        <f t="shared" si="45"/>
        <v>154.70000000000005</v>
      </c>
      <c r="AV144" s="199">
        <f t="shared" si="45"/>
        <v>148.19999999999999</v>
      </c>
      <c r="AW144" s="199">
        <f t="shared" si="45"/>
        <v>135.19999999999999</v>
      </c>
      <c r="AX144" s="199">
        <f t="shared" si="45"/>
        <v>128.49999999999997</v>
      </c>
      <c r="AY144" s="199">
        <f t="shared" si="45"/>
        <v>133.9</v>
      </c>
      <c r="AZ144" s="199">
        <f t="shared" si="45"/>
        <v>132.19999999999999</v>
      </c>
      <c r="BA144" s="199">
        <f t="shared" si="45"/>
        <v>137.59999999999997</v>
      </c>
      <c r="BB144" s="199">
        <f t="shared" si="45"/>
        <v>148.30000000000007</v>
      </c>
      <c r="BC144" s="199">
        <f t="shared" si="45"/>
        <v>163.30000000000004</v>
      </c>
      <c r="BD144" s="199">
        <f t="shared" si="45"/>
        <v>159.89999999999995</v>
      </c>
      <c r="BE144" s="199">
        <f t="shared" si="45"/>
        <v>181.7</v>
      </c>
      <c r="BF144" s="199">
        <f t="shared" si="45"/>
        <v>188.8</v>
      </c>
      <c r="BG144" s="199">
        <f t="shared" si="45"/>
        <v>165.70000000000005</v>
      </c>
      <c r="BH144" s="199">
        <f t="shared" si="45"/>
        <v>163.10000000000002</v>
      </c>
      <c r="BI144" s="199">
        <f t="shared" si="45"/>
        <v>166.09999999999994</v>
      </c>
      <c r="BJ144" s="199">
        <f t="shared" si="45"/>
        <v>214.89999999999998</v>
      </c>
      <c r="BK144" s="199">
        <f t="shared" si="45"/>
        <v>247.00000000000006</v>
      </c>
      <c r="BL144" s="199">
        <f t="shared" si="45"/>
        <v>278.30000000000007</v>
      </c>
      <c r="BM144" s="199">
        <f t="shared" si="45"/>
        <v>239.39999999999998</v>
      </c>
      <c r="BN144" s="199">
        <f t="shared" si="45"/>
        <v>193.79999999999995</v>
      </c>
      <c r="BO144" s="199">
        <f t="shared" si="45"/>
        <v>170.69999999999993</v>
      </c>
      <c r="BP144" s="199">
        <f t="shared" si="45"/>
        <v>157.19999999999993</v>
      </c>
    </row>
    <row r="145" spans="1:68" s="189" customFormat="1" x14ac:dyDescent="0.35">
      <c r="A145" s="183" t="s">
        <v>195</v>
      </c>
      <c r="B145" s="183" t="s">
        <v>416</v>
      </c>
      <c r="C145" s="80" t="s">
        <v>27</v>
      </c>
      <c r="D145" s="199">
        <f t="shared" ref="D145:AI145" si="46">D112-D131</f>
        <v>9.9999999999999978E-2</v>
      </c>
      <c r="E145" s="199">
        <f t="shared" si="46"/>
        <v>9.9999999999999978E-2</v>
      </c>
      <c r="F145" s="199">
        <f t="shared" si="46"/>
        <v>9.9999999999999978E-2</v>
      </c>
      <c r="G145" s="199">
        <f t="shared" si="46"/>
        <v>0.20000000000000007</v>
      </c>
      <c r="H145" s="199">
        <f t="shared" si="46"/>
        <v>9.9999999999999867E-2</v>
      </c>
      <c r="I145" s="199">
        <f t="shared" si="46"/>
        <v>0.19999999999999996</v>
      </c>
      <c r="J145" s="199">
        <f t="shared" si="46"/>
        <v>0.19999999999999996</v>
      </c>
      <c r="K145" s="199">
        <f t="shared" si="46"/>
        <v>0.19999999999999996</v>
      </c>
      <c r="L145" s="199">
        <f t="shared" si="46"/>
        <v>0.19999999999999996</v>
      </c>
      <c r="M145" s="199">
        <f t="shared" si="46"/>
        <v>0.19999999999999996</v>
      </c>
      <c r="N145" s="199">
        <f t="shared" si="46"/>
        <v>0.19999999999999996</v>
      </c>
      <c r="O145" s="199">
        <f t="shared" si="46"/>
        <v>0.30000000000000004</v>
      </c>
      <c r="P145" s="199">
        <f t="shared" si="46"/>
        <v>0.30000000000000004</v>
      </c>
      <c r="Q145" s="199">
        <f t="shared" si="46"/>
        <v>0.29999999999999982</v>
      </c>
      <c r="R145" s="199">
        <f t="shared" si="46"/>
        <v>0.30000000000000004</v>
      </c>
      <c r="S145" s="199">
        <f t="shared" si="46"/>
        <v>0.30000000000000027</v>
      </c>
      <c r="T145" s="199">
        <f t="shared" si="46"/>
        <v>0.40000000000000036</v>
      </c>
      <c r="U145" s="199">
        <f t="shared" si="46"/>
        <v>0.30000000000000027</v>
      </c>
      <c r="V145" s="199">
        <f t="shared" si="46"/>
        <v>0.40000000000000036</v>
      </c>
      <c r="W145" s="199">
        <f t="shared" si="46"/>
        <v>0.5</v>
      </c>
      <c r="X145" s="199">
        <f t="shared" si="46"/>
        <v>0.5</v>
      </c>
      <c r="Y145" s="199">
        <f t="shared" si="46"/>
        <v>0.5</v>
      </c>
      <c r="Z145" s="199">
        <f t="shared" si="46"/>
        <v>0.5</v>
      </c>
      <c r="AA145" s="199">
        <f t="shared" si="46"/>
        <v>0.60000000000000009</v>
      </c>
      <c r="AB145" s="199">
        <f t="shared" si="46"/>
        <v>0.70000000000000018</v>
      </c>
      <c r="AC145" s="199">
        <f t="shared" si="46"/>
        <v>0.70000000000000018</v>
      </c>
      <c r="AD145" s="199">
        <f t="shared" si="46"/>
        <v>0.90000000000000036</v>
      </c>
      <c r="AE145" s="199">
        <f t="shared" si="46"/>
        <v>0.79999999999999982</v>
      </c>
      <c r="AF145" s="199">
        <f t="shared" si="46"/>
        <v>1</v>
      </c>
      <c r="AG145" s="199">
        <f t="shared" si="46"/>
        <v>1.5</v>
      </c>
      <c r="AH145" s="199">
        <f t="shared" si="46"/>
        <v>1.7999999999999998</v>
      </c>
      <c r="AI145" s="199">
        <f t="shared" si="46"/>
        <v>2.1000000000000014</v>
      </c>
      <c r="AJ145" s="199">
        <f t="shared" ref="AJ145:BP145" si="47">AJ112-AJ131</f>
        <v>2.0999999999999996</v>
      </c>
      <c r="AK145" s="199">
        <f t="shared" si="47"/>
        <v>2.4000000000000004</v>
      </c>
      <c r="AL145" s="199">
        <f t="shared" si="47"/>
        <v>2.5999999999999996</v>
      </c>
      <c r="AM145" s="199">
        <f t="shared" si="47"/>
        <v>2.9000000000000021</v>
      </c>
      <c r="AN145" s="199">
        <f t="shared" si="47"/>
        <v>2.4000000000000021</v>
      </c>
      <c r="AO145" s="199">
        <f t="shared" si="47"/>
        <v>2.4000000000000021</v>
      </c>
      <c r="AP145" s="199">
        <f t="shared" si="47"/>
        <v>3.6000000000000014</v>
      </c>
      <c r="AQ145" s="199">
        <f t="shared" si="47"/>
        <v>6</v>
      </c>
      <c r="AR145" s="199">
        <f t="shared" si="47"/>
        <v>7.1999999999999993</v>
      </c>
      <c r="AS145" s="199">
        <f t="shared" si="47"/>
        <v>6</v>
      </c>
      <c r="AT145" s="199">
        <f t="shared" si="47"/>
        <v>5.7000000000000028</v>
      </c>
      <c r="AU145" s="199">
        <f t="shared" si="47"/>
        <v>6.1000000000000014</v>
      </c>
      <c r="AV145" s="199">
        <f t="shared" si="47"/>
        <v>5.8999999999999986</v>
      </c>
      <c r="AW145" s="199">
        <f t="shared" si="47"/>
        <v>7</v>
      </c>
      <c r="AX145" s="199">
        <f t="shared" si="47"/>
        <v>6.2999999999999972</v>
      </c>
      <c r="AY145" s="199">
        <f t="shared" si="47"/>
        <v>6.8999999999999986</v>
      </c>
      <c r="AZ145" s="199">
        <f t="shared" si="47"/>
        <v>6.3999999999999915</v>
      </c>
      <c r="BA145" s="199">
        <f t="shared" si="47"/>
        <v>9.8999999999999986</v>
      </c>
      <c r="BB145" s="199">
        <f t="shared" si="47"/>
        <v>11.499999999999993</v>
      </c>
      <c r="BC145" s="199">
        <f t="shared" si="47"/>
        <v>9.6000000000000085</v>
      </c>
      <c r="BD145" s="199">
        <f t="shared" si="47"/>
        <v>12.100000000000001</v>
      </c>
      <c r="BE145" s="199">
        <f t="shared" si="47"/>
        <v>12.400000000000006</v>
      </c>
      <c r="BF145" s="199">
        <f t="shared" si="47"/>
        <v>15.299999999999997</v>
      </c>
      <c r="BG145" s="199">
        <f t="shared" si="47"/>
        <v>16.300000000000011</v>
      </c>
      <c r="BH145" s="199">
        <f t="shared" si="47"/>
        <v>20.79999999999999</v>
      </c>
      <c r="BI145" s="199">
        <f t="shared" si="47"/>
        <v>21.000000000000007</v>
      </c>
      <c r="BJ145" s="199">
        <f t="shared" si="47"/>
        <v>23.000000000000007</v>
      </c>
      <c r="BK145" s="199">
        <f t="shared" si="47"/>
        <v>23.9</v>
      </c>
      <c r="BL145" s="199">
        <f t="shared" si="47"/>
        <v>21.799999999999997</v>
      </c>
      <c r="BM145" s="199">
        <f t="shared" si="47"/>
        <v>16.599999999999994</v>
      </c>
      <c r="BN145" s="199">
        <f t="shared" si="47"/>
        <v>23.700000000000003</v>
      </c>
      <c r="BO145" s="199">
        <f t="shared" si="47"/>
        <v>26.299999999999997</v>
      </c>
      <c r="BP145" s="199">
        <f t="shared" si="47"/>
        <v>26.5</v>
      </c>
    </row>
    <row r="146" spans="1:68" s="190" customFormat="1" ht="16.25" customHeight="1" x14ac:dyDescent="0.35">
      <c r="A146" s="86" t="s">
        <v>196</v>
      </c>
      <c r="B146" s="86" t="s">
        <v>196</v>
      </c>
      <c r="C146" s="86" t="s">
        <v>417</v>
      </c>
      <c r="D146" s="200">
        <f t="shared" ref="D146:AI146" si="48">D113</f>
        <v>4.2</v>
      </c>
      <c r="E146" s="200">
        <f t="shared" si="48"/>
        <v>4.5999999999999996</v>
      </c>
      <c r="F146" s="200">
        <f t="shared" si="48"/>
        <v>4.5</v>
      </c>
      <c r="G146" s="200">
        <f t="shared" si="48"/>
        <v>4.8</v>
      </c>
      <c r="H146" s="200">
        <f t="shared" si="48"/>
        <v>5.0999999999999996</v>
      </c>
      <c r="I146" s="200">
        <f t="shared" si="48"/>
        <v>5.2999999999999989</v>
      </c>
      <c r="J146" s="200">
        <f t="shared" si="48"/>
        <v>5.4</v>
      </c>
      <c r="K146" s="200">
        <f t="shared" si="48"/>
        <v>5.4</v>
      </c>
      <c r="L146" s="200">
        <f t="shared" si="48"/>
        <v>5.4</v>
      </c>
      <c r="M146" s="200">
        <f t="shared" si="48"/>
        <v>5.5</v>
      </c>
      <c r="N146" s="200">
        <f t="shared" si="48"/>
        <v>5.4</v>
      </c>
      <c r="O146" s="200">
        <f t="shared" si="48"/>
        <v>5.6</v>
      </c>
      <c r="P146" s="200">
        <f t="shared" si="48"/>
        <v>5.5</v>
      </c>
      <c r="Q146" s="200">
        <f t="shared" si="48"/>
        <v>5.5</v>
      </c>
      <c r="R146" s="200">
        <f t="shared" si="48"/>
        <v>5.5</v>
      </c>
      <c r="S146" s="200">
        <f t="shared" si="48"/>
        <v>5.6000000000000014</v>
      </c>
      <c r="T146" s="200">
        <f t="shared" si="48"/>
        <v>5.8000000000000007</v>
      </c>
      <c r="U146" s="200">
        <f t="shared" si="48"/>
        <v>5.7999999999999989</v>
      </c>
      <c r="V146" s="200">
        <f t="shared" si="48"/>
        <v>5.9999999999999982</v>
      </c>
      <c r="W146" s="200">
        <f t="shared" si="48"/>
        <v>6.1</v>
      </c>
      <c r="X146" s="200">
        <f t="shared" si="48"/>
        <v>5.9999999999999982</v>
      </c>
      <c r="Y146" s="200">
        <f t="shared" si="48"/>
        <v>6.1000000000000014</v>
      </c>
      <c r="Z146" s="200">
        <f t="shared" si="48"/>
        <v>5.9999999999999982</v>
      </c>
      <c r="AA146" s="200">
        <f t="shared" si="48"/>
        <v>6.3000000000000007</v>
      </c>
      <c r="AB146" s="200">
        <f t="shared" si="48"/>
        <v>6.2999999999999989</v>
      </c>
      <c r="AC146" s="200">
        <f t="shared" si="48"/>
        <v>7.200000000000002</v>
      </c>
      <c r="AD146" s="200">
        <f t="shared" si="48"/>
        <v>8.6999999999999993</v>
      </c>
      <c r="AE146" s="200">
        <f t="shared" si="48"/>
        <v>8.4</v>
      </c>
      <c r="AF146" s="200">
        <f t="shared" si="48"/>
        <v>8.6999999999999993</v>
      </c>
      <c r="AG146" s="200">
        <f t="shared" si="48"/>
        <v>8.7000000000000011</v>
      </c>
      <c r="AH146" s="200">
        <f t="shared" si="48"/>
        <v>9.5000000000000018</v>
      </c>
      <c r="AI146" s="200">
        <f t="shared" si="48"/>
        <v>10.199999999999999</v>
      </c>
      <c r="AJ146" s="200">
        <f t="shared" ref="AJ146:BP146" si="49">AJ113</f>
        <v>11.400000000000002</v>
      </c>
      <c r="AK146" s="200">
        <f t="shared" si="49"/>
        <v>14.299999999999999</v>
      </c>
      <c r="AL146" s="200">
        <f t="shared" si="49"/>
        <v>20.2</v>
      </c>
      <c r="AM146" s="200">
        <f t="shared" si="49"/>
        <v>24.3</v>
      </c>
      <c r="AN146" s="200">
        <f t="shared" si="49"/>
        <v>25.800000000000004</v>
      </c>
      <c r="AO146" s="200">
        <f t="shared" si="49"/>
        <v>28.4</v>
      </c>
      <c r="AP146" s="200">
        <f t="shared" si="49"/>
        <v>32.6</v>
      </c>
      <c r="AQ146" s="200">
        <f t="shared" si="49"/>
        <v>28.999999999999996</v>
      </c>
      <c r="AR146" s="200">
        <f t="shared" si="49"/>
        <v>27.400000000000002</v>
      </c>
      <c r="AS146" s="200">
        <f t="shared" si="49"/>
        <v>25.700000000000003</v>
      </c>
      <c r="AT146" s="200">
        <f t="shared" si="49"/>
        <v>25.299999999999997</v>
      </c>
      <c r="AU146" s="200">
        <f t="shared" si="49"/>
        <v>29.2</v>
      </c>
      <c r="AV146" s="200">
        <f t="shared" si="49"/>
        <v>34.400000000000006</v>
      </c>
      <c r="AW146" s="200">
        <f t="shared" si="49"/>
        <v>42.099999999999994</v>
      </c>
      <c r="AX146" s="200">
        <f t="shared" si="49"/>
        <v>47.599999999999994</v>
      </c>
      <c r="AY146" s="200">
        <f t="shared" si="49"/>
        <v>52.000000000000007</v>
      </c>
      <c r="AZ146" s="200">
        <f t="shared" si="49"/>
        <v>56.099999999999987</v>
      </c>
      <c r="BA146" s="200">
        <f t="shared" si="49"/>
        <v>58.400000000000006</v>
      </c>
      <c r="BB146" s="200">
        <f t="shared" si="49"/>
        <v>61.300000000000004</v>
      </c>
      <c r="BC146" s="200">
        <f t="shared" si="49"/>
        <v>60.7</v>
      </c>
      <c r="BD146" s="200">
        <f t="shared" si="49"/>
        <v>60.599999999999987</v>
      </c>
      <c r="BE146" s="200">
        <f t="shared" si="49"/>
        <v>60.70000000000001</v>
      </c>
      <c r="BF146" s="200">
        <f t="shared" si="49"/>
        <v>64.5</v>
      </c>
      <c r="BG146" s="200">
        <f t="shared" si="49"/>
        <v>58.499999999999986</v>
      </c>
      <c r="BH146" s="200">
        <f t="shared" si="49"/>
        <v>54.899999999999991</v>
      </c>
      <c r="BI146" s="200">
        <f t="shared" si="49"/>
        <v>55.100000000000009</v>
      </c>
      <c r="BJ146" s="200">
        <f t="shared" si="49"/>
        <v>56.699999999999982</v>
      </c>
      <c r="BK146" s="200">
        <f t="shared" si="49"/>
        <v>59.3</v>
      </c>
      <c r="BL146" s="200">
        <f t="shared" si="49"/>
        <v>71</v>
      </c>
      <c r="BM146" s="200">
        <f t="shared" si="49"/>
        <v>96.3</v>
      </c>
      <c r="BN146" s="200">
        <f t="shared" si="49"/>
        <v>93.899999999999991</v>
      </c>
      <c r="BO146" s="200">
        <f t="shared" si="49"/>
        <v>106.2</v>
      </c>
      <c r="BP146" s="200">
        <f t="shared" si="49"/>
        <v>118.20000000000002</v>
      </c>
    </row>
    <row r="147" spans="1:68" s="189" customFormat="1" x14ac:dyDescent="0.35">
      <c r="A147" s="183" t="s">
        <v>197</v>
      </c>
      <c r="B147" s="183" t="s">
        <v>197</v>
      </c>
      <c r="C147" s="85" t="s">
        <v>134</v>
      </c>
      <c r="D147" s="191">
        <v>12.366826003824094</v>
      </c>
      <c r="E147" s="191">
        <v>15.708845070422534</v>
      </c>
      <c r="F147" s="191">
        <v>13.958154639175266</v>
      </c>
      <c r="G147" s="191">
        <v>16.416889556724268</v>
      </c>
      <c r="H147" s="191">
        <v>18.268883539362399</v>
      </c>
      <c r="I147" s="191">
        <v>17.121981250000008</v>
      </c>
      <c r="J147" s="191">
        <v>16.187285464098068</v>
      </c>
      <c r="K147" s="191">
        <v>16.075155397390272</v>
      </c>
      <c r="L147" s="191">
        <v>18.950016736401686</v>
      </c>
      <c r="M147" s="191">
        <v>18.009333333333341</v>
      </c>
      <c r="N147" s="191">
        <v>17.725552132701434</v>
      </c>
      <c r="O147" s="191">
        <v>16.959554683668479</v>
      </c>
      <c r="P147" s="191">
        <v>19.572359982713913</v>
      </c>
      <c r="Q147" s="191">
        <v>18.480889073535522</v>
      </c>
      <c r="R147" s="191">
        <v>18.789843407707913</v>
      </c>
      <c r="S147" s="191">
        <v>20.439575667655767</v>
      </c>
      <c r="T147" s="191">
        <v>21.570745644599299</v>
      </c>
      <c r="U147" s="191">
        <v>23.210037060908796</v>
      </c>
      <c r="V147" s="191">
        <v>25.638087796312568</v>
      </c>
      <c r="W147" s="191">
        <v>26.646820717131483</v>
      </c>
      <c r="X147" s="191">
        <v>25.277792788217376</v>
      </c>
      <c r="Y147" s="191">
        <v>26.015965811965806</v>
      </c>
      <c r="Z147" s="191">
        <v>24.167883601286178</v>
      </c>
      <c r="AA147" s="191">
        <v>20.687280487804891</v>
      </c>
      <c r="AB147" s="191">
        <v>23.576280817916256</v>
      </c>
      <c r="AC147" s="191">
        <v>26.790262186629533</v>
      </c>
      <c r="AD147" s="191">
        <v>29.825336441336461</v>
      </c>
      <c r="AE147" s="191">
        <v>25.606498321412914</v>
      </c>
      <c r="AF147" s="191">
        <v>30.642269083969467</v>
      </c>
      <c r="AG147" s="191">
        <v>35.951059026538147</v>
      </c>
      <c r="AH147" s="191">
        <v>41.063460678851158</v>
      </c>
      <c r="AI147" s="191">
        <v>45.949245489338423</v>
      </c>
      <c r="AJ147" s="191">
        <v>44.331656469036005</v>
      </c>
      <c r="AK147" s="191">
        <v>36.413128061581517</v>
      </c>
      <c r="AL147" s="191">
        <v>40.175106026785727</v>
      </c>
      <c r="AM147" s="191">
        <v>34.97448387756495</v>
      </c>
      <c r="AN147" s="191">
        <v>44.983441673471987</v>
      </c>
      <c r="AO147" s="191">
        <v>58.677480928782188</v>
      </c>
      <c r="AP147" s="191">
        <v>61.016427378964863</v>
      </c>
      <c r="AQ147" s="191">
        <v>58.021029472206919</v>
      </c>
      <c r="AR147" s="191">
        <v>68.091280581535386</v>
      </c>
      <c r="AS147" s="191">
        <v>81.808836765957437</v>
      </c>
      <c r="AT147" s="191">
        <v>80.600229860628531</v>
      </c>
      <c r="AU147" s="191">
        <v>80.835516373583459</v>
      </c>
      <c r="AV147" s="191">
        <v>84.38783970800705</v>
      </c>
      <c r="AW147" s="191">
        <v>96.946835417708883</v>
      </c>
      <c r="AX147" s="191">
        <v>108.95269969543148</v>
      </c>
      <c r="AY147" s="191">
        <v>127.68632444821202</v>
      </c>
      <c r="AZ147" s="191">
        <v>143.822760414215</v>
      </c>
      <c r="BA147" s="191">
        <v>168.07507968127504</v>
      </c>
      <c r="BB147" s="191">
        <v>185.62610204552448</v>
      </c>
      <c r="BC147" s="191">
        <v>175.88306808717903</v>
      </c>
      <c r="BD147" s="191">
        <v>186.47305578218823</v>
      </c>
      <c r="BE147" s="191">
        <v>175.98508297472051</v>
      </c>
      <c r="BF147" s="191">
        <v>178.01720531658236</v>
      </c>
      <c r="BG147" s="191">
        <v>210.4677723322684</v>
      </c>
      <c r="BH147" s="191">
        <v>241.70618647686842</v>
      </c>
      <c r="BI147" s="191">
        <v>318.46378791589746</v>
      </c>
      <c r="BJ147" s="191">
        <v>364.47271967244683</v>
      </c>
      <c r="BK147" s="191">
        <v>409.23581428735508</v>
      </c>
      <c r="BL147" s="191">
        <v>355.63406140336474</v>
      </c>
      <c r="BM147" s="191">
        <v>271.98760713737943</v>
      </c>
      <c r="BN147" s="191">
        <v>302.24310575353979</v>
      </c>
      <c r="BO147" s="191">
        <v>400.41645779858561</v>
      </c>
      <c r="BP147" s="191">
        <v>423.9290003413023</v>
      </c>
    </row>
    <row r="148" spans="1:68" x14ac:dyDescent="0.35">
      <c r="A148" s="181"/>
      <c r="B148" s="181"/>
      <c r="C148" s="181"/>
      <c r="D148" s="87"/>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row>
    <row r="149" spans="1:68" x14ac:dyDescent="0.35">
      <c r="A149" s="88" t="s">
        <v>198</v>
      </c>
      <c r="B149" s="89"/>
      <c r="C149" s="181"/>
      <c r="D149" s="81"/>
      <c r="E149" s="81"/>
      <c r="F149" s="81"/>
      <c r="G149" s="81"/>
      <c r="H149" s="81"/>
      <c r="I149" s="81"/>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s="175"/>
      <c r="BE149"/>
      <c r="BF149"/>
      <c r="BG149"/>
      <c r="BH149"/>
      <c r="BI149"/>
      <c r="BJ149"/>
      <c r="BK149"/>
      <c r="BL149"/>
    </row>
    <row r="150" spans="1:68" x14ac:dyDescent="0.35">
      <c r="A150" s="89"/>
      <c r="B150" s="89"/>
      <c r="C150" s="181"/>
      <c r="D150" s="54"/>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row>
    <row r="151" spans="1:68" ht="24.5" x14ac:dyDescent="0.35">
      <c r="A151" s="86" t="s">
        <v>199</v>
      </c>
      <c r="B151" s="30" t="s">
        <v>200</v>
      </c>
      <c r="C151" s="30" t="s">
        <v>201</v>
      </c>
      <c r="D151" s="7">
        <v>271.60000000000002</v>
      </c>
      <c r="E151" s="7">
        <v>297</v>
      </c>
      <c r="F151" s="7">
        <v>303.10000000000002</v>
      </c>
      <c r="G151" s="7">
        <v>341.1</v>
      </c>
      <c r="H151" s="7">
        <v>369.5</v>
      </c>
      <c r="I151" s="7">
        <v>387.79999999999995</v>
      </c>
      <c r="J151" s="7">
        <v>403.2</v>
      </c>
      <c r="K151" s="7">
        <v>413.1</v>
      </c>
      <c r="L151" s="7">
        <v>451.7</v>
      </c>
      <c r="M151" s="7">
        <v>494.5</v>
      </c>
      <c r="N151" s="7">
        <v>525.1</v>
      </c>
      <c r="O151" s="7">
        <v>534.20000000000005</v>
      </c>
      <c r="P151" s="7">
        <v>554.29999999999995</v>
      </c>
      <c r="Q151" s="7">
        <v>564.6</v>
      </c>
      <c r="R151" s="7">
        <v>577.79999999999995</v>
      </c>
      <c r="S151" s="7">
        <v>595.9</v>
      </c>
      <c r="T151" s="7">
        <v>614</v>
      </c>
      <c r="U151" s="7">
        <v>648.70000000000005</v>
      </c>
      <c r="V151" s="7">
        <v>691.5</v>
      </c>
      <c r="W151" s="7">
        <v>751</v>
      </c>
      <c r="X151" s="7">
        <v>809.9</v>
      </c>
      <c r="Y151" s="7">
        <v>892</v>
      </c>
      <c r="Z151" s="7">
        <v>982.6</v>
      </c>
      <c r="AA151" s="7">
        <v>1080.1999999999998</v>
      </c>
      <c r="AB151" s="7">
        <v>1193.2</v>
      </c>
      <c r="AC151" s="7">
        <v>1306.0999999999999</v>
      </c>
      <c r="AD151" s="7">
        <v>1479.1</v>
      </c>
      <c r="AE151" s="7">
        <v>1799.1999999999998</v>
      </c>
      <c r="AF151" s="7">
        <v>1985.5</v>
      </c>
      <c r="AG151" s="7">
        <v>2175.1999999999998</v>
      </c>
      <c r="AH151" s="7">
        <v>2429.3000000000002</v>
      </c>
      <c r="AI151" s="7">
        <v>2761.3</v>
      </c>
      <c r="AJ151" s="7">
        <v>3188.2</v>
      </c>
      <c r="AK151" s="7">
        <v>3660.1000000000004</v>
      </c>
      <c r="AL151" s="7">
        <v>4139.1000000000004</v>
      </c>
      <c r="AM151" s="7">
        <v>4405</v>
      </c>
      <c r="AN151" s="7">
        <v>4538.8</v>
      </c>
      <c r="AO151" s="7">
        <v>4806.8999999999996</v>
      </c>
      <c r="AP151" s="7">
        <v>5080.7</v>
      </c>
      <c r="AQ151" s="7">
        <v>5335</v>
      </c>
      <c r="AR151" s="7">
        <v>5615.2000000000007</v>
      </c>
      <c r="AS151" s="7">
        <v>5962.1</v>
      </c>
      <c r="AT151" s="7">
        <v>6294.0999999999995</v>
      </c>
      <c r="AU151" s="7">
        <v>6607.6</v>
      </c>
      <c r="AV151" s="7">
        <v>6733.7000000000007</v>
      </c>
      <c r="AW151" s="7">
        <v>6938.2</v>
      </c>
      <c r="AX151" s="7">
        <v>7235.4000000000005</v>
      </c>
      <c r="AY151" s="7">
        <v>7603</v>
      </c>
      <c r="AZ151" s="7">
        <v>7998.4</v>
      </c>
      <c r="BA151" s="7">
        <v>8387.5</v>
      </c>
      <c r="BB151" s="7">
        <v>8844.9000000000015</v>
      </c>
      <c r="BC151" s="7">
        <v>9347.6</v>
      </c>
      <c r="BD151" s="7">
        <v>9884.6</v>
      </c>
      <c r="BE151" s="7">
        <v>10549.5</v>
      </c>
      <c r="BF151" s="7">
        <v>11092</v>
      </c>
      <c r="BG151" s="7">
        <v>11515.599999999999</v>
      </c>
      <c r="BH151" s="7">
        <v>11856.4</v>
      </c>
      <c r="BI151" s="7">
        <v>12811.5</v>
      </c>
      <c r="BJ151" s="7">
        <v>13948.5</v>
      </c>
      <c r="BK151" s="7">
        <v>15118</v>
      </c>
      <c r="BL151" s="7">
        <v>15906.599999999999</v>
      </c>
      <c r="BM151" s="7">
        <v>16870.3</v>
      </c>
      <c r="BN151" s="7">
        <v>16343.400000000001</v>
      </c>
      <c r="BO151" s="7">
        <v>16646.599999999999</v>
      </c>
      <c r="BP151" s="7">
        <v>17237.399999999998</v>
      </c>
    </row>
    <row r="152" spans="1:68" ht="24.5" x14ac:dyDescent="0.35">
      <c r="A152" s="30" t="s">
        <v>202</v>
      </c>
      <c r="B152" s="30" t="s">
        <v>203</v>
      </c>
      <c r="C152" s="30" t="s">
        <v>204</v>
      </c>
      <c r="D152" s="7">
        <v>190.1</v>
      </c>
      <c r="E152" s="7">
        <v>208</v>
      </c>
      <c r="F152" s="7">
        <v>212.2</v>
      </c>
      <c r="G152" s="7">
        <v>238.2</v>
      </c>
      <c r="H152" s="7">
        <v>258.3</v>
      </c>
      <c r="I152" s="7">
        <v>273.2</v>
      </c>
      <c r="J152" s="7">
        <v>286.7</v>
      </c>
      <c r="K152" s="7">
        <v>295</v>
      </c>
      <c r="L152" s="7">
        <v>324.7</v>
      </c>
      <c r="M152" s="7">
        <v>360</v>
      </c>
      <c r="N152" s="7">
        <v>386.1</v>
      </c>
      <c r="O152" s="7">
        <v>393.5</v>
      </c>
      <c r="P152" s="7">
        <v>410.6</v>
      </c>
      <c r="Q152" s="7">
        <v>418.8</v>
      </c>
      <c r="R152" s="7">
        <v>429.1</v>
      </c>
      <c r="S152" s="7">
        <v>442.9</v>
      </c>
      <c r="T152" s="7">
        <v>457</v>
      </c>
      <c r="U152" s="7">
        <v>482.4</v>
      </c>
      <c r="V152" s="7">
        <v>515.70000000000005</v>
      </c>
      <c r="W152" s="7">
        <v>561.5</v>
      </c>
      <c r="X152" s="7">
        <v>608.6</v>
      </c>
      <c r="Y152" s="7">
        <v>670.2</v>
      </c>
      <c r="Z152" s="7">
        <v>738.5</v>
      </c>
      <c r="AA152" s="7">
        <v>812.9</v>
      </c>
      <c r="AB152" s="7">
        <v>892.1</v>
      </c>
      <c r="AC152" s="7">
        <v>969.1</v>
      </c>
      <c r="AD152" s="7">
        <v>1094.0999999999999</v>
      </c>
      <c r="AE152" s="7">
        <v>1343.1</v>
      </c>
      <c r="AF152" s="7">
        <v>1492.3</v>
      </c>
      <c r="AG152" s="7">
        <v>1640.6</v>
      </c>
      <c r="AH152" s="7">
        <v>1826.3</v>
      </c>
      <c r="AI152" s="7">
        <v>2077.5</v>
      </c>
      <c r="AJ152" s="7">
        <v>2395.5</v>
      </c>
      <c r="AK152" s="7">
        <v>2757.4</v>
      </c>
      <c r="AL152" s="7">
        <v>3122</v>
      </c>
      <c r="AM152" s="7">
        <v>3315.4</v>
      </c>
      <c r="AN152" s="7">
        <v>3411.6</v>
      </c>
      <c r="AO152" s="7">
        <v>3614.3</v>
      </c>
      <c r="AP152" s="7">
        <v>3815.6</v>
      </c>
      <c r="AQ152" s="7">
        <v>3986.4</v>
      </c>
      <c r="AR152" s="7">
        <v>4194.6000000000004</v>
      </c>
      <c r="AS152" s="7">
        <v>4460.1000000000004</v>
      </c>
      <c r="AT152" s="7">
        <v>4725.8999999999996</v>
      </c>
      <c r="AU152" s="7">
        <v>4991.6000000000004</v>
      </c>
      <c r="AV152" s="7">
        <v>5104.6000000000004</v>
      </c>
      <c r="AW152" s="7">
        <v>5275.2</v>
      </c>
      <c r="AX152" s="7">
        <v>5523.3</v>
      </c>
      <c r="AY152" s="7">
        <v>5823.5</v>
      </c>
      <c r="AZ152" s="7">
        <v>6155.3</v>
      </c>
      <c r="BA152" s="7">
        <v>6471.8</v>
      </c>
      <c r="BB152" s="7">
        <v>6832.1</v>
      </c>
      <c r="BC152" s="7">
        <v>7219.2</v>
      </c>
      <c r="BD152" s="7">
        <v>7651.3</v>
      </c>
      <c r="BE152" s="7">
        <v>8200.9</v>
      </c>
      <c r="BF152" s="7">
        <v>8635.2000000000007</v>
      </c>
      <c r="BG152" s="7">
        <v>8955.9</v>
      </c>
      <c r="BH152" s="7">
        <v>9186.4</v>
      </c>
      <c r="BI152" s="7">
        <v>9909.5</v>
      </c>
      <c r="BJ152" s="7">
        <v>10768.3</v>
      </c>
      <c r="BK152" s="7">
        <v>11679.9</v>
      </c>
      <c r="BL152" s="7">
        <v>12317.8</v>
      </c>
      <c r="BM152" s="7">
        <v>13138</v>
      </c>
      <c r="BN152" s="7">
        <v>12701.7</v>
      </c>
      <c r="BO152" s="7">
        <v>12994.6</v>
      </c>
      <c r="BP152" s="7">
        <v>13530.8</v>
      </c>
    </row>
    <row r="153" spans="1:68" ht="24.5" x14ac:dyDescent="0.35">
      <c r="A153" s="46" t="s">
        <v>205</v>
      </c>
      <c r="B153" s="46" t="s">
        <v>206</v>
      </c>
      <c r="C153" s="46" t="s">
        <v>207</v>
      </c>
      <c r="D153" s="90">
        <v>81.5</v>
      </c>
      <c r="E153" s="90">
        <v>89</v>
      </c>
      <c r="F153" s="90">
        <v>90.9</v>
      </c>
      <c r="G153" s="90">
        <v>102.9</v>
      </c>
      <c r="H153" s="90">
        <v>111.2</v>
      </c>
      <c r="I153" s="90">
        <v>114.6</v>
      </c>
      <c r="J153" s="90">
        <v>116.5</v>
      </c>
      <c r="K153" s="90">
        <v>118.1</v>
      </c>
      <c r="L153" s="90">
        <v>127</v>
      </c>
      <c r="M153" s="90">
        <v>134.5</v>
      </c>
      <c r="N153" s="90">
        <v>139</v>
      </c>
      <c r="O153" s="90">
        <v>140.69999999999999</v>
      </c>
      <c r="P153" s="90">
        <v>143.69999999999999</v>
      </c>
      <c r="Q153" s="90">
        <v>145.80000000000001</v>
      </c>
      <c r="R153" s="90">
        <v>148.69999999999999</v>
      </c>
      <c r="S153" s="90">
        <v>153</v>
      </c>
      <c r="T153" s="90">
        <v>157</v>
      </c>
      <c r="U153" s="90">
        <v>166.3</v>
      </c>
      <c r="V153" s="90">
        <v>175.8</v>
      </c>
      <c r="W153" s="90">
        <v>189.5</v>
      </c>
      <c r="X153" s="90">
        <v>201.29999999999998</v>
      </c>
      <c r="Y153" s="90">
        <v>221.8</v>
      </c>
      <c r="Z153" s="90">
        <v>244.10000000000002</v>
      </c>
      <c r="AA153" s="90">
        <v>267.29999999999995</v>
      </c>
      <c r="AB153" s="90">
        <v>301.10000000000002</v>
      </c>
      <c r="AC153" s="90">
        <v>337</v>
      </c>
      <c r="AD153" s="90">
        <v>385</v>
      </c>
      <c r="AE153" s="90">
        <v>456.1</v>
      </c>
      <c r="AF153" s="90">
        <v>493.2</v>
      </c>
      <c r="AG153" s="90">
        <v>534.6</v>
      </c>
      <c r="AH153" s="90">
        <v>603</v>
      </c>
      <c r="AI153" s="90">
        <v>683.80000000000007</v>
      </c>
      <c r="AJ153" s="90">
        <v>792.7</v>
      </c>
      <c r="AK153" s="90">
        <v>902.7</v>
      </c>
      <c r="AL153" s="90">
        <v>1017.0999999999999</v>
      </c>
      <c r="AM153" s="90">
        <v>1089.5999999999999</v>
      </c>
      <c r="AN153" s="90">
        <v>1127.2</v>
      </c>
      <c r="AO153" s="90">
        <v>1192.5999999999999</v>
      </c>
      <c r="AP153" s="90">
        <v>1265.0999999999999</v>
      </c>
      <c r="AQ153" s="90">
        <v>1348.6</v>
      </c>
      <c r="AR153" s="90">
        <v>1420.6</v>
      </c>
      <c r="AS153" s="90">
        <v>1502</v>
      </c>
      <c r="AT153" s="90">
        <v>1568.1999999999998</v>
      </c>
      <c r="AU153" s="90">
        <v>1616</v>
      </c>
      <c r="AV153" s="90">
        <v>1629.1</v>
      </c>
      <c r="AW153" s="90">
        <v>1663</v>
      </c>
      <c r="AX153" s="90">
        <v>1712.1000000000001</v>
      </c>
      <c r="AY153" s="90">
        <v>1779.5</v>
      </c>
      <c r="AZ153" s="90">
        <v>1843.1</v>
      </c>
      <c r="BA153" s="90">
        <v>1915.6999999999998</v>
      </c>
      <c r="BB153" s="90">
        <v>2012.8000000000002</v>
      </c>
      <c r="BC153" s="90">
        <v>2128.4</v>
      </c>
      <c r="BD153" s="90">
        <v>2233.3000000000002</v>
      </c>
      <c r="BE153" s="90">
        <v>2348.6</v>
      </c>
      <c r="BF153" s="90">
        <v>2456.8000000000002</v>
      </c>
      <c r="BG153" s="90">
        <v>2559.6999999999998</v>
      </c>
      <c r="BH153" s="90">
        <v>2670</v>
      </c>
      <c r="BI153" s="90">
        <v>2902</v>
      </c>
      <c r="BJ153" s="90">
        <v>3180.2</v>
      </c>
      <c r="BK153" s="90">
        <v>3438.1000000000004</v>
      </c>
      <c r="BL153" s="90">
        <v>3588.8</v>
      </c>
      <c r="BM153" s="90">
        <v>3732.3</v>
      </c>
      <c r="BN153" s="90">
        <v>3641.7</v>
      </c>
      <c r="BO153" s="90">
        <v>3652</v>
      </c>
      <c r="BP153" s="90">
        <v>3706.6</v>
      </c>
    </row>
    <row r="154" spans="1:68" x14ac:dyDescent="0.35">
      <c r="A154" s="80" t="s">
        <v>208</v>
      </c>
      <c r="B154" s="80" t="s">
        <v>209</v>
      </c>
      <c r="C154" s="80" t="s">
        <v>210</v>
      </c>
      <c r="D154" s="195">
        <f>D114/227.5</f>
        <v>0.15326077364318283</v>
      </c>
      <c r="E154" s="195">
        <f t="shared" ref="E154:AJ154" si="50">E114/D151</f>
        <v>0.16682196270405938</v>
      </c>
      <c r="F154" s="195">
        <f t="shared" si="50"/>
        <v>0.13992644659654974</v>
      </c>
      <c r="G154" s="195">
        <f t="shared" si="50"/>
        <v>0.16765717438708103</v>
      </c>
      <c r="H154" s="195">
        <f t="shared" si="50"/>
        <v>0.16818787317315273</v>
      </c>
      <c r="I154" s="195">
        <f t="shared" si="50"/>
        <v>0.14647356224627878</v>
      </c>
      <c r="J154" s="195">
        <f t="shared" si="50"/>
        <v>0.13792492383728228</v>
      </c>
      <c r="K154" s="195">
        <f t="shared" si="50"/>
        <v>0.13014671477527348</v>
      </c>
      <c r="L154" s="195">
        <f t="shared" si="50"/>
        <v>0.15867832664343182</v>
      </c>
      <c r="M154" s="195">
        <f t="shared" si="50"/>
        <v>0.13993653604900011</v>
      </c>
      <c r="N154" s="195">
        <f t="shared" si="50"/>
        <v>0.12583529248271272</v>
      </c>
      <c r="O154" s="195">
        <f t="shared" si="50"/>
        <v>0.10828328829493139</v>
      </c>
      <c r="P154" s="195">
        <f t="shared" si="50"/>
        <v>0.13229569446408443</v>
      </c>
      <c r="Q154" s="195">
        <f t="shared" si="50"/>
        <v>0.12354481160659485</v>
      </c>
      <c r="R154" s="195">
        <f t="shared" si="50"/>
        <v>0.12343224124638312</v>
      </c>
      <c r="S154" s="195">
        <f t="shared" si="50"/>
        <v>0.13679400427077842</v>
      </c>
      <c r="T154" s="195">
        <f t="shared" si="50"/>
        <v>0.1441026105799619</v>
      </c>
      <c r="U154" s="195">
        <f t="shared" si="50"/>
        <v>0.15359940889398827</v>
      </c>
      <c r="V154" s="195">
        <f t="shared" si="50"/>
        <v>0.16562060705459006</v>
      </c>
      <c r="W154" s="195">
        <f t="shared" si="50"/>
        <v>0.16579439004646634</v>
      </c>
      <c r="X154" s="195">
        <f t="shared" si="50"/>
        <v>0.14737389186180741</v>
      </c>
      <c r="Y154" s="195">
        <f t="shared" si="50"/>
        <v>0.14522282480795876</v>
      </c>
      <c r="Z154" s="195">
        <f t="shared" si="50"/>
        <v>0.12563664080861681</v>
      </c>
      <c r="AA154" s="195">
        <f t="shared" si="50"/>
        <v>9.7788805707108573E-2</v>
      </c>
      <c r="AB154" s="195">
        <f t="shared" si="50"/>
        <v>0.10347739383254609</v>
      </c>
      <c r="AC154" s="195">
        <f t="shared" si="50"/>
        <v>0.10785305245275689</v>
      </c>
      <c r="AD154" s="195">
        <f t="shared" si="50"/>
        <v>0.10674935796748831</v>
      </c>
      <c r="AE154" s="195">
        <f t="shared" si="50"/>
        <v>8.3365897046455903E-2</v>
      </c>
      <c r="AF154" s="195">
        <f t="shared" si="50"/>
        <v>8.3004818299227151E-2</v>
      </c>
      <c r="AG154" s="195">
        <f t="shared" si="50"/>
        <v>9.1186632599616291E-2</v>
      </c>
      <c r="AH154" s="195">
        <f t="shared" si="50"/>
        <v>9.8273014287813154E-2</v>
      </c>
      <c r="AI154" s="195">
        <f t="shared" si="50"/>
        <v>9.9431624537660399E-2</v>
      </c>
      <c r="AJ154" s="195">
        <f t="shared" si="50"/>
        <v>8.5116306257572868E-2</v>
      </c>
      <c r="AK154" s="195">
        <f t="shared" ref="AK154:BP154" si="51">AK114/AJ151</f>
        <v>6.3488215313211693E-2</v>
      </c>
      <c r="AL154" s="195">
        <f t="shared" si="51"/>
        <v>6.3871234673037819E-2</v>
      </c>
      <c r="AM154" s="195">
        <f t="shared" si="51"/>
        <v>5.0270465530565807E-2</v>
      </c>
      <c r="AN154" s="195">
        <f t="shared" si="51"/>
        <v>6.1244822173319412E-2</v>
      </c>
      <c r="AO154" s="195">
        <f t="shared" si="51"/>
        <v>7.5058932080898519E-2</v>
      </c>
      <c r="AP154" s="195">
        <f t="shared" si="51"/>
        <v>7.3938802009395843E-2</v>
      </c>
      <c r="AQ154" s="195">
        <f t="shared" si="51"/>
        <v>6.548724181160212E-2</v>
      </c>
      <c r="AR154" s="195">
        <f t="shared" si="51"/>
        <v>7.2706894204598943E-2</v>
      </c>
      <c r="AS154" s="195">
        <f t="shared" si="51"/>
        <v>8.0390518016447754E-2</v>
      </c>
      <c r="AT154" s="195">
        <f t="shared" si="51"/>
        <v>7.3631812592983764E-2</v>
      </c>
      <c r="AU154" s="195">
        <f t="shared" si="51"/>
        <v>6.9785277700319892E-2</v>
      </c>
      <c r="AV154" s="195">
        <f t="shared" si="51"/>
        <v>7.0401937119076066E-2</v>
      </c>
      <c r="AW154" s="195">
        <f t="shared" si="51"/>
        <v>7.7230472907570707E-2</v>
      </c>
      <c r="AX154" s="195">
        <f t="shared" si="51"/>
        <v>8.2983007076104967E-2</v>
      </c>
      <c r="AY154" s="195">
        <f t="shared" si="51"/>
        <v>9.3704055677393358E-2</v>
      </c>
      <c r="AZ154" s="195">
        <f t="shared" si="51"/>
        <v>0.10088422470264569</v>
      </c>
      <c r="BA154" s="195">
        <f t="shared" si="51"/>
        <v>0.10846857867589456</v>
      </c>
      <c r="BB154" s="195">
        <f t="shared" si="51"/>
        <v>0.11480490039290903</v>
      </c>
      <c r="BC154" s="195">
        <f t="shared" si="51"/>
        <v>0.10012358173491831</v>
      </c>
      <c r="BD154" s="195">
        <f t="shared" si="51"/>
        <v>9.855717572234457E-2</v>
      </c>
      <c r="BE154" s="195">
        <f t="shared" si="51"/>
        <v>8.5950375632268428E-2</v>
      </c>
      <c r="BF154" s="195">
        <f t="shared" si="51"/>
        <v>7.5123674611742963E-2</v>
      </c>
      <c r="BG154" s="195">
        <f t="shared" si="51"/>
        <v>8.3372500210265807E-2</v>
      </c>
      <c r="BH154" s="195">
        <f t="shared" si="51"/>
        <v>9.1502499780894489E-2</v>
      </c>
      <c r="BI154" s="195">
        <f t="shared" si="51"/>
        <v>0.11473666441043635</v>
      </c>
      <c r="BJ154" s="195">
        <f t="shared" si="51"/>
        <v>0.12341042966650639</v>
      </c>
      <c r="BK154" s="195">
        <f t="shared" si="51"/>
        <v>0.12623119434257124</v>
      </c>
      <c r="BL154" s="195">
        <f t="shared" si="51"/>
        <v>0.10024037977267923</v>
      </c>
      <c r="BM154" s="195">
        <f t="shared" si="51"/>
        <v>7.0020469939357219E-2</v>
      </c>
      <c r="BN154" s="195">
        <f t="shared" si="51"/>
        <v>7.6569065502897979E-2</v>
      </c>
      <c r="BO154" s="195">
        <f t="shared" si="51"/>
        <v>0.10409807370550715</v>
      </c>
      <c r="BP154" s="195">
        <f t="shared" si="51"/>
        <v>0.10885279879022157</v>
      </c>
    </row>
    <row r="155" spans="1:68" x14ac:dyDescent="0.35">
      <c r="A155" s="80" t="s">
        <v>211</v>
      </c>
      <c r="B155" s="80" t="s">
        <v>212</v>
      </c>
      <c r="C155" s="80" t="s">
        <v>213</v>
      </c>
      <c r="D155" s="195">
        <f>D132/159.5</f>
        <v>0.14106583072100312</v>
      </c>
      <c r="E155" s="195">
        <f t="shared" ref="E155:AJ155" si="52">E132/D152</f>
        <v>0.15570752235665442</v>
      </c>
      <c r="F155" s="195">
        <f t="shared" si="52"/>
        <v>0.13269230769230769</v>
      </c>
      <c r="G155" s="195">
        <f t="shared" si="52"/>
        <v>0.16211121583411875</v>
      </c>
      <c r="H155" s="195">
        <f t="shared" si="52"/>
        <v>0.16414777497900926</v>
      </c>
      <c r="I155" s="195">
        <f t="shared" si="52"/>
        <v>0.143244289585753</v>
      </c>
      <c r="J155" s="195">
        <f t="shared" si="52"/>
        <v>0.13653001464128842</v>
      </c>
      <c r="K155" s="195">
        <f t="shared" si="52"/>
        <v>0.12696198116498081</v>
      </c>
      <c r="L155" s="195">
        <f t="shared" si="52"/>
        <v>0.15796610169491526</v>
      </c>
      <c r="M155" s="195">
        <f t="shared" si="52"/>
        <v>0.13920542038805053</v>
      </c>
      <c r="N155" s="195">
        <f t="shared" si="52"/>
        <v>0.12361111111111112</v>
      </c>
      <c r="O155" s="195">
        <f t="shared" si="52"/>
        <v>0.10334110334110333</v>
      </c>
      <c r="P155" s="195">
        <f t="shared" si="52"/>
        <v>0.12986022871664549</v>
      </c>
      <c r="Q155" s="195">
        <f t="shared" si="52"/>
        <v>0.12177301509985386</v>
      </c>
      <c r="R155" s="195">
        <f t="shared" si="52"/>
        <v>0.12153772683858644</v>
      </c>
      <c r="S155" s="195">
        <f t="shared" si="52"/>
        <v>0.13656490328594734</v>
      </c>
      <c r="T155" s="195">
        <f t="shared" si="52"/>
        <v>0.1451794987581847</v>
      </c>
      <c r="U155" s="195">
        <f t="shared" si="52"/>
        <v>0.15557986870897153</v>
      </c>
      <c r="V155" s="195">
        <f t="shared" si="52"/>
        <v>0.16956882255389719</v>
      </c>
      <c r="W155" s="195">
        <f t="shared" si="52"/>
        <v>0.17064184603451618</v>
      </c>
      <c r="X155" s="195">
        <f t="shared" si="52"/>
        <v>0.15209260908281391</v>
      </c>
      <c r="Y155" s="195">
        <f t="shared" si="52"/>
        <v>0.15050936575747617</v>
      </c>
      <c r="Z155" s="195">
        <f t="shared" si="52"/>
        <v>0.13115487914055507</v>
      </c>
      <c r="AA155" s="195">
        <f t="shared" si="52"/>
        <v>0.1020988490182803</v>
      </c>
      <c r="AB155" s="195">
        <f t="shared" si="52"/>
        <v>0.10850043055726412</v>
      </c>
      <c r="AC155" s="195">
        <f t="shared" si="52"/>
        <v>0.11422486268355565</v>
      </c>
      <c r="AD155" s="195">
        <f t="shared" si="52"/>
        <v>0.11309462387782478</v>
      </c>
      <c r="AE155" s="195">
        <f t="shared" si="52"/>
        <v>8.9297139201169926E-2</v>
      </c>
      <c r="AF155" s="195">
        <f t="shared" si="52"/>
        <v>8.8377633832179295E-2</v>
      </c>
      <c r="AG155" s="195">
        <f t="shared" si="52"/>
        <v>9.7232459961133819E-2</v>
      </c>
      <c r="AH155" s="195">
        <f t="shared" si="52"/>
        <v>0.10526636596367182</v>
      </c>
      <c r="AI155" s="195">
        <f t="shared" si="52"/>
        <v>0.10710179050539342</v>
      </c>
      <c r="AJ155" s="195">
        <f t="shared" si="52"/>
        <v>9.1793020457280383E-2</v>
      </c>
      <c r="AK155" s="195">
        <f t="shared" ref="AK155:BP155" si="53">AK132/AJ152</f>
        <v>6.929659778751826E-2</v>
      </c>
      <c r="AL155" s="195">
        <f t="shared" si="53"/>
        <v>7.0211068397766002E-2</v>
      </c>
      <c r="AM155" s="195">
        <f t="shared" si="53"/>
        <v>5.5445227418321585E-2</v>
      </c>
      <c r="AN155" s="195">
        <f t="shared" si="53"/>
        <v>6.7804789768956986E-2</v>
      </c>
      <c r="AO155" s="195">
        <f t="shared" si="53"/>
        <v>8.2659162856137891E-2</v>
      </c>
      <c r="AP155" s="195">
        <f t="shared" si="53"/>
        <v>8.1454223501092868E-2</v>
      </c>
      <c r="AQ155" s="195">
        <f t="shared" si="53"/>
        <v>7.1993919698081554E-2</v>
      </c>
      <c r="AR155" s="195">
        <f t="shared" si="53"/>
        <v>8.0222757375075254E-2</v>
      </c>
      <c r="AS155" s="195">
        <f t="shared" si="53"/>
        <v>8.8113288513803456E-2</v>
      </c>
      <c r="AT155" s="195">
        <f t="shared" si="53"/>
        <v>8.035694266944686E-2</v>
      </c>
      <c r="AU155" s="195">
        <f t="shared" si="53"/>
        <v>7.5837406631541079E-2</v>
      </c>
      <c r="AV155" s="195">
        <f t="shared" si="53"/>
        <v>7.6288164115714402E-2</v>
      </c>
      <c r="AW155" s="195">
        <f t="shared" si="53"/>
        <v>8.288602437017592E-2</v>
      </c>
      <c r="AX155" s="195">
        <f t="shared" si="53"/>
        <v>8.8489535941765243E-2</v>
      </c>
      <c r="AY155" s="195">
        <f t="shared" si="53"/>
        <v>9.9632466098165937E-2</v>
      </c>
      <c r="AZ155" s="195">
        <f t="shared" si="53"/>
        <v>0.10701468189233279</v>
      </c>
      <c r="BA155" s="195">
        <f t="shared" si="53"/>
        <v>0.11364190210062872</v>
      </c>
      <c r="BB155" s="195">
        <f t="shared" si="53"/>
        <v>0.12010568929818596</v>
      </c>
      <c r="BC155" s="195">
        <f t="shared" si="53"/>
        <v>0.10387728516854261</v>
      </c>
      <c r="BD155" s="195">
        <f t="shared" si="53"/>
        <v>0.10178413120567376</v>
      </c>
      <c r="BE155" s="195">
        <f t="shared" si="53"/>
        <v>8.8037326990184669E-2</v>
      </c>
      <c r="BF155" s="195">
        <f t="shared" si="53"/>
        <v>7.4930800278018267E-2</v>
      </c>
      <c r="BG155" s="195">
        <f t="shared" si="53"/>
        <v>8.271956642579209E-2</v>
      </c>
      <c r="BH155" s="195">
        <f t="shared" si="53"/>
        <v>9.0666488013488325E-2</v>
      </c>
      <c r="BI155" s="195">
        <f t="shared" si="53"/>
        <v>0.11341766089001133</v>
      </c>
      <c r="BJ155" s="195">
        <f t="shared" si="53"/>
        <v>0.12277107825823703</v>
      </c>
      <c r="BK155" s="195">
        <f t="shared" si="53"/>
        <v>0.12550727598599595</v>
      </c>
      <c r="BL155" s="195">
        <f t="shared" si="53"/>
        <v>9.9298795366398684E-2</v>
      </c>
      <c r="BM155" s="195">
        <f t="shared" si="53"/>
        <v>6.834012567179204E-2</v>
      </c>
      <c r="BN155" s="195">
        <f t="shared" si="53"/>
        <v>7.5315877606941695E-2</v>
      </c>
      <c r="BO155" s="195">
        <f t="shared" si="53"/>
        <v>0.1024193611878725</v>
      </c>
      <c r="BP155" s="195">
        <f t="shared" si="53"/>
        <v>0.1068212949994613</v>
      </c>
    </row>
    <row r="156" spans="1:68" x14ac:dyDescent="0.35">
      <c r="A156" s="80" t="s">
        <v>214</v>
      </c>
      <c r="B156" s="80" t="s">
        <v>215</v>
      </c>
      <c r="C156" s="80" t="s">
        <v>216</v>
      </c>
      <c r="D156" s="195">
        <f>D147/68</f>
        <v>0.18186508829153081</v>
      </c>
      <c r="E156" s="195">
        <f>E147/D153</f>
        <v>0.19274656528125808</v>
      </c>
      <c r="F156" s="195">
        <f t="shared" ref="F156:BP156" si="54">F147/E153</f>
        <v>0.15683319819298053</v>
      </c>
      <c r="G156" s="195">
        <f t="shared" si="54"/>
        <v>0.1806038455085178</v>
      </c>
      <c r="H156" s="195">
        <f t="shared" si="54"/>
        <v>0.17754017045055781</v>
      </c>
      <c r="I156" s="195">
        <f t="shared" si="54"/>
        <v>0.15397465152877704</v>
      </c>
      <c r="J156" s="195">
        <f t="shared" si="54"/>
        <v>0.14125030945984354</v>
      </c>
      <c r="K156" s="195">
        <f t="shared" si="54"/>
        <v>0.13798416650120404</v>
      </c>
      <c r="L156" s="195">
        <f t="shared" si="54"/>
        <v>0.16045738134125054</v>
      </c>
      <c r="M156" s="195">
        <f t="shared" si="54"/>
        <v>0.14180577427821528</v>
      </c>
      <c r="N156" s="195">
        <f t="shared" si="54"/>
        <v>0.13178849169294746</v>
      </c>
      <c r="O156" s="195">
        <f t="shared" si="54"/>
        <v>0.12201118477459337</v>
      </c>
      <c r="P156" s="195">
        <f t="shared" si="54"/>
        <v>0.139107036124477</v>
      </c>
      <c r="Q156" s="195">
        <f t="shared" si="54"/>
        <v>0.12860743962098486</v>
      </c>
      <c r="R156" s="195">
        <f t="shared" si="54"/>
        <v>0.12887409744655631</v>
      </c>
      <c r="S156" s="195">
        <f t="shared" si="54"/>
        <v>0.13745511545161915</v>
      </c>
      <c r="T156" s="195">
        <f t="shared" si="54"/>
        <v>0.1409852656509758</v>
      </c>
      <c r="U156" s="195">
        <f t="shared" si="54"/>
        <v>0.14783463096120253</v>
      </c>
      <c r="V156" s="195">
        <f t="shared" si="54"/>
        <v>0.15416769570843394</v>
      </c>
      <c r="W156" s="195">
        <f t="shared" si="54"/>
        <v>0.15157463434090718</v>
      </c>
      <c r="X156" s="195">
        <f t="shared" si="54"/>
        <v>0.13339204637581728</v>
      </c>
      <c r="Y156" s="195">
        <f t="shared" si="54"/>
        <v>0.12923977055124594</v>
      </c>
      <c r="Z156" s="195">
        <f t="shared" si="54"/>
        <v>0.10896250496522171</v>
      </c>
      <c r="AA156" s="195">
        <f t="shared" si="54"/>
        <v>8.4749203145452229E-2</v>
      </c>
      <c r="AB156" s="195">
        <f t="shared" si="54"/>
        <v>8.8201574328156604E-2</v>
      </c>
      <c r="AC156" s="195">
        <f t="shared" si="54"/>
        <v>8.8974633632114025E-2</v>
      </c>
      <c r="AD156" s="195">
        <f t="shared" si="54"/>
        <v>8.8502482021769913E-2</v>
      </c>
      <c r="AE156" s="195">
        <f t="shared" si="54"/>
        <v>6.651038525042316E-2</v>
      </c>
      <c r="AF156" s="195">
        <f t="shared" si="54"/>
        <v>6.7183225354022075E-2</v>
      </c>
      <c r="AG156" s="195">
        <f t="shared" si="54"/>
        <v>7.2893469234667774E-2</v>
      </c>
      <c r="AH156" s="195">
        <f t="shared" si="54"/>
        <v>7.6811561314723442E-2</v>
      </c>
      <c r="AI156" s="195">
        <f t="shared" si="54"/>
        <v>7.6201070463247797E-2</v>
      </c>
      <c r="AJ156" s="195">
        <f t="shared" si="54"/>
        <v>6.4831319785077515E-2</v>
      </c>
      <c r="AK156" s="195">
        <f t="shared" si="54"/>
        <v>4.5935572173056029E-2</v>
      </c>
      <c r="AL156" s="195">
        <f t="shared" si="54"/>
        <v>4.4505490225751329E-2</v>
      </c>
      <c r="AM156" s="195">
        <f t="shared" si="54"/>
        <v>3.4386475152457921E-2</v>
      </c>
      <c r="AN156" s="195">
        <f t="shared" si="54"/>
        <v>4.1284362769339202E-2</v>
      </c>
      <c r="AO156" s="195">
        <f t="shared" si="54"/>
        <v>5.2055962498919611E-2</v>
      </c>
      <c r="AP156" s="195">
        <f t="shared" si="54"/>
        <v>5.1162525053634805E-2</v>
      </c>
      <c r="AQ156" s="195">
        <f t="shared" si="54"/>
        <v>4.5862800942381571E-2</v>
      </c>
      <c r="AR156" s="195">
        <f t="shared" si="54"/>
        <v>5.0490345974740759E-2</v>
      </c>
      <c r="AS156" s="195">
        <f t="shared" si="54"/>
        <v>5.7587524120764073E-2</v>
      </c>
      <c r="AT156" s="195">
        <f t="shared" si="54"/>
        <v>5.3661937323987038E-2</v>
      </c>
      <c r="AU156" s="195">
        <f t="shared" si="54"/>
        <v>5.1546688160683245E-2</v>
      </c>
      <c r="AV156" s="195">
        <f t="shared" si="54"/>
        <v>5.2220197839113275E-2</v>
      </c>
      <c r="AW156" s="195">
        <f t="shared" si="54"/>
        <v>5.9509444121115272E-2</v>
      </c>
      <c r="AX156" s="195">
        <f t="shared" si="54"/>
        <v>6.5515754477108529E-2</v>
      </c>
      <c r="AY156" s="195">
        <f t="shared" si="54"/>
        <v>7.4578777202390048E-2</v>
      </c>
      <c r="AZ156" s="195">
        <f t="shared" si="54"/>
        <v>8.0822006414282097E-2</v>
      </c>
      <c r="BA156" s="195">
        <f t="shared" si="54"/>
        <v>9.1191514123636838E-2</v>
      </c>
      <c r="BB156" s="195">
        <f t="shared" si="54"/>
        <v>9.6897270995210366E-2</v>
      </c>
      <c r="BC156" s="195">
        <f t="shared" si="54"/>
        <v>8.7382287404202605E-2</v>
      </c>
      <c r="BD156" s="195">
        <f t="shared" si="54"/>
        <v>8.7611847294769882E-2</v>
      </c>
      <c r="BE156" s="195">
        <f t="shared" si="54"/>
        <v>7.8800467010576497E-2</v>
      </c>
      <c r="BF156" s="195">
        <f t="shared" si="54"/>
        <v>7.5797158016087191E-2</v>
      </c>
      <c r="BG156" s="195">
        <f t="shared" si="54"/>
        <v>8.5667442336481756E-2</v>
      </c>
      <c r="BH156" s="195">
        <f t="shared" si="54"/>
        <v>9.4427544820435375E-2</v>
      </c>
      <c r="BI156" s="195">
        <f t="shared" si="54"/>
        <v>0.11927482693479305</v>
      </c>
      <c r="BJ156" s="195">
        <f t="shared" si="54"/>
        <v>0.12559363186507472</v>
      </c>
      <c r="BK156" s="195">
        <f t="shared" si="54"/>
        <v>0.12868241440392275</v>
      </c>
      <c r="BL156" s="195">
        <f t="shared" si="54"/>
        <v>0.10343912666977828</v>
      </c>
      <c r="BM156" s="195">
        <f t="shared" si="54"/>
        <v>7.578789766422743E-2</v>
      </c>
      <c r="BN156" s="195">
        <f t="shared" si="54"/>
        <v>8.0980388970216699E-2</v>
      </c>
      <c r="BO156" s="195">
        <f t="shared" si="54"/>
        <v>0.10995316961819634</v>
      </c>
      <c r="BP156" s="195">
        <f t="shared" si="54"/>
        <v>0.11608132539466109</v>
      </c>
    </row>
    <row r="157" spans="1:68" s="110" customFormat="1" ht="25.25" customHeight="1" x14ac:dyDescent="0.35">
      <c r="A157" s="130" t="s">
        <v>418</v>
      </c>
      <c r="B157" s="21" t="s">
        <v>419</v>
      </c>
      <c r="C157" s="130" t="s">
        <v>217</v>
      </c>
      <c r="D157" s="201">
        <f>D81/68</f>
        <v>9.7171179035482988E-2</v>
      </c>
      <c r="E157" s="201">
        <f t="shared" ref="E157:AJ157" si="55">E81/D153</f>
        <v>0.11211277624676858</v>
      </c>
      <c r="F157" s="201">
        <f t="shared" si="55"/>
        <v>4.8276644617958532E-2</v>
      </c>
      <c r="G157" s="201">
        <f t="shared" si="55"/>
        <v>6.117878611871503E-2</v>
      </c>
      <c r="H157" s="201">
        <f t="shared" si="55"/>
        <v>8.7051059045331142E-2</v>
      </c>
      <c r="I157" s="201">
        <f t="shared" si="55"/>
        <v>6.7889481425981044E-2</v>
      </c>
      <c r="J157" s="201">
        <f t="shared" si="55"/>
        <v>4.3813733839256692E-2</v>
      </c>
      <c r="K157" s="201">
        <f t="shared" si="55"/>
        <v>4.1934849558125535E-2</v>
      </c>
      <c r="L157" s="201">
        <f t="shared" si="55"/>
        <v>4.8313457363010577E-2</v>
      </c>
      <c r="M157" s="201">
        <f t="shared" si="55"/>
        <v>4.5995679262271792E-2</v>
      </c>
      <c r="N157" s="201">
        <f t="shared" si="55"/>
        <v>4.9582374272256646E-2</v>
      </c>
      <c r="O157" s="201">
        <f t="shared" si="55"/>
        <v>6.2340222650171896E-2</v>
      </c>
      <c r="P157" s="201">
        <f t="shared" si="55"/>
        <v>5.2217612007666434E-2</v>
      </c>
      <c r="Q157" s="201">
        <f t="shared" si="55"/>
        <v>4.8158428985015579E-2</v>
      </c>
      <c r="R157" s="201">
        <f t="shared" si="55"/>
        <v>5.9831524925544347E-2</v>
      </c>
      <c r="S157" s="201">
        <f t="shared" si="55"/>
        <v>6.57039005024041E-2</v>
      </c>
      <c r="T157" s="201">
        <f t="shared" si="55"/>
        <v>7.16984469881944E-2</v>
      </c>
      <c r="U157" s="201">
        <f t="shared" si="55"/>
        <v>7.6606156146104054E-2</v>
      </c>
      <c r="V157" s="201">
        <f t="shared" si="55"/>
        <v>9.4219740578941932E-2</v>
      </c>
      <c r="W157" s="201">
        <f t="shared" si="55"/>
        <v>0.1090899307784345</v>
      </c>
      <c r="X157" s="201">
        <f t="shared" si="55"/>
        <v>0.10220824113537616</v>
      </c>
      <c r="Y157" s="201">
        <f t="shared" si="55"/>
        <v>0.10293395398378039</v>
      </c>
      <c r="Z157" s="201">
        <f t="shared" si="55"/>
        <v>8.8071751732331852E-2</v>
      </c>
      <c r="AA157" s="201">
        <f t="shared" si="55"/>
        <v>7.2261480281461482E-2</v>
      </c>
      <c r="AB157" s="201">
        <f t="shared" si="55"/>
        <v>7.2552870320882479E-2</v>
      </c>
      <c r="AC157" s="201">
        <f t="shared" si="55"/>
        <v>8.4097667143669452E-2</v>
      </c>
      <c r="AD157" s="201">
        <f t="shared" si="55"/>
        <v>0.11030056050546579</v>
      </c>
      <c r="AE157" s="201">
        <f t="shared" si="55"/>
        <v>7.3701712911715345E-2</v>
      </c>
      <c r="AF157" s="201">
        <f t="shared" si="55"/>
        <v>5.9764426403478961E-2</v>
      </c>
      <c r="AG157" s="201">
        <f t="shared" si="55"/>
        <v>6.5493619895096167E-2</v>
      </c>
      <c r="AH157" s="201">
        <f t="shared" si="55"/>
        <v>6.4811233983947697E-2</v>
      </c>
      <c r="AI157" s="201">
        <f t="shared" si="55"/>
        <v>6.9043174829814591E-2</v>
      </c>
      <c r="AJ157" s="201">
        <f t="shared" si="55"/>
        <v>5.720109817203349E-2</v>
      </c>
      <c r="AK157" s="201">
        <f t="shared" ref="AK157:BP157" si="56">AK81/AJ153</f>
        <v>1.6248951734750113E-2</v>
      </c>
      <c r="AL157" s="201">
        <f t="shared" si="56"/>
        <v>5.033445300482161E-3</v>
      </c>
      <c r="AM157" s="201">
        <f t="shared" si="56"/>
        <v>-1.9963524497086552E-2</v>
      </c>
      <c r="AN157" s="201">
        <f t="shared" si="56"/>
        <v>-1.8979437066893777E-2</v>
      </c>
      <c r="AO157" s="201">
        <f t="shared" si="56"/>
        <v>6.4569346677456974E-3</v>
      </c>
      <c r="AP157" s="201">
        <f t="shared" si="56"/>
        <v>1.0435251525826047E-2</v>
      </c>
      <c r="AQ157" s="201">
        <f t="shared" si="56"/>
        <v>1.3947983003658593E-2</v>
      </c>
      <c r="AR157" s="201">
        <f t="shared" si="56"/>
        <v>2.3308233294452214E-2</v>
      </c>
      <c r="AS157" s="201">
        <f t="shared" si="56"/>
        <v>3.5474519106078913E-2</v>
      </c>
      <c r="AT157" s="201">
        <f t="shared" si="56"/>
        <v>3.6557674966354592E-2</v>
      </c>
      <c r="AU157" s="201">
        <f t="shared" si="56"/>
        <v>3.3154953479642008E-2</v>
      </c>
      <c r="AV157" s="201">
        <f t="shared" si="56"/>
        <v>1.9872606087336913E-2</v>
      </c>
      <c r="AW157" s="201">
        <f t="shared" si="56"/>
        <v>4.4357647859842038E-2</v>
      </c>
      <c r="AX157" s="201">
        <f t="shared" si="56"/>
        <v>4.9052693931526836E-2</v>
      </c>
      <c r="AY157" s="201">
        <f t="shared" si="56"/>
        <v>6.1811146027872674E-2</v>
      </c>
      <c r="AZ157" s="201">
        <f t="shared" si="56"/>
        <v>7.3202292159394791E-2</v>
      </c>
      <c r="BA157" s="201">
        <f t="shared" si="56"/>
        <v>0.10153511683438281</v>
      </c>
      <c r="BB157" s="201">
        <f t="shared" si="56"/>
        <v>0.11236246454661641</v>
      </c>
      <c r="BC157" s="201">
        <f t="shared" si="56"/>
        <v>0.12930326563635472</v>
      </c>
      <c r="BD157" s="201">
        <f t="shared" si="56"/>
        <v>0.14585421029508217</v>
      </c>
      <c r="BE157" s="201">
        <f t="shared" si="56"/>
        <v>0.15632053770511006</v>
      </c>
      <c r="BF157" s="201">
        <f t="shared" si="56"/>
        <v>0.16783864290857756</v>
      </c>
      <c r="BG157" s="201">
        <f t="shared" si="56"/>
        <v>0.16632905342328855</v>
      </c>
      <c r="BH157" s="201">
        <f t="shared" si="56"/>
        <v>0.16025443101765086</v>
      </c>
      <c r="BI157" s="201">
        <f t="shared" si="56"/>
        <v>0.1827227868462975</v>
      </c>
      <c r="BJ157" s="201">
        <f t="shared" si="56"/>
        <v>0.17363239896339175</v>
      </c>
      <c r="BK157" s="201">
        <f t="shared" si="56"/>
        <v>0.16895079707153965</v>
      </c>
      <c r="BL157" s="201">
        <f t="shared" si="56"/>
        <v>0.14013310154950417</v>
      </c>
      <c r="BM157" s="201">
        <f t="shared" si="56"/>
        <v>0.13721881716353662</v>
      </c>
      <c r="BN157" s="201">
        <f t="shared" si="56"/>
        <v>0.10197703625861765</v>
      </c>
      <c r="BO157" s="201">
        <f t="shared" si="56"/>
        <v>0.13640510961724006</v>
      </c>
      <c r="BP157" s="201">
        <f t="shared" si="56"/>
        <v>0.14985473403206104</v>
      </c>
    </row>
    <row r="158" spans="1:68" x14ac:dyDescent="0.35">
      <c r="A158" s="181"/>
      <c r="B158" s="181"/>
      <c r="C158" s="181"/>
      <c r="D158" s="54"/>
      <c r="E158"/>
      <c r="F158"/>
      <c r="G158" s="17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row>
    <row r="159" spans="1:68" x14ac:dyDescent="0.35">
      <c r="A159" s="181"/>
      <c r="B159" s="181"/>
      <c r="C159" s="181"/>
      <c r="D159"/>
      <c r="E159"/>
      <c r="F159"/>
      <c r="G159" s="178"/>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row>
    <row r="160" spans="1:68" x14ac:dyDescent="0.35">
      <c r="G160" s="179"/>
    </row>
    <row r="161" spans="7:7" x14ac:dyDescent="0.35">
      <c r="G161" s="179"/>
    </row>
  </sheetData>
  <pageMargins left="0.7" right="0.7" top="0.75" bottom="0.75" header="0.3" footer="0.3"/>
  <pageSetup scale="75"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4:CN46"/>
  <sheetViews>
    <sheetView tabSelected="1" topLeftCell="A17" workbookViewId="0">
      <selection activeCell="A22" sqref="A22"/>
    </sheetView>
  </sheetViews>
  <sheetFormatPr defaultColWidth="8.81640625" defaultRowHeight="14.5" x14ac:dyDescent="0.35"/>
  <cols>
    <col min="1" max="1" width="36.08984375" bestFit="1" customWidth="1"/>
    <col min="2" max="2" width="40.08984375" style="95" bestFit="1" customWidth="1"/>
    <col min="3" max="3" width="12.453125" customWidth="1"/>
    <col min="4" max="79" width="5.08984375" customWidth="1"/>
    <col min="80" max="82" width="5.81640625" customWidth="1"/>
    <col min="83" max="83" width="7.453125" customWidth="1"/>
    <col min="84" max="84" width="8.81640625" customWidth="1"/>
    <col min="85" max="85" width="9.453125" customWidth="1"/>
    <col min="86" max="89" width="9.453125" bestFit="1" customWidth="1"/>
    <col min="90" max="90" width="9.6328125" style="54" bestFit="1" customWidth="1"/>
  </cols>
  <sheetData>
    <row r="14" spans="5:13" x14ac:dyDescent="0.35">
      <c r="G14" s="181"/>
      <c r="H14" s="181"/>
      <c r="I14" s="181"/>
      <c r="J14" s="181"/>
      <c r="K14" s="181"/>
      <c r="L14" s="290"/>
      <c r="M14" s="181"/>
    </row>
    <row r="15" spans="5:13" x14ac:dyDescent="0.35">
      <c r="G15" s="181"/>
      <c r="H15" s="181"/>
      <c r="I15" s="181"/>
      <c r="J15" s="181"/>
      <c r="K15" s="181"/>
      <c r="L15" s="291"/>
      <c r="M15" s="181"/>
    </row>
    <row r="16" spans="5:13" x14ac:dyDescent="0.35">
      <c r="E16" s="175"/>
    </row>
    <row r="17" spans="1:92" ht="13.75" customHeight="1" x14ac:dyDescent="0.35"/>
    <row r="18" spans="1:92" s="54" customFormat="1" ht="12" x14ac:dyDescent="0.3">
      <c r="A18" s="57" t="s">
        <v>0</v>
      </c>
      <c r="B18" s="57" t="s">
        <v>1</v>
      </c>
      <c r="C18" s="57" t="s">
        <v>2</v>
      </c>
      <c r="D18" s="59">
        <v>1925</v>
      </c>
      <c r="E18" s="59">
        <v>1926</v>
      </c>
      <c r="F18" s="59">
        <v>1927</v>
      </c>
      <c r="G18" s="59">
        <v>1928</v>
      </c>
      <c r="H18" s="59">
        <v>1929</v>
      </c>
      <c r="I18" s="59">
        <v>1930</v>
      </c>
      <c r="J18" s="59">
        <v>1931</v>
      </c>
      <c r="K18" s="59">
        <v>1932</v>
      </c>
      <c r="L18" s="59">
        <v>1933</v>
      </c>
      <c r="M18" s="59">
        <v>1934</v>
      </c>
      <c r="N18" s="59">
        <v>1935</v>
      </c>
      <c r="O18" s="59">
        <v>1936</v>
      </c>
      <c r="P18" s="59">
        <v>1937</v>
      </c>
      <c r="Q18" s="59">
        <v>1938</v>
      </c>
      <c r="R18" s="59">
        <v>1939</v>
      </c>
      <c r="S18" s="59">
        <v>1940</v>
      </c>
      <c r="T18" s="59">
        <v>1941</v>
      </c>
      <c r="U18" s="59">
        <v>1942</v>
      </c>
      <c r="V18" s="59">
        <v>1943</v>
      </c>
      <c r="W18" s="59">
        <v>1944</v>
      </c>
      <c r="X18" s="59">
        <v>1945</v>
      </c>
      <c r="Y18" s="59">
        <v>1946</v>
      </c>
      <c r="Z18" s="59">
        <v>1947</v>
      </c>
      <c r="AA18" s="59">
        <v>1948</v>
      </c>
      <c r="AB18" s="59">
        <v>1949</v>
      </c>
      <c r="AC18" s="59">
        <v>1950</v>
      </c>
      <c r="AD18" s="59">
        <v>1951</v>
      </c>
      <c r="AE18" s="59">
        <v>1952</v>
      </c>
      <c r="AF18" s="59">
        <v>1953</v>
      </c>
      <c r="AG18" s="59">
        <v>1954</v>
      </c>
      <c r="AH18" s="59">
        <v>1955</v>
      </c>
      <c r="AI18" s="59">
        <v>1956</v>
      </c>
      <c r="AJ18" s="59">
        <v>1957</v>
      </c>
      <c r="AK18" s="59">
        <v>1958</v>
      </c>
      <c r="AL18" s="59">
        <v>1959</v>
      </c>
      <c r="AM18" s="59">
        <v>1960</v>
      </c>
      <c r="AN18" s="59">
        <v>1961</v>
      </c>
      <c r="AO18" s="59">
        <v>1962</v>
      </c>
      <c r="AP18" s="59">
        <v>1963</v>
      </c>
      <c r="AQ18" s="59">
        <v>1964</v>
      </c>
      <c r="AR18" s="59">
        <v>1965</v>
      </c>
      <c r="AS18" s="59">
        <v>1966</v>
      </c>
      <c r="AT18" s="59">
        <v>1967</v>
      </c>
      <c r="AU18" s="59">
        <v>1968</v>
      </c>
      <c r="AV18" s="59">
        <v>1969</v>
      </c>
      <c r="AW18" s="59">
        <v>1970</v>
      </c>
      <c r="AX18" s="59">
        <v>1971</v>
      </c>
      <c r="AY18" s="59">
        <v>1972</v>
      </c>
      <c r="AZ18" s="59">
        <v>1973</v>
      </c>
      <c r="BA18" s="59">
        <v>1974</v>
      </c>
      <c r="BB18" s="59">
        <v>1975</v>
      </c>
      <c r="BC18" s="59">
        <v>1976</v>
      </c>
      <c r="BD18" s="59">
        <v>1977</v>
      </c>
      <c r="BE18" s="59">
        <v>1978</v>
      </c>
      <c r="BF18" s="59">
        <v>1979</v>
      </c>
      <c r="BG18" s="59">
        <v>1980</v>
      </c>
      <c r="BH18" s="59">
        <v>1981</v>
      </c>
      <c r="BI18" s="59">
        <v>1982</v>
      </c>
      <c r="BJ18" s="59">
        <v>1983</v>
      </c>
      <c r="BK18" s="59">
        <v>1984</v>
      </c>
      <c r="BL18" s="59">
        <v>1985</v>
      </c>
      <c r="BM18" s="59">
        <v>1986</v>
      </c>
      <c r="BN18" s="59">
        <v>1987</v>
      </c>
      <c r="BO18" s="59">
        <v>1988</v>
      </c>
      <c r="BP18" s="59">
        <v>1989</v>
      </c>
      <c r="BQ18" s="59">
        <v>1990</v>
      </c>
      <c r="BR18" s="59">
        <v>1991</v>
      </c>
      <c r="BS18" s="59">
        <v>1992</v>
      </c>
      <c r="BT18" s="59">
        <v>1993</v>
      </c>
      <c r="BU18" s="59">
        <v>1994</v>
      </c>
      <c r="BV18" s="59">
        <v>1995</v>
      </c>
      <c r="BW18" s="59">
        <v>1996</v>
      </c>
      <c r="BX18" s="59">
        <v>1997</v>
      </c>
      <c r="BY18" s="59">
        <v>1998</v>
      </c>
      <c r="BZ18" s="59">
        <v>1999</v>
      </c>
      <c r="CA18" s="59">
        <v>2000</v>
      </c>
      <c r="CB18" s="59">
        <v>2001</v>
      </c>
      <c r="CC18" s="59">
        <v>2002</v>
      </c>
      <c r="CD18" s="59">
        <v>2003</v>
      </c>
      <c r="CE18" s="59">
        <v>2004</v>
      </c>
      <c r="CF18" s="59">
        <v>2005</v>
      </c>
      <c r="CG18" s="59">
        <v>2006</v>
      </c>
      <c r="CH18" s="59">
        <v>2007</v>
      </c>
      <c r="CI18" s="59">
        <v>2008</v>
      </c>
      <c r="CJ18" s="59">
        <v>2009</v>
      </c>
      <c r="CK18" s="59">
        <v>2010</v>
      </c>
      <c r="CL18" s="59">
        <v>2011</v>
      </c>
      <c r="CM18" s="59">
        <v>2012</v>
      </c>
      <c r="CN18" s="54">
        <v>2013</v>
      </c>
    </row>
    <row r="19" spans="1:92" s="54" customFormat="1" ht="12" x14ac:dyDescent="0.3">
      <c r="A19" s="54" t="s">
        <v>225</v>
      </c>
      <c r="B19" s="54" t="s">
        <v>226</v>
      </c>
      <c r="C19" s="54" t="s">
        <v>227</v>
      </c>
      <c r="D19" s="81">
        <v>98.1</v>
      </c>
      <c r="E19" s="81">
        <v>101</v>
      </c>
      <c r="F19" s="81">
        <v>102.4</v>
      </c>
      <c r="G19" s="81">
        <v>104.7</v>
      </c>
      <c r="H19" s="81">
        <v>103.6</v>
      </c>
      <c r="I19" s="81">
        <v>98.5</v>
      </c>
      <c r="J19" s="81">
        <v>88.4</v>
      </c>
      <c r="K19" s="81">
        <v>82.4</v>
      </c>
      <c r="L19" s="81">
        <v>83.2</v>
      </c>
      <c r="M19" s="81">
        <v>84.2</v>
      </c>
      <c r="N19" s="81">
        <v>83.7</v>
      </c>
      <c r="O19" s="81">
        <v>92</v>
      </c>
      <c r="P19" s="81">
        <v>95.2</v>
      </c>
      <c r="Q19" s="81">
        <v>93.9</v>
      </c>
      <c r="R19" s="81">
        <v>94.4</v>
      </c>
      <c r="S19" s="81">
        <v>100.1</v>
      </c>
      <c r="T19" s="81">
        <v>112.1</v>
      </c>
      <c r="U19" s="81">
        <v>118.9</v>
      </c>
      <c r="V19" s="81">
        <v>119.3</v>
      </c>
      <c r="W19" s="81">
        <v>120.2</v>
      </c>
      <c r="X19" s="81">
        <v>131.19999999999999</v>
      </c>
      <c r="Y19" s="81">
        <v>159.4</v>
      </c>
      <c r="Z19" s="81">
        <v>190.1</v>
      </c>
      <c r="AA19" s="81">
        <v>208.1</v>
      </c>
      <c r="AB19" s="81">
        <v>212.2</v>
      </c>
      <c r="AC19" s="81">
        <v>238.1</v>
      </c>
      <c r="AD19" s="81">
        <v>258.5</v>
      </c>
      <c r="AE19" s="81">
        <v>273.5</v>
      </c>
      <c r="AF19" s="81">
        <v>287</v>
      </c>
      <c r="AG19" s="81">
        <v>295.3</v>
      </c>
      <c r="AH19" s="81">
        <v>325</v>
      </c>
      <c r="AI19" s="81">
        <v>360.7</v>
      </c>
      <c r="AJ19" s="81">
        <v>386.9</v>
      </c>
      <c r="AK19" s="81">
        <v>394.4</v>
      </c>
      <c r="AL19" s="81">
        <v>411.6</v>
      </c>
      <c r="AM19" s="81">
        <v>419.9</v>
      </c>
      <c r="AN19" s="81">
        <v>430.3</v>
      </c>
      <c r="AO19" s="81">
        <v>444.2</v>
      </c>
      <c r="AP19" s="81">
        <v>458.3</v>
      </c>
      <c r="AQ19" s="81">
        <v>483.9</v>
      </c>
      <c r="AR19" s="81">
        <v>517.4</v>
      </c>
      <c r="AS19" s="81">
        <v>563.4</v>
      </c>
      <c r="AT19" s="81">
        <v>610.79999999999995</v>
      </c>
      <c r="AU19" s="81">
        <v>672.6</v>
      </c>
      <c r="AV19" s="81">
        <v>741.1</v>
      </c>
      <c r="AW19" s="81">
        <v>815.7</v>
      </c>
      <c r="AX19" s="81">
        <v>895.2</v>
      </c>
      <c r="AY19" s="81">
        <v>972.2</v>
      </c>
      <c r="AZ19" s="81">
        <v>1097.4000000000001</v>
      </c>
      <c r="BA19" s="81">
        <v>1346.4</v>
      </c>
      <c r="BB19" s="81">
        <v>1495.4</v>
      </c>
      <c r="BC19" s="81">
        <v>1643.8</v>
      </c>
      <c r="BD19" s="81">
        <v>1829.9</v>
      </c>
      <c r="BE19" s="81">
        <v>2081.5</v>
      </c>
      <c r="BF19" s="81">
        <v>2399.6999999999998</v>
      </c>
      <c r="BG19" s="81">
        <v>2761.2</v>
      </c>
      <c r="BH19" s="81">
        <v>3125.3</v>
      </c>
      <c r="BI19" s="81">
        <v>3318.6</v>
      </c>
      <c r="BJ19" s="81">
        <v>3415.3</v>
      </c>
      <c r="BK19" s="81">
        <v>3618.4</v>
      </c>
      <c r="BL19" s="81">
        <v>3819.3</v>
      </c>
      <c r="BM19" s="81">
        <v>3989.7</v>
      </c>
      <c r="BN19" s="81">
        <v>4197.6000000000004</v>
      </c>
      <c r="BO19" s="81">
        <v>4462.8999999999996</v>
      </c>
      <c r="BP19" s="81">
        <v>4728.2</v>
      </c>
      <c r="BQ19" s="81">
        <v>4993.1000000000004</v>
      </c>
      <c r="BR19" s="81">
        <v>5105.1000000000004</v>
      </c>
      <c r="BS19" s="81">
        <v>5275.6</v>
      </c>
      <c r="BT19" s="81">
        <v>5523.9</v>
      </c>
      <c r="BU19" s="81">
        <v>5823.9</v>
      </c>
      <c r="BV19" s="81">
        <v>6154.2</v>
      </c>
      <c r="BW19" s="81">
        <v>6469.9</v>
      </c>
      <c r="BX19" s="81">
        <v>6830.5</v>
      </c>
      <c r="BY19" s="81">
        <v>7217.6</v>
      </c>
      <c r="BZ19" s="81">
        <v>7641.6</v>
      </c>
      <c r="CA19" s="81">
        <v>8175.4</v>
      </c>
      <c r="CB19" s="81">
        <v>8595.6</v>
      </c>
      <c r="CC19" s="81">
        <v>8907.7000000000007</v>
      </c>
      <c r="CD19" s="81">
        <v>9185.7999999999993</v>
      </c>
      <c r="CE19" s="54">
        <v>9909.5</v>
      </c>
      <c r="CF19" s="54">
        <v>10768.3</v>
      </c>
      <c r="CG19" s="54">
        <v>11679.9</v>
      </c>
      <c r="CH19" s="54">
        <v>12317.8</v>
      </c>
      <c r="CI19" s="54">
        <v>13138</v>
      </c>
      <c r="CJ19" s="54">
        <v>12701.7</v>
      </c>
      <c r="CK19" s="54">
        <v>12994.6</v>
      </c>
      <c r="CL19" s="54">
        <v>13530.8</v>
      </c>
    </row>
    <row r="20" spans="1:92" s="54" customFormat="1" ht="12" x14ac:dyDescent="0.3">
      <c r="A20" s="54" t="s">
        <v>228</v>
      </c>
      <c r="B20" s="54" t="s">
        <v>229</v>
      </c>
      <c r="C20" s="54" t="s">
        <v>230</v>
      </c>
      <c r="D20" s="81">
        <v>13.038</v>
      </c>
      <c r="E20" s="81">
        <v>13.38</v>
      </c>
      <c r="F20" s="81">
        <v>13.648999999999999</v>
      </c>
      <c r="G20" s="81">
        <v>13.929</v>
      </c>
      <c r="H20" s="81">
        <v>14.298</v>
      </c>
      <c r="I20" s="81">
        <v>14.519</v>
      </c>
      <c r="J20" s="81">
        <v>14.442</v>
      </c>
      <c r="K20" s="81">
        <v>14.169</v>
      </c>
      <c r="L20" s="81">
        <v>13.891</v>
      </c>
      <c r="M20" s="81">
        <v>13.702999999999999</v>
      </c>
      <c r="N20" s="81">
        <v>13.579000000000001</v>
      </c>
      <c r="O20" s="81">
        <v>13.606999999999999</v>
      </c>
      <c r="P20" s="81">
        <v>13.752000000000001</v>
      </c>
      <c r="Q20" s="81">
        <v>13.695</v>
      </c>
      <c r="R20" s="81">
        <v>13.694000000000001</v>
      </c>
      <c r="S20" s="81">
        <v>13.827</v>
      </c>
      <c r="T20" s="81">
        <v>14.044</v>
      </c>
      <c r="U20" s="81">
        <v>13.978</v>
      </c>
      <c r="V20" s="81">
        <v>13.817</v>
      </c>
      <c r="W20" s="81">
        <v>13.797000000000001</v>
      </c>
      <c r="X20" s="81">
        <v>14.013</v>
      </c>
      <c r="Y20" s="81">
        <v>14.532</v>
      </c>
      <c r="Z20" s="81">
        <v>15.105</v>
      </c>
      <c r="AA20" s="81">
        <v>15.675000000000001</v>
      </c>
      <c r="AB20" s="81">
        <v>16.050999999999998</v>
      </c>
      <c r="AC20" s="81">
        <v>16.481000000000002</v>
      </c>
      <c r="AD20" s="81">
        <v>17.015000000000001</v>
      </c>
      <c r="AE20" s="81">
        <v>17.550999999999998</v>
      </c>
      <c r="AF20" s="81">
        <v>18.149999999999999</v>
      </c>
      <c r="AG20" s="81">
        <v>18.649000000000001</v>
      </c>
      <c r="AH20" s="81">
        <v>19.238</v>
      </c>
      <c r="AI20" s="81">
        <v>19.98</v>
      </c>
      <c r="AJ20" s="81">
        <v>20.719000000000001</v>
      </c>
      <c r="AK20" s="81">
        <v>21.123000000000001</v>
      </c>
      <c r="AL20" s="81">
        <v>21.597999999999999</v>
      </c>
      <c r="AM20" s="81">
        <v>22.218</v>
      </c>
      <c r="AN20" s="81">
        <v>22.777000000000001</v>
      </c>
      <c r="AO20" s="81">
        <v>23.452000000000002</v>
      </c>
      <c r="AP20" s="81">
        <v>24.158000000000001</v>
      </c>
      <c r="AQ20" s="81">
        <v>25.076000000000001</v>
      </c>
      <c r="AR20" s="81">
        <v>26.327000000000002</v>
      </c>
      <c r="AS20" s="81">
        <v>27.856000000000002</v>
      </c>
      <c r="AT20" s="81">
        <v>29.222999999999999</v>
      </c>
      <c r="AU20" s="81">
        <v>30.643000000000001</v>
      </c>
      <c r="AV20" s="81">
        <v>32.161000000000001</v>
      </c>
      <c r="AW20" s="81">
        <v>33.479999999999997</v>
      </c>
      <c r="AX20" s="81">
        <v>34.659999999999997</v>
      </c>
      <c r="AY20" s="81">
        <v>36.020000000000003</v>
      </c>
      <c r="AZ20" s="81">
        <v>37.719000000000001</v>
      </c>
      <c r="BA20" s="81">
        <v>39.393000000000001</v>
      </c>
      <c r="BB20" s="81">
        <v>40.499000000000002</v>
      </c>
      <c r="BC20" s="81">
        <v>41.65</v>
      </c>
      <c r="BD20" s="81">
        <v>43.088999999999999</v>
      </c>
      <c r="BE20" s="81">
        <v>44.984999999999999</v>
      </c>
      <c r="BF20" s="81">
        <v>47.115000000000002</v>
      </c>
      <c r="BG20" s="81">
        <v>49.079000000000001</v>
      </c>
      <c r="BH20" s="81">
        <v>51.06</v>
      </c>
      <c r="BI20" s="81">
        <v>52.573999999999998</v>
      </c>
      <c r="BJ20" s="81">
        <v>53.889000000000003</v>
      </c>
      <c r="BK20" s="81">
        <v>55.932000000000002</v>
      </c>
      <c r="BL20" s="81">
        <v>58.088999999999999</v>
      </c>
      <c r="BM20" s="81">
        <v>59.784999999999997</v>
      </c>
      <c r="BN20" s="81">
        <v>61.216999999999999</v>
      </c>
      <c r="BO20" s="81">
        <v>62.707999999999998</v>
      </c>
      <c r="BP20" s="81">
        <v>64.331999999999994</v>
      </c>
      <c r="BQ20" s="81">
        <v>66.06</v>
      </c>
      <c r="BR20" s="81">
        <v>67.245000000000005</v>
      </c>
      <c r="BS20" s="81">
        <v>68.412999999999997</v>
      </c>
      <c r="BT20" s="81">
        <v>69.995999999999995</v>
      </c>
      <c r="BU20" s="81">
        <v>71.864000000000004</v>
      </c>
      <c r="BV20" s="81">
        <v>74.257000000000005</v>
      </c>
      <c r="BW20" s="81">
        <v>77.004000000000005</v>
      </c>
      <c r="BX20" s="81">
        <v>80.052000000000007</v>
      </c>
      <c r="BY20" s="81">
        <v>83.471000000000004</v>
      </c>
      <c r="BZ20" s="81">
        <v>87.15</v>
      </c>
      <c r="CA20" s="81">
        <v>91.138999999999996</v>
      </c>
      <c r="CB20" s="81">
        <v>93.912999999999997</v>
      </c>
      <c r="CC20" s="81">
        <v>95.373999999999995</v>
      </c>
      <c r="CD20" s="81">
        <v>96.682000000000002</v>
      </c>
      <c r="CE20" s="54">
        <v>98.213999999999999</v>
      </c>
      <c r="CF20" s="54">
        <v>100</v>
      </c>
      <c r="CG20" s="54">
        <v>102.48</v>
      </c>
      <c r="CH20" s="54">
        <v>105.241</v>
      </c>
      <c r="CI20" s="54">
        <v>107.527</v>
      </c>
      <c r="CJ20" s="54">
        <v>107.696</v>
      </c>
      <c r="CK20" s="54">
        <v>108.012</v>
      </c>
      <c r="CL20" s="54">
        <v>108.992</v>
      </c>
    </row>
    <row r="21" spans="1:92" s="54" customFormat="1" ht="12" x14ac:dyDescent="0.3">
      <c r="A21" s="80" t="s">
        <v>231</v>
      </c>
      <c r="B21" s="80" t="s">
        <v>347</v>
      </c>
      <c r="C21" s="54" t="s">
        <v>232</v>
      </c>
      <c r="D21" s="81">
        <f t="shared" ref="D21:AI21" si="0">D20*$CF$19/100</f>
        <v>1403.9709539999999</v>
      </c>
      <c r="E21" s="81">
        <f t="shared" si="0"/>
        <v>1440.79854</v>
      </c>
      <c r="F21" s="81">
        <f t="shared" si="0"/>
        <v>1469.7652669999998</v>
      </c>
      <c r="G21" s="81">
        <f t="shared" si="0"/>
        <v>1499.9165069999999</v>
      </c>
      <c r="H21" s="81">
        <f t="shared" si="0"/>
        <v>1539.6515339999999</v>
      </c>
      <c r="I21" s="81">
        <f t="shared" si="0"/>
        <v>1563.4494769999999</v>
      </c>
      <c r="J21" s="81">
        <f t="shared" si="0"/>
        <v>1555.157886</v>
      </c>
      <c r="K21" s="81">
        <f t="shared" si="0"/>
        <v>1525.7604269999999</v>
      </c>
      <c r="L21" s="81">
        <f t="shared" si="0"/>
        <v>1495.8245529999999</v>
      </c>
      <c r="M21" s="81">
        <f t="shared" si="0"/>
        <v>1475.5801489999999</v>
      </c>
      <c r="N21" s="81">
        <f t="shared" si="0"/>
        <v>1462.227457</v>
      </c>
      <c r="O21" s="81">
        <f t="shared" si="0"/>
        <v>1465.2425809999997</v>
      </c>
      <c r="P21" s="81">
        <f t="shared" si="0"/>
        <v>1480.856616</v>
      </c>
      <c r="Q21" s="81">
        <f t="shared" si="0"/>
        <v>1474.7186849999998</v>
      </c>
      <c r="R21" s="81">
        <f t="shared" si="0"/>
        <v>1474.6110019999999</v>
      </c>
      <c r="S21" s="81">
        <f t="shared" si="0"/>
        <v>1488.9328409999998</v>
      </c>
      <c r="T21" s="81">
        <f t="shared" si="0"/>
        <v>1512.3000519999998</v>
      </c>
      <c r="U21" s="81">
        <f t="shared" si="0"/>
        <v>1505.1929739999998</v>
      </c>
      <c r="V21" s="81">
        <f t="shared" si="0"/>
        <v>1487.8560110000001</v>
      </c>
      <c r="W21" s="81">
        <f t="shared" si="0"/>
        <v>1485.7023509999999</v>
      </c>
      <c r="X21" s="81">
        <f t="shared" si="0"/>
        <v>1508.961879</v>
      </c>
      <c r="Y21" s="81">
        <f t="shared" si="0"/>
        <v>1564.8493559999999</v>
      </c>
      <c r="Z21" s="81">
        <f t="shared" si="0"/>
        <v>1626.5517150000001</v>
      </c>
      <c r="AA21" s="81">
        <f t="shared" si="0"/>
        <v>1687.9310250000001</v>
      </c>
      <c r="AB21" s="81">
        <f t="shared" si="0"/>
        <v>1728.4198329999997</v>
      </c>
      <c r="AC21" s="81">
        <f t="shared" si="0"/>
        <v>1774.7235229999999</v>
      </c>
      <c r="AD21" s="81">
        <f t="shared" si="0"/>
        <v>1832.2262450000001</v>
      </c>
      <c r="AE21" s="81">
        <f t="shared" si="0"/>
        <v>1889.9443329999997</v>
      </c>
      <c r="AF21" s="81">
        <f t="shared" si="0"/>
        <v>1954.4464499999997</v>
      </c>
      <c r="AG21" s="81">
        <f t="shared" si="0"/>
        <v>2008.180267</v>
      </c>
      <c r="AH21" s="81">
        <f t="shared" si="0"/>
        <v>2071.6055539999998</v>
      </c>
      <c r="AI21" s="81">
        <f t="shared" si="0"/>
        <v>2151.5063399999999</v>
      </c>
      <c r="AJ21" s="81">
        <f t="shared" ref="AJ21:BO21" si="1">AJ20*$CF$19/100</f>
        <v>2231.084077</v>
      </c>
      <c r="AK21" s="81">
        <f t="shared" si="1"/>
        <v>2274.5880090000001</v>
      </c>
      <c r="AL21" s="81">
        <f t="shared" si="1"/>
        <v>2325.7374339999997</v>
      </c>
      <c r="AM21" s="81">
        <f t="shared" si="1"/>
        <v>2392.5008939999998</v>
      </c>
      <c r="AN21" s="81">
        <f t="shared" si="1"/>
        <v>2452.6956909999999</v>
      </c>
      <c r="AO21" s="81">
        <f t="shared" si="1"/>
        <v>2525.3817159999999</v>
      </c>
      <c r="AP21" s="81">
        <f t="shared" si="1"/>
        <v>2601.4059139999999</v>
      </c>
      <c r="AQ21" s="81">
        <f t="shared" si="1"/>
        <v>2700.2589079999998</v>
      </c>
      <c r="AR21" s="81">
        <f t="shared" si="1"/>
        <v>2834.9703409999997</v>
      </c>
      <c r="AS21" s="81">
        <f t="shared" si="1"/>
        <v>2999.6176479999999</v>
      </c>
      <c r="AT21" s="81">
        <f t="shared" si="1"/>
        <v>3146.8203089999997</v>
      </c>
      <c r="AU21" s="81">
        <f t="shared" si="1"/>
        <v>3299.7301689999999</v>
      </c>
      <c r="AV21" s="81">
        <f t="shared" si="1"/>
        <v>3463.192963</v>
      </c>
      <c r="AW21" s="81">
        <f t="shared" si="1"/>
        <v>3605.2268399999994</v>
      </c>
      <c r="AX21" s="81">
        <f t="shared" si="1"/>
        <v>3732.2927799999993</v>
      </c>
      <c r="AY21" s="81">
        <f t="shared" si="1"/>
        <v>3878.7416600000001</v>
      </c>
      <c r="AZ21" s="81">
        <f t="shared" si="1"/>
        <v>4061.6950769999994</v>
      </c>
      <c r="BA21" s="81">
        <f t="shared" si="1"/>
        <v>4241.9564190000001</v>
      </c>
      <c r="BB21" s="81">
        <f t="shared" si="1"/>
        <v>4361.053817</v>
      </c>
      <c r="BC21" s="81">
        <f t="shared" si="1"/>
        <v>4484.9969499999997</v>
      </c>
      <c r="BD21" s="81">
        <f t="shared" si="1"/>
        <v>4639.9527869999993</v>
      </c>
      <c r="BE21" s="81">
        <f t="shared" si="1"/>
        <v>4844.1197549999997</v>
      </c>
      <c r="BF21" s="81">
        <f t="shared" si="1"/>
        <v>5073.4845450000003</v>
      </c>
      <c r="BG21" s="81">
        <f t="shared" si="1"/>
        <v>5284.9739570000002</v>
      </c>
      <c r="BH21" s="81">
        <f t="shared" si="1"/>
        <v>5498.2939800000004</v>
      </c>
      <c r="BI21" s="81">
        <f t="shared" si="1"/>
        <v>5661.3260419999997</v>
      </c>
      <c r="BJ21" s="81">
        <f t="shared" si="1"/>
        <v>5802.9291870000006</v>
      </c>
      <c r="BK21" s="81">
        <f t="shared" si="1"/>
        <v>6022.9255559999992</v>
      </c>
      <c r="BL21" s="81">
        <f t="shared" si="1"/>
        <v>6255.1977869999992</v>
      </c>
      <c r="BM21" s="81">
        <f t="shared" si="1"/>
        <v>6437.8281549999992</v>
      </c>
      <c r="BN21" s="81">
        <f t="shared" si="1"/>
        <v>6592.0302109999993</v>
      </c>
      <c r="BO21" s="81">
        <f t="shared" si="1"/>
        <v>6752.5855639999991</v>
      </c>
      <c r="BP21" s="81">
        <f t="shared" ref="BP21:CL21" si="2">BP20*$CF$19/100</f>
        <v>6927.462755999999</v>
      </c>
      <c r="BQ21" s="81">
        <f t="shared" si="2"/>
        <v>7113.5389799999994</v>
      </c>
      <c r="BR21" s="81">
        <f t="shared" si="2"/>
        <v>7241.1433349999998</v>
      </c>
      <c r="BS21" s="81">
        <f t="shared" si="2"/>
        <v>7366.9170789999989</v>
      </c>
      <c r="BT21" s="81">
        <f t="shared" si="2"/>
        <v>7537.3792679999988</v>
      </c>
      <c r="BU21" s="81">
        <f t="shared" si="2"/>
        <v>7738.5311120000006</v>
      </c>
      <c r="BV21" s="81">
        <f t="shared" si="2"/>
        <v>7996.216531</v>
      </c>
      <c r="BW21" s="81">
        <f t="shared" si="2"/>
        <v>8292.0217319999992</v>
      </c>
      <c r="BX21" s="81">
        <f t="shared" si="2"/>
        <v>8620.2395159999996</v>
      </c>
      <c r="BY21" s="81">
        <f t="shared" si="2"/>
        <v>8988.4076929999992</v>
      </c>
      <c r="BZ21" s="81">
        <f t="shared" si="2"/>
        <v>9384.5734499999999</v>
      </c>
      <c r="CA21" s="81">
        <f t="shared" si="2"/>
        <v>9814.1209369999979</v>
      </c>
      <c r="CB21" s="81">
        <f t="shared" si="2"/>
        <v>10112.833579</v>
      </c>
      <c r="CC21" s="81">
        <f t="shared" si="2"/>
        <v>10270.158442</v>
      </c>
      <c r="CD21" s="81">
        <f t="shared" si="2"/>
        <v>10411.007806</v>
      </c>
      <c r="CE21" s="81">
        <f t="shared" si="2"/>
        <v>10575.978161999999</v>
      </c>
      <c r="CF21" s="81">
        <f t="shared" si="2"/>
        <v>10768.3</v>
      </c>
      <c r="CG21" s="81">
        <f t="shared" si="2"/>
        <v>11035.353840000002</v>
      </c>
      <c r="CH21" s="81">
        <f t="shared" si="2"/>
        <v>11332.666602999998</v>
      </c>
      <c r="CI21" s="81">
        <f t="shared" si="2"/>
        <v>11578.829941</v>
      </c>
      <c r="CJ21" s="81">
        <f t="shared" si="2"/>
        <v>11597.028367999999</v>
      </c>
      <c r="CK21" s="81">
        <f t="shared" si="2"/>
        <v>11631.056195999998</v>
      </c>
      <c r="CL21" s="81">
        <f t="shared" si="2"/>
        <v>11736.585536000001</v>
      </c>
    </row>
    <row r="22" spans="1:92" s="54" customFormat="1" ht="12" x14ac:dyDescent="0.3">
      <c r="A22" s="80" t="s">
        <v>346</v>
      </c>
      <c r="B22" s="80" t="s">
        <v>233</v>
      </c>
      <c r="C22" s="54" t="s">
        <v>340</v>
      </c>
      <c r="D22" s="100">
        <f>(D19/D21)*100</f>
        <v>6.9873240411781339</v>
      </c>
      <c r="E22" s="100">
        <f t="shared" ref="E22:BP22" si="3">(E19/E21)*100</f>
        <v>7.0100015509454909</v>
      </c>
      <c r="F22" s="100">
        <f t="shared" si="3"/>
        <v>6.9670989170272746</v>
      </c>
      <c r="G22" s="100">
        <f t="shared" si="3"/>
        <v>6.9803885423870478</v>
      </c>
      <c r="H22" s="100">
        <f t="shared" si="3"/>
        <v>6.7287952963517794</v>
      </c>
      <c r="I22" s="100">
        <f t="shared" si="3"/>
        <v>6.3001716044579297</v>
      </c>
      <c r="J22" s="100">
        <f t="shared" si="3"/>
        <v>5.6843103067414216</v>
      </c>
      <c r="K22" s="100">
        <f t="shared" si="3"/>
        <v>5.4005857369113697</v>
      </c>
      <c r="L22" s="100">
        <f t="shared" si="3"/>
        <v>5.5621496406871733</v>
      </c>
      <c r="M22" s="100">
        <f t="shared" si="3"/>
        <v>5.706230194073993</v>
      </c>
      <c r="N22" s="100">
        <f t="shared" si="3"/>
        <v>5.7241436412173732</v>
      </c>
      <c r="O22" s="100">
        <f t="shared" si="3"/>
        <v>6.2788238065816904</v>
      </c>
      <c r="P22" s="100">
        <f t="shared" si="3"/>
        <v>6.4287115289492682</v>
      </c>
      <c r="Q22" s="100">
        <f t="shared" si="3"/>
        <v>6.3673160823889612</v>
      </c>
      <c r="R22" s="100">
        <f t="shared" si="3"/>
        <v>6.4016883009801395</v>
      </c>
      <c r="S22" s="100">
        <f t="shared" si="3"/>
        <v>6.7229358667897099</v>
      </c>
      <c r="T22" s="100">
        <f t="shared" si="3"/>
        <v>7.4125501650118313</v>
      </c>
      <c r="U22" s="100">
        <f t="shared" si="3"/>
        <v>7.8993193599640072</v>
      </c>
      <c r="V22" s="100">
        <f t="shared" si="3"/>
        <v>8.0182490185873228</v>
      </c>
      <c r="W22" s="100">
        <f t="shared" si="3"/>
        <v>8.0904496058107132</v>
      </c>
      <c r="X22" s="100">
        <f t="shared" si="3"/>
        <v>8.694719318353302</v>
      </c>
      <c r="Y22" s="100">
        <f t="shared" si="3"/>
        <v>10.186284027201914</v>
      </c>
      <c r="Z22" s="100">
        <f t="shared" si="3"/>
        <v>11.687301316453992</v>
      </c>
      <c r="AA22" s="100">
        <f t="shared" si="3"/>
        <v>12.328702827178615</v>
      </c>
      <c r="AB22" s="100">
        <f t="shared" si="3"/>
        <v>12.277109759362501</v>
      </c>
      <c r="AC22" s="100">
        <f t="shared" si="3"/>
        <v>13.416174233016012</v>
      </c>
      <c r="AD22" s="100">
        <f t="shared" si="3"/>
        <v>14.108519660463656</v>
      </c>
      <c r="AE22" s="100">
        <f t="shared" si="3"/>
        <v>14.471325701210484</v>
      </c>
      <c r="AF22" s="100">
        <f t="shared" si="3"/>
        <v>14.684464749597003</v>
      </c>
      <c r="AG22" s="100">
        <f t="shared" si="3"/>
        <v>14.704855179218828</v>
      </c>
      <c r="AH22" s="100">
        <f t="shared" si="3"/>
        <v>15.688314764964181</v>
      </c>
      <c r="AI22" s="100">
        <f t="shared" si="3"/>
        <v>16.764998238397013</v>
      </c>
      <c r="AJ22" s="100">
        <f t="shared" si="3"/>
        <v>17.341345581213609</v>
      </c>
      <c r="AK22" s="100">
        <f t="shared" si="3"/>
        <v>17.339403814644832</v>
      </c>
      <c r="AL22" s="100">
        <f t="shared" si="3"/>
        <v>17.69761255001583</v>
      </c>
      <c r="AM22" s="100">
        <f t="shared" si="3"/>
        <v>17.550672647731936</v>
      </c>
      <c r="AN22" s="100">
        <f t="shared" si="3"/>
        <v>17.543961999809294</v>
      </c>
      <c r="AO22" s="100">
        <f t="shared" si="3"/>
        <v>17.589420133427467</v>
      </c>
      <c r="AP22" s="100">
        <f t="shared" si="3"/>
        <v>17.617396713583393</v>
      </c>
      <c r="AQ22" s="100">
        <f t="shared" si="3"/>
        <v>17.920503791927498</v>
      </c>
      <c r="AR22" s="100">
        <f t="shared" si="3"/>
        <v>18.250631850261041</v>
      </c>
      <c r="AS22" s="100">
        <f t="shared" si="3"/>
        <v>18.782393828615053</v>
      </c>
      <c r="AT22" s="100">
        <f t="shared" si="3"/>
        <v>19.410069213456318</v>
      </c>
      <c r="AU22" s="100">
        <f t="shared" si="3"/>
        <v>20.383484877608488</v>
      </c>
      <c r="AV22" s="100">
        <f t="shared" si="3"/>
        <v>21.399327381342918</v>
      </c>
      <c r="AW22" s="100">
        <f t="shared" si="3"/>
        <v>22.625483393993601</v>
      </c>
      <c r="AX22" s="100">
        <f t="shared" si="3"/>
        <v>23.985256590722237</v>
      </c>
      <c r="AY22" s="100">
        <f t="shared" si="3"/>
        <v>25.064829917030362</v>
      </c>
      <c r="AZ22" s="100">
        <f t="shared" si="3"/>
        <v>27.018276340196085</v>
      </c>
      <c r="BA22" s="100">
        <f t="shared" si="3"/>
        <v>31.740071490819343</v>
      </c>
      <c r="BB22" s="100">
        <f t="shared" si="3"/>
        <v>34.28987723496374</v>
      </c>
      <c r="BC22" s="100">
        <f t="shared" si="3"/>
        <v>36.651084010213211</v>
      </c>
      <c r="BD22" s="100">
        <f t="shared" si="3"/>
        <v>39.437901289145174</v>
      </c>
      <c r="BE22" s="100">
        <f t="shared" si="3"/>
        <v>42.969623074481575</v>
      </c>
      <c r="BF22" s="100">
        <f t="shared" si="3"/>
        <v>47.298853060761608</v>
      </c>
      <c r="BG22" s="100">
        <f t="shared" si="3"/>
        <v>52.246236641199772</v>
      </c>
      <c r="BH22" s="100">
        <f t="shared" si="3"/>
        <v>56.841267698094235</v>
      </c>
      <c r="BI22" s="100">
        <f t="shared" si="3"/>
        <v>58.618775449075258</v>
      </c>
      <c r="BJ22" s="100">
        <f t="shared" si="3"/>
        <v>58.854759207662198</v>
      </c>
      <c r="BK22" s="100">
        <f t="shared" si="3"/>
        <v>60.077116450416256</v>
      </c>
      <c r="BL22" s="100">
        <f t="shared" si="3"/>
        <v>61.058021345664613</v>
      </c>
      <c r="BM22" s="100">
        <f t="shared" si="3"/>
        <v>61.972763235398922</v>
      </c>
      <c r="BN22" s="100">
        <f t="shared" si="3"/>
        <v>63.676892636134198</v>
      </c>
      <c r="BO22" s="100">
        <f t="shared" si="3"/>
        <v>66.091720833468884</v>
      </c>
      <c r="BP22" s="100">
        <f t="shared" si="3"/>
        <v>68.252983329355629</v>
      </c>
      <c r="BQ22" s="100">
        <f t="shared" ref="BQ22:CL22" si="4">(BQ19/BQ21)*100</f>
        <v>70.191504032497775</v>
      </c>
      <c r="BR22" s="100">
        <f t="shared" si="4"/>
        <v>70.501297430815185</v>
      </c>
      <c r="BS22" s="100">
        <f t="shared" si="4"/>
        <v>71.612045356646277</v>
      </c>
      <c r="BT22" s="100">
        <f t="shared" si="4"/>
        <v>73.286746010669248</v>
      </c>
      <c r="BU22" s="100">
        <f t="shared" si="4"/>
        <v>75.258468509210786</v>
      </c>
      <c r="BV22" s="100">
        <f t="shared" si="4"/>
        <v>76.963898815661025</v>
      </c>
      <c r="BW22" s="100">
        <f t="shared" si="4"/>
        <v>78.025603515145249</v>
      </c>
      <c r="BX22" s="100">
        <f t="shared" si="4"/>
        <v>79.237937499554747</v>
      </c>
      <c r="BY22" s="100">
        <f t="shared" si="4"/>
        <v>80.298983385243304</v>
      </c>
      <c r="BZ22" s="100">
        <f t="shared" si="4"/>
        <v>81.42724909889219</v>
      </c>
      <c r="CA22" s="100">
        <f t="shared" si="4"/>
        <v>83.302417531641652</v>
      </c>
      <c r="CB22" s="100">
        <f t="shared" si="4"/>
        <v>84.996949003980049</v>
      </c>
      <c r="CC22" s="100">
        <f t="shared" si="4"/>
        <v>86.733812825825538</v>
      </c>
      <c r="CD22" s="100">
        <f t="shared" si="4"/>
        <v>88.231611878209364</v>
      </c>
      <c r="CE22" s="100">
        <f t="shared" si="4"/>
        <v>93.698188935424554</v>
      </c>
      <c r="CF22" s="100">
        <f t="shared" si="4"/>
        <v>100</v>
      </c>
      <c r="CG22" s="100">
        <f t="shared" si="4"/>
        <v>105.84073849688174</v>
      </c>
      <c r="CH22" s="100">
        <f t="shared" si="4"/>
        <v>108.69286489676857</v>
      </c>
      <c r="CI22" s="100">
        <f t="shared" si="4"/>
        <v>113.4656961622613</v>
      </c>
      <c r="CJ22" s="100">
        <f t="shared" si="4"/>
        <v>109.52547149964857</v>
      </c>
      <c r="CK22" s="100">
        <f t="shared" si="4"/>
        <v>111.72330165912993</v>
      </c>
      <c r="CL22" s="100">
        <f t="shared" si="4"/>
        <v>115.2873632496994</v>
      </c>
    </row>
    <row r="23" spans="1:92" s="54" customFormat="1" ht="12" x14ac:dyDescent="0.3">
      <c r="A23" s="54" t="s">
        <v>234</v>
      </c>
      <c r="B23" s="54" t="s">
        <v>235</v>
      </c>
      <c r="C23" s="54" t="s">
        <v>236</v>
      </c>
      <c r="D23" s="81">
        <v>69.2</v>
      </c>
      <c r="E23" s="81">
        <v>72.3</v>
      </c>
      <c r="F23" s="81">
        <v>74.900000000000006</v>
      </c>
      <c r="G23" s="81">
        <v>77.5</v>
      </c>
      <c r="H23" s="81">
        <v>80.900000000000006</v>
      </c>
      <c r="I23" s="81">
        <v>82.7</v>
      </c>
      <c r="J23" s="81">
        <v>82.3</v>
      </c>
      <c r="K23" s="81">
        <v>80.400000000000006</v>
      </c>
      <c r="L23" s="81">
        <v>78.599999999999994</v>
      </c>
      <c r="M23" s="81">
        <v>77.400000000000006</v>
      </c>
      <c r="N23" s="81">
        <v>76.7</v>
      </c>
      <c r="O23" s="81">
        <v>77</v>
      </c>
      <c r="P23" s="81">
        <v>78.5</v>
      </c>
      <c r="Q23" s="81">
        <v>78.599999999999994</v>
      </c>
      <c r="R23" s="81">
        <v>79</v>
      </c>
      <c r="S23" s="81">
        <v>80.5</v>
      </c>
      <c r="T23" s="81">
        <v>83</v>
      </c>
      <c r="U23" s="81">
        <v>83.7</v>
      </c>
      <c r="V23" s="81">
        <v>83.8</v>
      </c>
      <c r="W23" s="81">
        <v>85.1</v>
      </c>
      <c r="X23" s="81">
        <v>88.5</v>
      </c>
      <c r="Y23" s="81">
        <v>95.3</v>
      </c>
      <c r="Z23" s="81">
        <v>105</v>
      </c>
      <c r="AA23" s="81">
        <v>115.9</v>
      </c>
      <c r="AB23" s="81">
        <v>124.4</v>
      </c>
      <c r="AC23" s="81">
        <v>133.69999999999999</v>
      </c>
      <c r="AD23" s="81">
        <v>146</v>
      </c>
      <c r="AE23" s="81">
        <v>158.6</v>
      </c>
      <c r="AF23" s="81">
        <v>172.3</v>
      </c>
      <c r="AG23" s="81">
        <v>184.4</v>
      </c>
      <c r="AH23" s="81">
        <v>197.9</v>
      </c>
      <c r="AI23" s="81">
        <v>216</v>
      </c>
      <c r="AJ23" s="81">
        <v>235.4</v>
      </c>
      <c r="AK23" s="81">
        <v>248.7</v>
      </c>
      <c r="AL23" s="81">
        <v>263.60000000000002</v>
      </c>
      <c r="AM23" s="81">
        <v>280.89999999999998</v>
      </c>
      <c r="AN23" s="81">
        <v>296.5</v>
      </c>
      <c r="AO23" s="81">
        <v>313.89999999999998</v>
      </c>
      <c r="AP23" s="81">
        <v>331.7</v>
      </c>
      <c r="AQ23" s="81">
        <v>353.5</v>
      </c>
      <c r="AR23" s="81">
        <v>382.1</v>
      </c>
      <c r="AS23" s="81">
        <v>417.3</v>
      </c>
      <c r="AT23" s="81">
        <v>450.7</v>
      </c>
      <c r="AU23" s="81">
        <v>487.4</v>
      </c>
      <c r="AV23" s="81">
        <v>529</v>
      </c>
      <c r="AW23" s="81">
        <v>569.4</v>
      </c>
      <c r="AX23" s="81">
        <v>609.70000000000005</v>
      </c>
      <c r="AY23" s="81">
        <v>657.3</v>
      </c>
      <c r="AZ23" s="81">
        <v>718.2</v>
      </c>
      <c r="BA23" s="81">
        <v>790.1</v>
      </c>
      <c r="BB23" s="81">
        <v>858.5</v>
      </c>
      <c r="BC23" s="81">
        <v>934.6</v>
      </c>
      <c r="BD23" s="81">
        <v>1030.7</v>
      </c>
      <c r="BE23" s="81">
        <v>1156.7</v>
      </c>
      <c r="BF23" s="81">
        <v>1310.3</v>
      </c>
      <c r="BG23" s="81">
        <v>1474.4</v>
      </c>
      <c r="BH23" s="81">
        <v>1662.3</v>
      </c>
      <c r="BI23" s="81">
        <v>1834.5</v>
      </c>
      <c r="BJ23" s="81">
        <v>1987.1</v>
      </c>
      <c r="BK23" s="81">
        <v>2181.8000000000002</v>
      </c>
      <c r="BL23" s="81">
        <v>2383.8000000000002</v>
      </c>
      <c r="BM23" s="81">
        <v>2556.6999999999998</v>
      </c>
      <c r="BN23" s="81">
        <v>2712.7</v>
      </c>
      <c r="BO23" s="81">
        <v>2881.4</v>
      </c>
      <c r="BP23" s="81">
        <v>3067.8</v>
      </c>
      <c r="BQ23" s="81">
        <v>3267.3</v>
      </c>
      <c r="BR23" s="81">
        <v>3430.2</v>
      </c>
      <c r="BS23" s="81">
        <v>3587.9</v>
      </c>
      <c r="BT23" s="81">
        <v>3777.9</v>
      </c>
      <c r="BU23" s="81">
        <v>3995.7</v>
      </c>
      <c r="BV23" s="81">
        <v>4261.1000000000004</v>
      </c>
      <c r="BW23" s="81">
        <v>4553.3</v>
      </c>
      <c r="BX23" s="81">
        <v>4871</v>
      </c>
      <c r="BY23" s="81">
        <v>5215.3</v>
      </c>
      <c r="BZ23" s="81">
        <v>5585.3</v>
      </c>
      <c r="CA23" s="81">
        <v>5995.7</v>
      </c>
      <c r="CB23" s="81">
        <v>6306.5</v>
      </c>
      <c r="CC23" s="81">
        <v>6499.8</v>
      </c>
      <c r="CD23" s="81">
        <v>6684.5</v>
      </c>
      <c r="CE23" s="115">
        <v>6906.9</v>
      </c>
      <c r="CF23" s="115">
        <v>7201.1</v>
      </c>
      <c r="CG23" s="115">
        <v>7605.3</v>
      </c>
      <c r="CH23" s="115">
        <v>8068.8</v>
      </c>
      <c r="CI23" s="115">
        <v>8508.2999999999993</v>
      </c>
      <c r="CJ23" s="115">
        <v>8673.5</v>
      </c>
      <c r="CK23" s="115">
        <v>8848.6</v>
      </c>
      <c r="CL23" s="115">
        <v>9122.4</v>
      </c>
    </row>
    <row r="24" spans="1:92" s="54" customFormat="1" ht="7" customHeight="1" x14ac:dyDescent="0.3">
      <c r="A24" s="83"/>
      <c r="B24" s="83"/>
      <c r="C24" s="83"/>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3"/>
      <c r="CL24" s="83"/>
    </row>
    <row r="25" spans="1:92" s="54" customFormat="1" ht="12" x14ac:dyDescent="0.3">
      <c r="A25" s="54" t="s">
        <v>237</v>
      </c>
      <c r="B25" s="54" t="s">
        <v>238</v>
      </c>
      <c r="C25" s="54" t="s">
        <v>239</v>
      </c>
      <c r="D25" s="81">
        <v>4.5</v>
      </c>
      <c r="E25" s="81">
        <v>4.7</v>
      </c>
      <c r="F25" s="81">
        <v>4.8</v>
      </c>
      <c r="G25" s="81">
        <v>4.9000000000000004</v>
      </c>
      <c r="H25" s="81">
        <v>5</v>
      </c>
      <c r="I25" s="81">
        <v>4.8</v>
      </c>
      <c r="J25" s="81">
        <v>4.5</v>
      </c>
      <c r="K25" s="81">
        <v>4</v>
      </c>
      <c r="L25" s="81">
        <v>3.8</v>
      </c>
      <c r="M25" s="81">
        <v>3.9</v>
      </c>
      <c r="N25" s="81">
        <v>3.9</v>
      </c>
      <c r="O25" s="81">
        <v>4</v>
      </c>
      <c r="P25" s="81">
        <v>4.4000000000000004</v>
      </c>
      <c r="Q25" s="81">
        <v>4.5</v>
      </c>
      <c r="R25" s="81">
        <v>4.5</v>
      </c>
      <c r="S25" s="81">
        <v>4.5999999999999996</v>
      </c>
      <c r="T25" s="81">
        <v>5.0999999999999996</v>
      </c>
      <c r="U25" s="81">
        <v>5.8</v>
      </c>
      <c r="V25" s="81">
        <v>5.8</v>
      </c>
      <c r="W25" s="81">
        <v>6</v>
      </c>
      <c r="X25" s="81">
        <v>6.1</v>
      </c>
      <c r="Y25" s="81">
        <v>6.9</v>
      </c>
      <c r="Z25" s="81">
        <v>8.9</v>
      </c>
      <c r="AA25" s="81">
        <v>10.4</v>
      </c>
      <c r="AB25" s="81">
        <v>11.2</v>
      </c>
      <c r="AC25" s="81">
        <v>12</v>
      </c>
      <c r="AD25" s="81">
        <v>13.6</v>
      </c>
      <c r="AE25" s="81">
        <v>14.5</v>
      </c>
      <c r="AF25" s="81">
        <v>15.4</v>
      </c>
      <c r="AG25" s="81">
        <v>16.2</v>
      </c>
      <c r="AH25" s="81">
        <v>17.100000000000001</v>
      </c>
      <c r="AI25" s="81">
        <v>19.2</v>
      </c>
      <c r="AJ25" s="81">
        <v>21.3</v>
      </c>
      <c r="AK25" s="81">
        <v>22.7</v>
      </c>
      <c r="AL25" s="81">
        <v>23.7</v>
      </c>
      <c r="AM25" s="81">
        <v>24</v>
      </c>
      <c r="AN25" s="81">
        <v>24.7</v>
      </c>
      <c r="AO25" s="81">
        <v>25.6</v>
      </c>
      <c r="AP25" s="81">
        <v>26.7</v>
      </c>
      <c r="AQ25" s="81">
        <v>28.2</v>
      </c>
      <c r="AR25" s="81">
        <v>30.5</v>
      </c>
      <c r="AS25" s="81">
        <v>33.5</v>
      </c>
      <c r="AT25" s="81">
        <v>36.9</v>
      </c>
      <c r="AU25" s="81">
        <v>40.700000000000003</v>
      </c>
      <c r="AV25" s="81">
        <v>45.2</v>
      </c>
      <c r="AW25" s="81">
        <v>50.1</v>
      </c>
      <c r="AX25" s="81">
        <v>54.9</v>
      </c>
      <c r="AY25" s="81">
        <v>59.8</v>
      </c>
      <c r="AZ25" s="81">
        <v>67</v>
      </c>
      <c r="BA25" s="81">
        <v>78.900000000000006</v>
      </c>
      <c r="BB25" s="81">
        <v>94.5</v>
      </c>
      <c r="BC25" s="81">
        <v>104.7</v>
      </c>
      <c r="BD25" s="81">
        <v>118.1</v>
      </c>
      <c r="BE25" s="81">
        <v>134.4</v>
      </c>
      <c r="BF25" s="81">
        <v>155.30000000000001</v>
      </c>
      <c r="BG25" s="81">
        <v>180</v>
      </c>
      <c r="BH25" s="81">
        <v>208.3</v>
      </c>
      <c r="BI25" s="81">
        <v>231.6</v>
      </c>
      <c r="BJ25" s="81">
        <v>240.7</v>
      </c>
      <c r="BK25" s="81">
        <v>253.2</v>
      </c>
      <c r="BL25" s="81">
        <v>272</v>
      </c>
      <c r="BM25" s="81">
        <v>290.10000000000002</v>
      </c>
      <c r="BN25" s="81">
        <v>306.7</v>
      </c>
      <c r="BO25" s="81">
        <v>329.1</v>
      </c>
      <c r="BP25" s="81">
        <v>351.1</v>
      </c>
      <c r="BQ25" s="81">
        <v>373.4</v>
      </c>
      <c r="BR25" s="81">
        <v>392.4</v>
      </c>
      <c r="BS25" s="81">
        <v>402.3</v>
      </c>
      <c r="BT25" s="81">
        <v>420.4</v>
      </c>
      <c r="BU25" s="81">
        <v>445.2</v>
      </c>
      <c r="BV25" s="81">
        <v>477.2</v>
      </c>
      <c r="BW25" s="81">
        <v>506.3</v>
      </c>
      <c r="BX25" s="81">
        <v>541.20000000000005</v>
      </c>
      <c r="BY25" s="81">
        <v>578.6</v>
      </c>
      <c r="BZ25" s="81">
        <v>624.9</v>
      </c>
      <c r="CA25" s="81">
        <v>682.1</v>
      </c>
      <c r="CB25" s="81">
        <v>725.1</v>
      </c>
      <c r="CC25" s="81">
        <v>749.3</v>
      </c>
      <c r="CD25" s="81">
        <v>768.3</v>
      </c>
      <c r="CE25" s="116">
        <v>803.1</v>
      </c>
      <c r="CF25" s="116">
        <v>855.8</v>
      </c>
      <c r="CG25" s="116">
        <v>918.4</v>
      </c>
      <c r="CH25" s="116">
        <v>976.4</v>
      </c>
      <c r="CI25" s="117">
        <v>1028.5</v>
      </c>
      <c r="CJ25" s="117">
        <v>1030.4000000000001</v>
      </c>
      <c r="CK25" s="117">
        <v>1026.5</v>
      </c>
      <c r="CL25" s="117">
        <v>1061.9000000000001</v>
      </c>
    </row>
    <row r="26" spans="1:92" s="54" customFormat="1" ht="12" x14ac:dyDescent="0.3">
      <c r="A26" s="80" t="s">
        <v>423</v>
      </c>
      <c r="B26" s="80" t="s">
        <v>348</v>
      </c>
      <c r="C26" s="80" t="s">
        <v>427</v>
      </c>
      <c r="D26" s="91"/>
      <c r="E26" s="118">
        <f>(E25/(E22*D21/100))</f>
        <v>4.775530475274864E-2</v>
      </c>
      <c r="F26" s="118">
        <f t="shared" ref="F26:BQ26" si="5">(F25/(F22*E21/100))</f>
        <v>4.781740470852016E-2</v>
      </c>
      <c r="G26" s="118">
        <f t="shared" si="5"/>
        <v>4.7760460216130951E-2</v>
      </c>
      <c r="H26" s="118">
        <f t="shared" si="5"/>
        <v>4.9541095201228728E-2</v>
      </c>
      <c r="I26" s="118">
        <f t="shared" si="5"/>
        <v>4.9484184717893877E-2</v>
      </c>
      <c r="J26" s="118">
        <f t="shared" si="5"/>
        <v>5.06350081450457E-2</v>
      </c>
      <c r="K26" s="118">
        <f t="shared" si="5"/>
        <v>4.7626058300829693E-2</v>
      </c>
      <c r="L26" s="118">
        <f t="shared" si="5"/>
        <v>4.4776957550883012E-2</v>
      </c>
      <c r="M26" s="118">
        <f t="shared" si="5"/>
        <v>4.5691420699778093E-2</v>
      </c>
      <c r="N26" s="118">
        <f t="shared" si="5"/>
        <v>4.6173338805279546E-2</v>
      </c>
      <c r="O26" s="118">
        <f t="shared" si="5"/>
        <v>4.356791337006951E-2</v>
      </c>
      <c r="P26" s="118">
        <f t="shared" si="5"/>
        <v>4.6711004531157667E-2</v>
      </c>
      <c r="Q26" s="118">
        <f t="shared" si="5"/>
        <v>4.7724687620226483E-2</v>
      </c>
      <c r="R26" s="118">
        <f t="shared" si="5"/>
        <v>4.7666010730131617E-2</v>
      </c>
      <c r="S26" s="118">
        <f t="shared" si="5"/>
        <v>4.6400364641930293E-2</v>
      </c>
      <c r="T26" s="118">
        <f t="shared" si="5"/>
        <v>4.6209090580060078E-2</v>
      </c>
      <c r="U26" s="118">
        <f t="shared" si="5"/>
        <v>4.8551243131343312E-2</v>
      </c>
      <c r="V26" s="118">
        <f t="shared" si="5"/>
        <v>4.805695742453385E-2</v>
      </c>
      <c r="W26" s="118">
        <f t="shared" si="5"/>
        <v>4.9844551137118331E-2</v>
      </c>
      <c r="X26" s="118">
        <f t="shared" si="5"/>
        <v>4.722179132260991E-2</v>
      </c>
      <c r="Y26" s="118">
        <f t="shared" si="5"/>
        <v>4.4890561829081278E-2</v>
      </c>
      <c r="Z26" s="118">
        <f t="shared" si="5"/>
        <v>4.8663487555552283E-2</v>
      </c>
      <c r="AA26" s="118">
        <f t="shared" si="5"/>
        <v>5.186185886683653E-2</v>
      </c>
      <c r="AB26" s="118">
        <f t="shared" si="5"/>
        <v>5.4046451919362255E-2</v>
      </c>
      <c r="AC26" s="118">
        <f t="shared" si="5"/>
        <v>5.1749161266229554E-2</v>
      </c>
      <c r="AD26" s="118">
        <f t="shared" si="5"/>
        <v>5.4315871849150016E-2</v>
      </c>
      <c r="AE26" s="118">
        <f t="shared" si="5"/>
        <v>5.4686557349924052E-2</v>
      </c>
      <c r="AF26" s="118">
        <f t="shared" si="5"/>
        <v>5.5489854653546264E-2</v>
      </c>
      <c r="AG26" s="118">
        <f t="shared" si="5"/>
        <v>5.6367722417040529E-2</v>
      </c>
      <c r="AH26" s="118">
        <f t="shared" si="5"/>
        <v>5.4277160664420038E-2</v>
      </c>
      <c r="AI26" s="118">
        <f t="shared" si="5"/>
        <v>5.5282878733243654E-2</v>
      </c>
      <c r="AJ26" s="118">
        <f t="shared" si="5"/>
        <v>5.7089229317195213E-2</v>
      </c>
      <c r="AK26" s="118">
        <f t="shared" si="5"/>
        <v>5.8678061713841753E-2</v>
      </c>
      <c r="AL26" s="118">
        <f t="shared" si="5"/>
        <v>5.8874999672196247E-2</v>
      </c>
      <c r="AM26" s="118">
        <f t="shared" si="5"/>
        <v>5.8797220006677246E-2</v>
      </c>
      <c r="AN26" s="118">
        <f t="shared" si="5"/>
        <v>5.884602968823896E-2</v>
      </c>
      <c r="AO26" s="118">
        <f t="shared" si="5"/>
        <v>5.9339621908614699E-2</v>
      </c>
      <c r="AP26" s="118">
        <f t="shared" si="5"/>
        <v>6.0012607308286461E-2</v>
      </c>
      <c r="AQ26" s="118">
        <f t="shared" si="5"/>
        <v>6.0491000890141138E-2</v>
      </c>
      <c r="AR26" s="118">
        <f t="shared" si="5"/>
        <v>6.1889436322316152E-2</v>
      </c>
      <c r="AS26" s="118">
        <f t="shared" si="5"/>
        <v>6.2913717038401776E-2</v>
      </c>
      <c r="AT26" s="118">
        <f t="shared" si="5"/>
        <v>6.3377248724566071E-2</v>
      </c>
      <c r="AU26" s="118">
        <f t="shared" si="5"/>
        <v>6.3451812082607487E-2</v>
      </c>
      <c r="AV26" s="118">
        <f t="shared" si="5"/>
        <v>6.4011777118760188E-2</v>
      </c>
      <c r="AW26" s="118">
        <f t="shared" si="5"/>
        <v>6.3938606788237706E-2</v>
      </c>
      <c r="AX26" s="118">
        <f t="shared" si="5"/>
        <v>6.348854584066034E-2</v>
      </c>
      <c r="AY26" s="118">
        <f t="shared" si="5"/>
        <v>6.3923525242360821E-2</v>
      </c>
      <c r="AZ26" s="118">
        <f t="shared" si="5"/>
        <v>6.3933180308977225E-2</v>
      </c>
      <c r="BA26" s="118">
        <f t="shared" si="5"/>
        <v>6.1201460476166786E-2</v>
      </c>
      <c r="BB26" s="118">
        <f t="shared" si="5"/>
        <v>6.496802669149522E-2</v>
      </c>
      <c r="BC26" s="118">
        <f t="shared" si="5"/>
        <v>6.5504089074271146E-2</v>
      </c>
      <c r="BD26" s="118">
        <f t="shared" si="5"/>
        <v>6.6768858261923247E-2</v>
      </c>
      <c r="BE26" s="118">
        <f t="shared" si="5"/>
        <v>6.7409974540737258E-2</v>
      </c>
      <c r="BF26" s="118">
        <f t="shared" si="5"/>
        <v>6.7780688324620114E-2</v>
      </c>
      <c r="BG26" s="118">
        <f t="shared" si="5"/>
        <v>6.7906469246860696E-2</v>
      </c>
      <c r="BH26" s="118">
        <f t="shared" si="5"/>
        <v>6.9339812539959536E-2</v>
      </c>
      <c r="BI26" s="118">
        <f t="shared" si="5"/>
        <v>7.1857790045396649E-2</v>
      </c>
      <c r="BJ26" s="118">
        <f t="shared" si="5"/>
        <v>7.2239766902068722E-2</v>
      </c>
      <c r="BK26" s="118">
        <f t="shared" si="5"/>
        <v>7.2628546193948235E-2</v>
      </c>
      <c r="BL26" s="118">
        <f t="shared" si="5"/>
        <v>7.3963709189541635E-2</v>
      </c>
      <c r="BM26" s="118">
        <f t="shared" si="5"/>
        <v>7.4835182389830182E-2</v>
      </c>
      <c r="BN26" s="118">
        <f t="shared" si="5"/>
        <v>7.4815663869798099E-2</v>
      </c>
      <c r="BO26" s="118">
        <f t="shared" si="5"/>
        <v>7.5537330630151028E-2</v>
      </c>
      <c r="BP26" s="118">
        <f t="shared" si="5"/>
        <v>7.6179671296006349E-2</v>
      </c>
      <c r="BQ26" s="118">
        <f t="shared" si="5"/>
        <v>7.679192697226031E-2</v>
      </c>
      <c r="BR26" s="118">
        <f t="shared" ref="BR26:CL26" si="6">(BR25/(BR22*BQ21/100))</f>
        <v>7.8243122480981128E-2</v>
      </c>
      <c r="BS26" s="118">
        <f t="shared" si="6"/>
        <v>7.7581256709050556E-2</v>
      </c>
      <c r="BT26" s="118">
        <f t="shared" si="6"/>
        <v>7.786664927654828E-2</v>
      </c>
      <c r="BU26" s="118">
        <f t="shared" si="6"/>
        <v>7.8483689438927029E-2</v>
      </c>
      <c r="BV26" s="118">
        <f t="shared" si="6"/>
        <v>8.0122564624024714E-2</v>
      </c>
      <c r="BW26" s="118">
        <f t="shared" si="6"/>
        <v>8.1149574109317904E-2</v>
      </c>
      <c r="BX26" s="118">
        <f t="shared" si="6"/>
        <v>8.2369075892617744E-2</v>
      </c>
      <c r="BY26" s="118">
        <f t="shared" si="6"/>
        <v>8.3588984537018352E-2</v>
      </c>
      <c r="BZ26" s="118">
        <f t="shared" si="6"/>
        <v>8.5380363385917604E-2</v>
      </c>
      <c r="CA26" s="118">
        <f t="shared" si="6"/>
        <v>8.7252103623465721E-2</v>
      </c>
      <c r="CB26" s="118">
        <f t="shared" si="6"/>
        <v>8.6924692477156409E-2</v>
      </c>
      <c r="CC26" s="118">
        <f t="shared" si="6"/>
        <v>8.5426858096803879E-2</v>
      </c>
      <c r="CD26" s="118">
        <f t="shared" si="6"/>
        <v>8.4787040452854859E-2</v>
      </c>
      <c r="CE26" s="118">
        <f t="shared" si="6"/>
        <v>8.23276383047052E-2</v>
      </c>
      <c r="CF26" s="118">
        <f t="shared" si="6"/>
        <v>8.0919229114421842E-2</v>
      </c>
      <c r="CG26" s="118">
        <f t="shared" si="6"/>
        <v>8.058085428813605E-2</v>
      </c>
      <c r="CH26" s="118">
        <f t="shared" si="6"/>
        <v>8.1403011481933643E-2</v>
      </c>
      <c r="CI26" s="118">
        <f t="shared" si="6"/>
        <v>7.9984825483645272E-2</v>
      </c>
      <c r="CJ26" s="118">
        <f t="shared" si="6"/>
        <v>8.125050016128349E-2</v>
      </c>
      <c r="CK26" s="118">
        <f t="shared" si="6"/>
        <v>7.922613555008734E-2</v>
      </c>
      <c r="CL26" s="118">
        <f t="shared" si="6"/>
        <v>7.9192264222240266E-2</v>
      </c>
    </row>
    <row r="27" spans="1:92" s="54" customFormat="1" ht="12" x14ac:dyDescent="0.3">
      <c r="A27" s="80" t="s">
        <v>240</v>
      </c>
      <c r="B27" s="80" t="s">
        <v>241</v>
      </c>
      <c r="C27" s="80" t="s">
        <v>242</v>
      </c>
      <c r="D27" s="81">
        <v>4</v>
      </c>
      <c r="E27" s="81">
        <v>4.2</v>
      </c>
      <c r="F27" s="81">
        <v>4.3</v>
      </c>
      <c r="G27" s="81">
        <v>4.3</v>
      </c>
      <c r="H27" s="81">
        <v>4.4000000000000004</v>
      </c>
      <c r="I27" s="81">
        <v>4.5</v>
      </c>
      <c r="J27" s="81">
        <v>4.4000000000000004</v>
      </c>
      <c r="K27" s="81">
        <v>4.2</v>
      </c>
      <c r="L27" s="81">
        <v>4</v>
      </c>
      <c r="M27" s="81">
        <v>3.9</v>
      </c>
      <c r="N27" s="81">
        <v>3.8</v>
      </c>
      <c r="O27" s="81">
        <v>3.8</v>
      </c>
      <c r="P27" s="81">
        <v>4</v>
      </c>
      <c r="Q27" s="81">
        <v>4</v>
      </c>
      <c r="R27" s="81">
        <v>4</v>
      </c>
      <c r="S27" s="81">
        <v>4.0999999999999996</v>
      </c>
      <c r="T27" s="81">
        <v>4.3</v>
      </c>
      <c r="U27" s="81">
        <v>4.4000000000000004</v>
      </c>
      <c r="V27" s="81">
        <v>4.4000000000000004</v>
      </c>
      <c r="W27" s="81">
        <v>4.5</v>
      </c>
      <c r="X27" s="81">
        <v>4.7</v>
      </c>
      <c r="Y27" s="81">
        <v>5.2</v>
      </c>
      <c r="Z27" s="81">
        <v>6</v>
      </c>
      <c r="AA27" s="81">
        <v>6.9</v>
      </c>
      <c r="AB27" s="81">
        <v>7.7</v>
      </c>
      <c r="AC27" s="81">
        <v>8.5</v>
      </c>
      <c r="AD27" s="81">
        <v>9.3000000000000007</v>
      </c>
      <c r="AE27" s="81">
        <v>10.1</v>
      </c>
      <c r="AF27" s="81">
        <v>11.1</v>
      </c>
      <c r="AG27" s="81">
        <v>12.1</v>
      </c>
      <c r="AH27" s="81">
        <v>13</v>
      </c>
      <c r="AI27" s="81">
        <v>14.2</v>
      </c>
      <c r="AJ27" s="81">
        <v>15.5</v>
      </c>
      <c r="AK27" s="81">
        <v>17</v>
      </c>
      <c r="AL27" s="81">
        <v>17.8</v>
      </c>
      <c r="AM27" s="81">
        <v>18.5</v>
      </c>
      <c r="AN27" s="81">
        <v>19.600000000000001</v>
      </c>
      <c r="AO27" s="81">
        <v>20.8</v>
      </c>
      <c r="AP27" s="81">
        <v>22.2</v>
      </c>
      <c r="AQ27" s="81">
        <v>23.8</v>
      </c>
      <c r="AR27" s="81">
        <v>26</v>
      </c>
      <c r="AS27" s="81">
        <v>28.7</v>
      </c>
      <c r="AT27" s="81">
        <v>31.5</v>
      </c>
      <c r="AU27" s="81">
        <v>34.4</v>
      </c>
      <c r="AV27" s="81">
        <v>37.700000000000003</v>
      </c>
      <c r="AW27" s="81">
        <v>41.1</v>
      </c>
      <c r="AX27" s="81">
        <v>44.3</v>
      </c>
      <c r="AY27" s="81">
        <v>48.3</v>
      </c>
      <c r="AZ27" s="81">
        <v>53.8</v>
      </c>
      <c r="BA27" s="81">
        <v>59.7</v>
      </c>
      <c r="BB27" s="81">
        <v>65.7</v>
      </c>
      <c r="BC27" s="81">
        <v>72.400000000000006</v>
      </c>
      <c r="BD27" s="81">
        <v>81.2</v>
      </c>
      <c r="BE27" s="81">
        <v>92.3</v>
      </c>
      <c r="BF27" s="81">
        <v>105.8</v>
      </c>
      <c r="BG27" s="81">
        <v>120.5</v>
      </c>
      <c r="BH27" s="81">
        <v>136.6</v>
      </c>
      <c r="BI27" s="81">
        <v>154.80000000000001</v>
      </c>
      <c r="BJ27" s="81">
        <v>171</v>
      </c>
      <c r="BK27" s="81">
        <v>188.9</v>
      </c>
      <c r="BL27" s="81">
        <v>210.6</v>
      </c>
      <c r="BM27" s="81">
        <v>229.4</v>
      </c>
      <c r="BN27" s="81">
        <v>247.3</v>
      </c>
      <c r="BO27" s="81">
        <v>264.5</v>
      </c>
      <c r="BP27" s="81">
        <v>283.3</v>
      </c>
      <c r="BQ27" s="81">
        <v>302.60000000000002</v>
      </c>
      <c r="BR27" s="81">
        <v>319.5</v>
      </c>
      <c r="BS27" s="81">
        <v>334.8</v>
      </c>
      <c r="BT27" s="81">
        <v>354.2</v>
      </c>
      <c r="BU27" s="81">
        <v>379.1</v>
      </c>
      <c r="BV27" s="81">
        <v>408.8</v>
      </c>
      <c r="BW27" s="81">
        <v>443</v>
      </c>
      <c r="BX27" s="81">
        <v>482.4</v>
      </c>
      <c r="BY27" s="81">
        <v>526.70000000000005</v>
      </c>
      <c r="BZ27" s="81">
        <v>575.29999999999995</v>
      </c>
      <c r="CA27" s="81">
        <v>627.4</v>
      </c>
      <c r="CB27" s="81">
        <v>668.7</v>
      </c>
      <c r="CC27" s="81">
        <v>691.8</v>
      </c>
      <c r="CD27" s="81">
        <v>707.1</v>
      </c>
      <c r="CE27" s="116">
        <v>727.9</v>
      </c>
      <c r="CF27" s="116">
        <v>754.4</v>
      </c>
      <c r="CG27" s="116">
        <v>788.7</v>
      </c>
      <c r="CH27" s="116">
        <v>831.9</v>
      </c>
      <c r="CI27" s="116">
        <v>868.3</v>
      </c>
      <c r="CJ27" s="116">
        <v>884.7</v>
      </c>
      <c r="CK27" s="116">
        <v>888.7</v>
      </c>
      <c r="CL27" s="116">
        <v>908.6</v>
      </c>
    </row>
    <row r="28" spans="1:92" s="54" customFormat="1" ht="12" x14ac:dyDescent="0.3">
      <c r="A28" s="80" t="s">
        <v>243</v>
      </c>
      <c r="B28" s="80" t="s">
        <v>633</v>
      </c>
      <c r="C28" s="80" t="s">
        <v>244</v>
      </c>
      <c r="D28" s="81">
        <v>7.3</v>
      </c>
      <c r="E28" s="81">
        <v>7.3</v>
      </c>
      <c r="F28" s="81">
        <v>6.9</v>
      </c>
      <c r="G28" s="81">
        <v>7</v>
      </c>
      <c r="H28" s="81">
        <v>7.7</v>
      </c>
      <c r="I28" s="81">
        <v>6.4</v>
      </c>
      <c r="J28" s="81">
        <v>4</v>
      </c>
      <c r="K28" s="81">
        <v>2.4</v>
      </c>
      <c r="L28" s="81">
        <v>2.2000000000000002</v>
      </c>
      <c r="M28" s="81">
        <v>2.7</v>
      </c>
      <c r="N28" s="81">
        <v>3.2</v>
      </c>
      <c r="O28" s="81">
        <v>4.0999999999999996</v>
      </c>
      <c r="P28" s="81">
        <v>5.4</v>
      </c>
      <c r="Q28" s="81">
        <v>4.0999999999999996</v>
      </c>
      <c r="R28" s="81">
        <v>4.4000000000000004</v>
      </c>
      <c r="S28" s="81">
        <v>5.6</v>
      </c>
      <c r="T28" s="81">
        <v>6.8</v>
      </c>
      <c r="U28" s="81">
        <v>5.2</v>
      </c>
      <c r="V28" s="81">
        <v>4.5</v>
      </c>
      <c r="W28" s="81">
        <v>5.8</v>
      </c>
      <c r="X28" s="81">
        <v>8.1</v>
      </c>
      <c r="Y28" s="81">
        <v>12</v>
      </c>
      <c r="Z28" s="81">
        <v>15.7</v>
      </c>
      <c r="AA28" s="81">
        <v>17.8</v>
      </c>
      <c r="AB28" s="81">
        <v>16.2</v>
      </c>
      <c r="AC28" s="81">
        <v>17.8</v>
      </c>
      <c r="AD28" s="81">
        <v>21.7</v>
      </c>
      <c r="AE28" s="81">
        <v>22.7</v>
      </c>
      <c r="AF28" s="81">
        <v>24.8</v>
      </c>
      <c r="AG28" s="81">
        <v>24.1</v>
      </c>
      <c r="AH28" s="81">
        <v>26.6</v>
      </c>
      <c r="AI28" s="81">
        <v>32.200000000000003</v>
      </c>
      <c r="AJ28" s="81">
        <v>34.9</v>
      </c>
      <c r="AK28" s="81">
        <v>30.2</v>
      </c>
      <c r="AL28" s="81">
        <v>32.700000000000003</v>
      </c>
      <c r="AM28" s="81">
        <v>35.6</v>
      </c>
      <c r="AN28" s="81">
        <v>35.200000000000003</v>
      </c>
      <c r="AO28" s="81">
        <v>38.299999999999997</v>
      </c>
      <c r="AP28" s="81">
        <v>40.4</v>
      </c>
      <c r="AQ28" s="81">
        <v>46.1</v>
      </c>
      <c r="AR28" s="81">
        <v>55.1</v>
      </c>
      <c r="AS28" s="81">
        <v>63.8</v>
      </c>
      <c r="AT28" s="81">
        <v>64.900000000000006</v>
      </c>
      <c r="AU28" s="81">
        <v>71</v>
      </c>
      <c r="AV28" s="81">
        <v>79.2</v>
      </c>
      <c r="AW28" s="81">
        <v>81.400000000000006</v>
      </c>
      <c r="AX28" s="81">
        <v>84.6</v>
      </c>
      <c r="AY28" s="81">
        <v>96.2</v>
      </c>
      <c r="AZ28" s="81">
        <v>114.8</v>
      </c>
      <c r="BA28" s="81">
        <v>131.19999999999999</v>
      </c>
      <c r="BB28" s="81">
        <v>134</v>
      </c>
      <c r="BC28" s="81">
        <v>148.6</v>
      </c>
      <c r="BD28" s="81">
        <v>177.4</v>
      </c>
      <c r="BE28" s="81">
        <v>218.2</v>
      </c>
      <c r="BF28" s="81">
        <v>259.5</v>
      </c>
      <c r="BG28" s="81">
        <v>284.60000000000002</v>
      </c>
      <c r="BH28" s="81">
        <v>324.39999999999998</v>
      </c>
      <c r="BI28" s="81">
        <v>327.10000000000002</v>
      </c>
      <c r="BJ28" s="81">
        <v>323.7</v>
      </c>
      <c r="BK28" s="81">
        <v>383.6</v>
      </c>
      <c r="BL28" s="81">
        <v>412.5</v>
      </c>
      <c r="BM28" s="81">
        <v>402.3</v>
      </c>
      <c r="BN28" s="81">
        <v>403.3</v>
      </c>
      <c r="BO28" s="81">
        <v>433.2</v>
      </c>
      <c r="BP28" s="81">
        <v>471.5</v>
      </c>
      <c r="BQ28" s="81">
        <v>502.1</v>
      </c>
      <c r="BR28" s="81">
        <v>482.4</v>
      </c>
      <c r="BS28" s="81">
        <v>495.3</v>
      </c>
      <c r="BT28" s="81">
        <v>545.4</v>
      </c>
      <c r="BU28" s="81">
        <v>600.70000000000005</v>
      </c>
      <c r="BV28" s="81">
        <v>674.8</v>
      </c>
      <c r="BW28" s="81">
        <v>735.2</v>
      </c>
      <c r="BX28" s="81">
        <v>800</v>
      </c>
      <c r="BY28" s="81">
        <v>871</v>
      </c>
      <c r="BZ28" s="81">
        <v>946.3</v>
      </c>
      <c r="CA28" s="81">
        <v>1037.8</v>
      </c>
      <c r="CB28" s="81">
        <v>991.7</v>
      </c>
      <c r="CC28" s="81">
        <v>885.1</v>
      </c>
      <c r="CD28" s="81">
        <v>891.8</v>
      </c>
      <c r="CE28" s="54">
        <v>960</v>
      </c>
      <c r="CF28" s="54">
        <v>1065.2</v>
      </c>
      <c r="CG28" s="54">
        <v>1193</v>
      </c>
      <c r="CH28" s="54">
        <v>1295.3</v>
      </c>
      <c r="CI28" s="54">
        <v>1311.5</v>
      </c>
      <c r="CJ28" s="54">
        <v>1049.8</v>
      </c>
      <c r="CK28" s="54">
        <v>1063.9000000000001</v>
      </c>
      <c r="CL28" s="54">
        <v>1182.4000000000001</v>
      </c>
      <c r="CM28" s="333">
        <f>CL28*(1585.5/1456.2)</f>
        <v>1287.3885455294603</v>
      </c>
      <c r="CN28" s="334">
        <f>CM28*(1656.6/1585.5)</f>
        <v>1345.1200659250103</v>
      </c>
    </row>
    <row r="29" spans="1:92" s="54" customFormat="1" ht="12" x14ac:dyDescent="0.3">
      <c r="A29" s="80" t="s">
        <v>245</v>
      </c>
      <c r="B29" s="80" t="s">
        <v>246</v>
      </c>
      <c r="C29" s="80" t="s">
        <v>247</v>
      </c>
      <c r="D29" s="81">
        <v>4.3410000000000002</v>
      </c>
      <c r="E29" s="81">
        <v>4.3689999999999998</v>
      </c>
      <c r="F29" s="81">
        <v>4.0999999999999996</v>
      </c>
      <c r="G29" s="81">
        <v>4.202</v>
      </c>
      <c r="H29" s="81">
        <v>4.6859999999999999</v>
      </c>
      <c r="I29" s="81">
        <v>4.0750000000000002</v>
      </c>
      <c r="J29" s="81">
        <v>2.74</v>
      </c>
      <c r="K29" s="81">
        <v>1.776</v>
      </c>
      <c r="L29" s="81">
        <v>1.663</v>
      </c>
      <c r="M29" s="81">
        <v>2.008</v>
      </c>
      <c r="N29" s="81">
        <v>2.29</v>
      </c>
      <c r="O29" s="81">
        <v>3.0059999999999998</v>
      </c>
      <c r="P29" s="81">
        <v>3.6269999999999998</v>
      </c>
      <c r="Q29" s="81">
        <v>2.7189999999999999</v>
      </c>
      <c r="R29" s="81">
        <v>2.9790000000000001</v>
      </c>
      <c r="S29" s="81">
        <v>3.6520000000000001</v>
      </c>
      <c r="T29" s="81">
        <v>4.1379999999999999</v>
      </c>
      <c r="U29" s="81">
        <v>2.87</v>
      </c>
      <c r="V29" s="81">
        <v>2.375</v>
      </c>
      <c r="W29" s="81">
        <v>2.9990000000000001</v>
      </c>
      <c r="X29" s="81">
        <v>4.1059999999999999</v>
      </c>
      <c r="Y29" s="81">
        <v>5.6580000000000004</v>
      </c>
      <c r="Z29" s="81">
        <v>6.3280000000000003</v>
      </c>
      <c r="AA29" s="81">
        <v>6.593</v>
      </c>
      <c r="AB29" s="81">
        <v>5.8280000000000003</v>
      </c>
      <c r="AC29" s="81">
        <v>6.25</v>
      </c>
      <c r="AD29" s="81">
        <v>6.9269999999999996</v>
      </c>
      <c r="AE29" s="81">
        <v>7.0970000000000004</v>
      </c>
      <c r="AF29" s="81">
        <v>7.6159999999999997</v>
      </c>
      <c r="AG29" s="81">
        <v>7.3559999999999999</v>
      </c>
      <c r="AH29" s="81">
        <v>8.0269999999999992</v>
      </c>
      <c r="AI29" s="81">
        <v>9.0220000000000002</v>
      </c>
      <c r="AJ29" s="81">
        <v>9.2560000000000002</v>
      </c>
      <c r="AK29" s="81">
        <v>7.931</v>
      </c>
      <c r="AL29" s="81">
        <v>8.3889999999999993</v>
      </c>
      <c r="AM29" s="81">
        <v>9.1329999999999991</v>
      </c>
      <c r="AN29" s="81">
        <v>9.0640000000000001</v>
      </c>
      <c r="AO29" s="81">
        <v>9.8840000000000003</v>
      </c>
      <c r="AP29" s="81">
        <v>10.409000000000001</v>
      </c>
      <c r="AQ29" s="81">
        <v>11.802</v>
      </c>
      <c r="AR29" s="81">
        <v>13.97</v>
      </c>
      <c r="AS29" s="81">
        <v>15.96</v>
      </c>
      <c r="AT29" s="81">
        <v>15.875</v>
      </c>
      <c r="AU29" s="81">
        <v>16.812000000000001</v>
      </c>
      <c r="AV29" s="81">
        <v>18.042000000000002</v>
      </c>
      <c r="AW29" s="81">
        <v>17.712</v>
      </c>
      <c r="AX29" s="81">
        <v>17.616</v>
      </c>
      <c r="AY29" s="81">
        <v>19.428999999999998</v>
      </c>
      <c r="AZ29" s="81">
        <v>22.274999999999999</v>
      </c>
      <c r="BA29" s="81">
        <v>23.143000000000001</v>
      </c>
      <c r="BB29" s="81">
        <v>20.797000000000001</v>
      </c>
      <c r="BC29" s="81">
        <v>21.824000000000002</v>
      </c>
      <c r="BD29" s="81">
        <v>24.452000000000002</v>
      </c>
      <c r="BE29" s="81">
        <v>28.338000000000001</v>
      </c>
      <c r="BF29" s="81">
        <v>31.234999999999999</v>
      </c>
      <c r="BG29" s="81">
        <v>31.591999999999999</v>
      </c>
      <c r="BH29" s="81">
        <v>32.878</v>
      </c>
      <c r="BI29" s="81">
        <v>31.439</v>
      </c>
      <c r="BJ29" s="81">
        <v>31.457000000000001</v>
      </c>
      <c r="BK29" s="81">
        <v>37.465000000000003</v>
      </c>
      <c r="BL29" s="81">
        <v>40.149000000000001</v>
      </c>
      <c r="BM29" s="81">
        <v>38.792999999999999</v>
      </c>
      <c r="BN29" s="81">
        <v>38.661999999999999</v>
      </c>
      <c r="BO29" s="81">
        <v>40.552</v>
      </c>
      <c r="BP29" s="81">
        <v>43.32</v>
      </c>
      <c r="BQ29" s="81">
        <v>45.39</v>
      </c>
      <c r="BR29" s="81">
        <v>43.07</v>
      </c>
      <c r="BS29" s="81">
        <v>44.664999999999999</v>
      </c>
      <c r="BT29" s="81">
        <v>49.201000000000001</v>
      </c>
      <c r="BU29" s="81">
        <v>54.003999999999998</v>
      </c>
      <c r="BV29" s="81">
        <v>60.448999999999998</v>
      </c>
      <c r="BW29" s="81">
        <v>66.938000000000002</v>
      </c>
      <c r="BX29" s="81">
        <v>74.088999999999999</v>
      </c>
      <c r="BY29" s="81">
        <v>82.811000000000007</v>
      </c>
      <c r="BZ29" s="81">
        <v>91.39</v>
      </c>
      <c r="CA29" s="81">
        <v>100.294</v>
      </c>
      <c r="CB29" s="81">
        <v>96.265000000000001</v>
      </c>
      <c r="CC29" s="81">
        <v>86.284999999999997</v>
      </c>
      <c r="CD29" s="81">
        <v>87.116</v>
      </c>
      <c r="CE29" s="54">
        <v>92.709000000000003</v>
      </c>
      <c r="CF29" s="54">
        <v>100</v>
      </c>
      <c r="CG29" s="54">
        <v>108.11499999999999</v>
      </c>
      <c r="CH29" s="54">
        <v>115.008</v>
      </c>
      <c r="CI29" s="54">
        <v>114.026</v>
      </c>
      <c r="CJ29" s="54">
        <v>92.515000000000001</v>
      </c>
      <c r="CK29" s="54">
        <v>94.233000000000004</v>
      </c>
      <c r="CL29" s="54">
        <v>102.621</v>
      </c>
      <c r="CM29" s="81">
        <f>CL29*(120.696/112.46)</f>
        <v>110.13644154365997</v>
      </c>
      <c r="CN29" s="100">
        <f>CM29*(124.708/120.696)</f>
        <v>113.79743613729325</v>
      </c>
    </row>
    <row r="30" spans="1:92" s="54" customFormat="1" ht="12" x14ac:dyDescent="0.3">
      <c r="A30" s="80" t="s">
        <v>248</v>
      </c>
      <c r="B30" s="80" t="s">
        <v>349</v>
      </c>
      <c r="C30" s="80" t="s">
        <v>249</v>
      </c>
      <c r="D30" s="81">
        <f>(D29/100)*$CF$28</f>
        <v>46.240332000000009</v>
      </c>
      <c r="E30" s="81">
        <f t="shared" ref="E30:BP30" si="7">(E29/100)*$CF$28</f>
        <v>46.538588000000004</v>
      </c>
      <c r="F30" s="81">
        <f t="shared" si="7"/>
        <v>43.673199999999994</v>
      </c>
      <c r="G30" s="81">
        <f t="shared" si="7"/>
        <v>44.759704000000006</v>
      </c>
      <c r="H30" s="81">
        <f t="shared" si="7"/>
        <v>49.915272000000002</v>
      </c>
      <c r="I30" s="81">
        <f t="shared" si="7"/>
        <v>43.4069</v>
      </c>
      <c r="J30" s="81">
        <f t="shared" si="7"/>
        <v>29.186480000000003</v>
      </c>
      <c r="K30" s="81">
        <f t="shared" si="7"/>
        <v>18.917952000000003</v>
      </c>
      <c r="L30" s="81">
        <f t="shared" si="7"/>
        <v>17.714275999999998</v>
      </c>
      <c r="M30" s="81">
        <f t="shared" si="7"/>
        <v>21.389216000000001</v>
      </c>
      <c r="N30" s="81">
        <f t="shared" si="7"/>
        <v>24.393080000000001</v>
      </c>
      <c r="O30" s="81">
        <f t="shared" si="7"/>
        <v>32.019911999999998</v>
      </c>
      <c r="P30" s="81">
        <f t="shared" si="7"/>
        <v>38.634803999999995</v>
      </c>
      <c r="Q30" s="81">
        <f t="shared" si="7"/>
        <v>28.962788</v>
      </c>
      <c r="R30" s="81">
        <f t="shared" si="7"/>
        <v>31.732308000000003</v>
      </c>
      <c r="S30" s="81">
        <f t="shared" si="7"/>
        <v>38.901104000000004</v>
      </c>
      <c r="T30" s="81">
        <f t="shared" si="7"/>
        <v>44.077976</v>
      </c>
      <c r="U30" s="81">
        <f t="shared" si="7"/>
        <v>30.57124</v>
      </c>
      <c r="V30" s="81">
        <f t="shared" si="7"/>
        <v>25.298500000000001</v>
      </c>
      <c r="W30" s="81">
        <f t="shared" si="7"/>
        <v>31.945348000000003</v>
      </c>
      <c r="X30" s="81">
        <f t="shared" si="7"/>
        <v>43.737112000000003</v>
      </c>
      <c r="Y30" s="81">
        <f t="shared" si="7"/>
        <v>60.269016000000008</v>
      </c>
      <c r="Z30" s="81">
        <f t="shared" si="7"/>
        <v>67.405856</v>
      </c>
      <c r="AA30" s="81">
        <f t="shared" si="7"/>
        <v>70.228636000000009</v>
      </c>
      <c r="AB30" s="81">
        <f t="shared" si="7"/>
        <v>62.079856000000007</v>
      </c>
      <c r="AC30" s="81">
        <f t="shared" si="7"/>
        <v>66.575000000000003</v>
      </c>
      <c r="AD30" s="81">
        <f t="shared" si="7"/>
        <v>73.786404000000005</v>
      </c>
      <c r="AE30" s="81">
        <f t="shared" si="7"/>
        <v>75.597244000000003</v>
      </c>
      <c r="AF30" s="81">
        <f t="shared" si="7"/>
        <v>81.125631999999996</v>
      </c>
      <c r="AG30" s="81">
        <f t="shared" si="7"/>
        <v>78.35611200000001</v>
      </c>
      <c r="AH30" s="81">
        <f t="shared" si="7"/>
        <v>85.503603999999996</v>
      </c>
      <c r="AI30" s="81">
        <f t="shared" si="7"/>
        <v>96.102344000000016</v>
      </c>
      <c r="AJ30" s="81">
        <f t="shared" si="7"/>
        <v>98.594912000000008</v>
      </c>
      <c r="AK30" s="81">
        <f t="shared" si="7"/>
        <v>84.481012000000007</v>
      </c>
      <c r="AL30" s="81">
        <f t="shared" si="7"/>
        <v>89.359628000000001</v>
      </c>
      <c r="AM30" s="81">
        <f t="shared" si="7"/>
        <v>97.284716000000003</v>
      </c>
      <c r="AN30" s="81">
        <f t="shared" si="7"/>
        <v>96.549728000000002</v>
      </c>
      <c r="AO30" s="81">
        <f t="shared" si="7"/>
        <v>105.284368</v>
      </c>
      <c r="AP30" s="81">
        <f t="shared" si="7"/>
        <v>110.87666800000001</v>
      </c>
      <c r="AQ30" s="81">
        <f t="shared" si="7"/>
        <v>125.714904</v>
      </c>
      <c r="AR30" s="81">
        <f t="shared" si="7"/>
        <v>148.80844000000002</v>
      </c>
      <c r="AS30" s="81">
        <f t="shared" si="7"/>
        <v>170.00592000000003</v>
      </c>
      <c r="AT30" s="81">
        <f t="shared" si="7"/>
        <v>169.10050000000001</v>
      </c>
      <c r="AU30" s="81">
        <f t="shared" si="7"/>
        <v>179.08142400000003</v>
      </c>
      <c r="AV30" s="81">
        <f t="shared" si="7"/>
        <v>192.18338400000005</v>
      </c>
      <c r="AW30" s="81">
        <f t="shared" si="7"/>
        <v>188.66822400000001</v>
      </c>
      <c r="AX30" s="81">
        <f t="shared" si="7"/>
        <v>187.64563199999998</v>
      </c>
      <c r="AY30" s="81">
        <f t="shared" si="7"/>
        <v>206.957708</v>
      </c>
      <c r="AZ30" s="81">
        <f t="shared" si="7"/>
        <v>237.27329999999998</v>
      </c>
      <c r="BA30" s="81">
        <f t="shared" si="7"/>
        <v>246.51923600000001</v>
      </c>
      <c r="BB30" s="81">
        <f t="shared" si="7"/>
        <v>221.52964400000002</v>
      </c>
      <c r="BC30" s="81">
        <f t="shared" si="7"/>
        <v>232.46924800000002</v>
      </c>
      <c r="BD30" s="81">
        <f t="shared" si="7"/>
        <v>260.46270400000003</v>
      </c>
      <c r="BE30" s="81">
        <f t="shared" si="7"/>
        <v>301.85637600000001</v>
      </c>
      <c r="BF30" s="81">
        <f t="shared" si="7"/>
        <v>332.71522000000004</v>
      </c>
      <c r="BG30" s="81">
        <f t="shared" si="7"/>
        <v>336.51798400000001</v>
      </c>
      <c r="BH30" s="81">
        <f t="shared" si="7"/>
        <v>350.21645600000005</v>
      </c>
      <c r="BI30" s="81">
        <f t="shared" si="7"/>
        <v>334.88822800000003</v>
      </c>
      <c r="BJ30" s="81">
        <f t="shared" si="7"/>
        <v>335.07996400000002</v>
      </c>
      <c r="BK30" s="81">
        <f t="shared" si="7"/>
        <v>399.07718000000006</v>
      </c>
      <c r="BL30" s="81">
        <f t="shared" si="7"/>
        <v>427.66714800000005</v>
      </c>
      <c r="BM30" s="81">
        <f t="shared" si="7"/>
        <v>413.22303600000004</v>
      </c>
      <c r="BN30" s="81">
        <f t="shared" si="7"/>
        <v>411.82762399999996</v>
      </c>
      <c r="BO30" s="81">
        <f t="shared" si="7"/>
        <v>431.95990399999999</v>
      </c>
      <c r="BP30" s="81">
        <f t="shared" si="7"/>
        <v>461.44464000000005</v>
      </c>
      <c r="BQ30" s="81">
        <f t="shared" ref="BQ30:CN30" si="8">(BQ29/100)*$CF$28</f>
        <v>483.49428000000006</v>
      </c>
      <c r="BR30" s="81">
        <f t="shared" si="8"/>
        <v>458.78164000000004</v>
      </c>
      <c r="BS30" s="81">
        <f t="shared" si="8"/>
        <v>475.77158000000003</v>
      </c>
      <c r="BT30" s="81">
        <f t="shared" si="8"/>
        <v>524.08905200000004</v>
      </c>
      <c r="BU30" s="81">
        <f t="shared" si="8"/>
        <v>575.25060799999994</v>
      </c>
      <c r="BV30" s="81">
        <f t="shared" si="8"/>
        <v>643.90274799999997</v>
      </c>
      <c r="BW30" s="81">
        <f t="shared" si="8"/>
        <v>713.02357600000005</v>
      </c>
      <c r="BX30" s="81">
        <f t="shared" si="8"/>
        <v>789.19602799999996</v>
      </c>
      <c r="BY30" s="81">
        <f t="shared" si="8"/>
        <v>882.10277200000019</v>
      </c>
      <c r="BZ30" s="81">
        <f t="shared" si="8"/>
        <v>973.48628000000008</v>
      </c>
      <c r="CA30" s="81">
        <f t="shared" si="8"/>
        <v>1068.331688</v>
      </c>
      <c r="CB30" s="81">
        <f t="shared" si="8"/>
        <v>1025.4147800000001</v>
      </c>
      <c r="CC30" s="81">
        <f t="shared" si="8"/>
        <v>919.10782000000006</v>
      </c>
      <c r="CD30" s="81">
        <f t="shared" si="8"/>
        <v>927.95963200000006</v>
      </c>
      <c r="CE30" s="81">
        <f t="shared" si="8"/>
        <v>987.53626800000018</v>
      </c>
      <c r="CF30" s="81">
        <f t="shared" si="8"/>
        <v>1065.2</v>
      </c>
      <c r="CG30" s="81">
        <f t="shared" si="8"/>
        <v>1151.6409800000001</v>
      </c>
      <c r="CH30" s="81">
        <f t="shared" si="8"/>
        <v>1225.065216</v>
      </c>
      <c r="CI30" s="81">
        <f t="shared" si="8"/>
        <v>1214.6049520000001</v>
      </c>
      <c r="CJ30" s="81">
        <f t="shared" si="8"/>
        <v>985.46978000000013</v>
      </c>
      <c r="CK30" s="81">
        <f t="shared" si="8"/>
        <v>1003.7699160000001</v>
      </c>
      <c r="CL30" s="81">
        <f t="shared" si="8"/>
        <v>1093.118892</v>
      </c>
      <c r="CM30" s="81">
        <f t="shared" si="8"/>
        <v>1173.1733753230662</v>
      </c>
      <c r="CN30" s="81">
        <f t="shared" si="8"/>
        <v>1212.1702897344478</v>
      </c>
    </row>
    <row r="31" spans="1:92" s="54" customFormat="1" ht="12" x14ac:dyDescent="0.3">
      <c r="A31" s="80" t="s">
        <v>250</v>
      </c>
      <c r="B31" s="80" t="s">
        <v>344</v>
      </c>
      <c r="C31" s="80" t="s">
        <v>341</v>
      </c>
      <c r="D31" s="81">
        <f>(D28/D30)*100</f>
        <v>15.787083881664168</v>
      </c>
      <c r="E31" s="81">
        <f t="shared" ref="E31:BP31" si="9">(E28/E30)*100</f>
        <v>15.685907789037346</v>
      </c>
      <c r="F31" s="81">
        <f t="shared" si="9"/>
        <v>15.799162873341091</v>
      </c>
      <c r="G31" s="81">
        <f t="shared" si="9"/>
        <v>15.639066782032337</v>
      </c>
      <c r="H31" s="81">
        <f t="shared" si="9"/>
        <v>15.426140520680725</v>
      </c>
      <c r="I31" s="81">
        <f t="shared" si="9"/>
        <v>14.744199654893578</v>
      </c>
      <c r="J31" s="81">
        <f t="shared" si="9"/>
        <v>13.704975728487984</v>
      </c>
      <c r="K31" s="81">
        <f t="shared" si="9"/>
        <v>12.686362667586849</v>
      </c>
      <c r="L31" s="81">
        <f t="shared" si="9"/>
        <v>12.419361649327358</v>
      </c>
      <c r="M31" s="81">
        <f t="shared" si="9"/>
        <v>12.623183570636717</v>
      </c>
      <c r="N31" s="81">
        <f t="shared" si="9"/>
        <v>13.1184745837754</v>
      </c>
      <c r="O31" s="81">
        <f t="shared" si="9"/>
        <v>12.804532379726716</v>
      </c>
      <c r="P31" s="81">
        <f t="shared" si="9"/>
        <v>13.977034800021249</v>
      </c>
      <c r="Q31" s="81">
        <f t="shared" si="9"/>
        <v>14.156095746031077</v>
      </c>
      <c r="R31" s="81">
        <f t="shared" si="9"/>
        <v>13.865994241578647</v>
      </c>
      <c r="S31" s="81">
        <f t="shared" si="9"/>
        <v>14.395478339123741</v>
      </c>
      <c r="T31" s="81">
        <f t="shared" si="9"/>
        <v>15.427205641202763</v>
      </c>
      <c r="U31" s="81">
        <f t="shared" si="9"/>
        <v>17.009450712499724</v>
      </c>
      <c r="V31" s="81">
        <f t="shared" si="9"/>
        <v>17.787615866553352</v>
      </c>
      <c r="W31" s="81">
        <f t="shared" si="9"/>
        <v>18.15600819249175</v>
      </c>
      <c r="X31" s="81">
        <f t="shared" si="9"/>
        <v>18.519741312595123</v>
      </c>
      <c r="Y31" s="81">
        <f t="shared" si="9"/>
        <v>19.910728258778938</v>
      </c>
      <c r="Z31" s="81">
        <f t="shared" si="9"/>
        <v>23.291744859675099</v>
      </c>
      <c r="AA31" s="81">
        <f t="shared" si="9"/>
        <v>25.345786297202181</v>
      </c>
      <c r="AB31" s="81">
        <f t="shared" si="9"/>
        <v>26.095421355358813</v>
      </c>
      <c r="AC31" s="81">
        <f t="shared" si="9"/>
        <v>26.736763049192643</v>
      </c>
      <c r="AD31" s="81">
        <f t="shared" si="9"/>
        <v>29.409212027733457</v>
      </c>
      <c r="AE31" s="81">
        <f t="shared" si="9"/>
        <v>30.027549681573046</v>
      </c>
      <c r="AF31" s="81">
        <f t="shared" si="9"/>
        <v>30.569869705298569</v>
      </c>
      <c r="AG31" s="81">
        <f t="shared" si="9"/>
        <v>30.757013569024455</v>
      </c>
      <c r="AH31" s="81">
        <f t="shared" si="9"/>
        <v>31.109799769375808</v>
      </c>
      <c r="AI31" s="81">
        <f t="shared" si="9"/>
        <v>33.505946535497614</v>
      </c>
      <c r="AJ31" s="81">
        <f t="shared" si="9"/>
        <v>35.397364115503237</v>
      </c>
      <c r="AK31" s="81">
        <f t="shared" si="9"/>
        <v>35.747677833215349</v>
      </c>
      <c r="AL31" s="81">
        <f t="shared" si="9"/>
        <v>36.593706500210587</v>
      </c>
      <c r="AM31" s="81">
        <f t="shared" si="9"/>
        <v>36.593620728666153</v>
      </c>
      <c r="AN31" s="81">
        <f t="shared" si="9"/>
        <v>36.45789659811367</v>
      </c>
      <c r="AO31" s="81">
        <f t="shared" si="9"/>
        <v>36.377670044996613</v>
      </c>
      <c r="AP31" s="81">
        <f t="shared" si="9"/>
        <v>36.436881382474439</v>
      </c>
      <c r="AQ31" s="81">
        <f t="shared" si="9"/>
        <v>36.670274194378734</v>
      </c>
      <c r="AR31" s="81">
        <f t="shared" si="9"/>
        <v>37.027469678467156</v>
      </c>
      <c r="AS31" s="81">
        <f t="shared" si="9"/>
        <v>37.528104903640994</v>
      </c>
      <c r="AT31" s="81">
        <f t="shared" si="9"/>
        <v>38.379543525891407</v>
      </c>
      <c r="AU31" s="81">
        <f t="shared" si="9"/>
        <v>39.646769840293423</v>
      </c>
      <c r="AV31" s="81">
        <f t="shared" si="9"/>
        <v>41.210638688722426</v>
      </c>
      <c r="AW31" s="81">
        <f t="shared" si="9"/>
        <v>43.144520192229088</v>
      </c>
      <c r="AX31" s="81">
        <f t="shared" si="9"/>
        <v>45.084982313896873</v>
      </c>
      <c r="AY31" s="81">
        <f t="shared" si="9"/>
        <v>46.482926840299186</v>
      </c>
      <c r="AZ31" s="81">
        <f t="shared" si="9"/>
        <v>48.383024975840101</v>
      </c>
      <c r="BA31" s="81">
        <f t="shared" si="9"/>
        <v>53.220998948739229</v>
      </c>
      <c r="BB31" s="81">
        <f t="shared" si="9"/>
        <v>60.488518638164734</v>
      </c>
      <c r="BC31" s="81">
        <f t="shared" si="9"/>
        <v>63.922433301801696</v>
      </c>
      <c r="BD31" s="81">
        <f t="shared" si="9"/>
        <v>68.109559363247641</v>
      </c>
      <c r="BE31" s="81">
        <f t="shared" si="9"/>
        <v>72.286033143126318</v>
      </c>
      <c r="BF31" s="81">
        <f t="shared" si="9"/>
        <v>77.994628559523065</v>
      </c>
      <c r="BG31" s="81">
        <f t="shared" si="9"/>
        <v>84.572003141442806</v>
      </c>
      <c r="BH31" s="81">
        <f t="shared" si="9"/>
        <v>92.6284286310064</v>
      </c>
      <c r="BI31" s="81">
        <f t="shared" si="9"/>
        <v>97.674379882950078</v>
      </c>
      <c r="BJ31" s="81">
        <f t="shared" si="9"/>
        <v>96.603806487218066</v>
      </c>
      <c r="BK31" s="81">
        <f t="shared" si="9"/>
        <v>96.121757701104329</v>
      </c>
      <c r="BL31" s="81">
        <f t="shared" si="9"/>
        <v>96.453515760813119</v>
      </c>
      <c r="BM31" s="81">
        <f t="shared" si="9"/>
        <v>97.356624619543226</v>
      </c>
      <c r="BN31" s="81">
        <f t="shared" si="9"/>
        <v>97.929322001964607</v>
      </c>
      <c r="BO31" s="81">
        <f t="shared" si="9"/>
        <v>100.28708590508437</v>
      </c>
      <c r="BP31" s="81">
        <f t="shared" si="9"/>
        <v>102.17910430165576</v>
      </c>
      <c r="BQ31" s="81">
        <f t="shared" ref="BQ31:CN31" si="10">(BQ28/BQ30)*100</f>
        <v>103.8481778936454</v>
      </c>
      <c r="BR31" s="81">
        <f t="shared" si="10"/>
        <v>105.1480612868466</v>
      </c>
      <c r="BS31" s="81">
        <f t="shared" si="10"/>
        <v>104.1045789241972</v>
      </c>
      <c r="BT31" s="81">
        <f t="shared" si="10"/>
        <v>104.06628375820375</v>
      </c>
      <c r="BU31" s="81">
        <f t="shared" si="10"/>
        <v>104.42405303811519</v>
      </c>
      <c r="BV31" s="81">
        <f t="shared" si="10"/>
        <v>104.79843456111482</v>
      </c>
      <c r="BW31" s="81">
        <f t="shared" si="10"/>
        <v>103.11019505475652</v>
      </c>
      <c r="BX31" s="81">
        <f t="shared" si="10"/>
        <v>101.36898458895945</v>
      </c>
      <c r="BY31" s="81">
        <f t="shared" si="10"/>
        <v>98.741328975213762</v>
      </c>
      <c r="BZ31" s="81">
        <f t="shared" si="10"/>
        <v>97.207327873177618</v>
      </c>
      <c r="CA31" s="81">
        <f t="shared" si="10"/>
        <v>97.14211528657755</v>
      </c>
      <c r="CB31" s="81">
        <f t="shared" si="10"/>
        <v>96.71208367018076</v>
      </c>
      <c r="CC31" s="81">
        <f t="shared" si="10"/>
        <v>96.299909623225702</v>
      </c>
      <c r="CD31" s="81">
        <f t="shared" si="10"/>
        <v>96.103318425385979</v>
      </c>
      <c r="CE31" s="81">
        <f t="shared" si="10"/>
        <v>97.21161957365193</v>
      </c>
      <c r="CF31" s="81">
        <f t="shared" si="10"/>
        <v>100</v>
      </c>
      <c r="CG31" s="81">
        <f t="shared" si="10"/>
        <v>103.5913119382049</v>
      </c>
      <c r="CH31" s="81">
        <f t="shared" si="10"/>
        <v>105.7331465364208</v>
      </c>
      <c r="CI31" s="81">
        <f t="shared" si="10"/>
        <v>107.97749489168886</v>
      </c>
      <c r="CJ31" s="81">
        <f t="shared" si="10"/>
        <v>106.52787343717426</v>
      </c>
      <c r="CK31" s="81">
        <f t="shared" si="10"/>
        <v>105.99042500094215</v>
      </c>
      <c r="CL31" s="81">
        <f t="shared" si="10"/>
        <v>108.16755694676989</v>
      </c>
      <c r="CM31" s="81">
        <f t="shared" si="10"/>
        <v>109.73557469073501</v>
      </c>
      <c r="CN31" s="81">
        <f t="shared" si="10"/>
        <v>110.96791245557486</v>
      </c>
    </row>
    <row r="32" spans="1:92" s="83" customFormat="1" ht="6.5" customHeight="1" x14ac:dyDescent="0.3">
      <c r="A32" s="80"/>
      <c r="B32" s="80"/>
      <c r="C32" s="80"/>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row>
    <row r="33" spans="1:90" s="54" customFormat="1" ht="12" x14ac:dyDescent="0.3">
      <c r="A33" s="80" t="s">
        <v>488</v>
      </c>
      <c r="B33" s="80" t="s">
        <v>350</v>
      </c>
      <c r="C33" s="80" t="s">
        <v>251</v>
      </c>
      <c r="D33" s="154">
        <f>D19</f>
        <v>98.1</v>
      </c>
      <c r="E33" s="81">
        <f>E28+(1-E26)*(E22/D22)*D33</f>
        <v>101.0183856502242</v>
      </c>
      <c r="F33" s="81">
        <f t="shared" ref="F33:BQ33" si="11">F28+(1-F26)*(F22/E22)*E33</f>
        <v>102.49925882971768</v>
      </c>
      <c r="G33" s="81">
        <f t="shared" si="11"/>
        <v>104.7900247718437</v>
      </c>
      <c r="H33" s="81">
        <f t="shared" si="11"/>
        <v>103.708792215535</v>
      </c>
      <c r="I33" s="81">
        <f t="shared" si="11"/>
        <v>98.697510347294951</v>
      </c>
      <c r="J33" s="81">
        <f t="shared" si="11"/>
        <v>88.540499545236173</v>
      </c>
      <c r="K33" s="81">
        <f t="shared" si="11"/>
        <v>82.514764234995681</v>
      </c>
      <c r="L33" s="81">
        <f t="shared" si="11"/>
        <v>83.377983104170582</v>
      </c>
      <c r="M33" s="81">
        <f t="shared" si="11"/>
        <v>84.329442870283771</v>
      </c>
      <c r="N33" s="81">
        <f t="shared" si="11"/>
        <v>83.888180925207479</v>
      </c>
      <c r="O33" s="81">
        <f t="shared" si="11"/>
        <v>92.108108568649001</v>
      </c>
      <c r="P33" s="81">
        <f t="shared" si="11"/>
        <v>95.301737652225057</v>
      </c>
      <c r="Q33" s="81">
        <f t="shared" si="11"/>
        <v>93.986778477851558</v>
      </c>
      <c r="R33" s="81">
        <f t="shared" si="11"/>
        <v>94.389981744804373</v>
      </c>
      <c r="S33" s="81">
        <f t="shared" si="11"/>
        <v>100.1271191385587</v>
      </c>
      <c r="T33" s="81">
        <f t="shared" si="11"/>
        <v>112.09641298920137</v>
      </c>
      <c r="U33" s="81">
        <f t="shared" si="11"/>
        <v>118.85777381507322</v>
      </c>
      <c r="V33" s="81">
        <f t="shared" si="11"/>
        <v>119.34931875046212</v>
      </c>
      <c r="W33" s="81">
        <f t="shared" si="11"/>
        <v>120.22152321319321</v>
      </c>
      <c r="X33" s="81">
        <f t="shared" si="11"/>
        <v>131.1996878155243</v>
      </c>
      <c r="Y33" s="81">
        <f t="shared" si="11"/>
        <v>158.80679353617552</v>
      </c>
      <c r="Z33" s="81">
        <f t="shared" si="11"/>
        <v>189.04116128281086</v>
      </c>
      <c r="AA33" s="81">
        <f t="shared" si="11"/>
        <v>206.87370626777658</v>
      </c>
      <c r="AB33" s="81">
        <f t="shared" si="11"/>
        <v>211.07398212509025</v>
      </c>
      <c r="AC33" s="81">
        <f t="shared" si="11"/>
        <v>236.52100377753229</v>
      </c>
      <c r="AD33" s="81">
        <f t="shared" si="11"/>
        <v>256.91692685714355</v>
      </c>
      <c r="AE33" s="81">
        <f t="shared" si="11"/>
        <v>271.81244408967194</v>
      </c>
      <c r="AF33" s="81">
        <f t="shared" si="11"/>
        <v>285.31081993684836</v>
      </c>
      <c r="AG33" s="81">
        <f t="shared" si="11"/>
        <v>293.70234186346772</v>
      </c>
      <c r="AH33" s="81">
        <f t="shared" si="11"/>
        <v>322.93764787479887</v>
      </c>
      <c r="AI33" s="81">
        <f t="shared" si="11"/>
        <v>358.22258143301286</v>
      </c>
      <c r="AJ33" s="81">
        <f t="shared" si="11"/>
        <v>384.28385845799278</v>
      </c>
      <c r="AK33" s="81">
        <f t="shared" si="11"/>
        <v>391.89432187692648</v>
      </c>
      <c r="AL33" s="81">
        <f t="shared" si="11"/>
        <v>409.14090028312654</v>
      </c>
      <c r="AM33" s="81">
        <f t="shared" si="11"/>
        <v>417.48726914484911</v>
      </c>
      <c r="AN33" s="81">
        <f t="shared" si="11"/>
        <v>427.9695647057481</v>
      </c>
      <c r="AO33" s="81">
        <f t="shared" si="11"/>
        <v>441.91712146768356</v>
      </c>
      <c r="AP33" s="81">
        <f t="shared" si="11"/>
        <v>456.45722530905874</v>
      </c>
      <c r="AQ33" s="81">
        <f t="shared" si="11"/>
        <v>482.32395500404419</v>
      </c>
      <c r="AR33" s="81">
        <f t="shared" si="11"/>
        <v>515.90857111993796</v>
      </c>
      <c r="AS33" s="81">
        <f t="shared" si="11"/>
        <v>561.33697553753257</v>
      </c>
      <c r="AT33" s="81">
        <f t="shared" si="11"/>
        <v>608.23101263008812</v>
      </c>
      <c r="AU33" s="81">
        <f t="shared" si="11"/>
        <v>669.20500133816745</v>
      </c>
      <c r="AV33" s="81">
        <f t="shared" si="11"/>
        <v>736.78401826374488</v>
      </c>
      <c r="AW33" s="81">
        <f t="shared" si="11"/>
        <v>810.5926363043061</v>
      </c>
      <c r="AX33" s="81">
        <f t="shared" si="11"/>
        <v>889.35234294382008</v>
      </c>
      <c r="AY33" s="81">
        <f t="shared" si="11"/>
        <v>966.17260563347395</v>
      </c>
      <c r="AZ33" s="81">
        <f t="shared" si="11"/>
        <v>1089.6873794007995</v>
      </c>
      <c r="BA33" s="81">
        <f t="shared" si="11"/>
        <v>1332.9789357460609</v>
      </c>
      <c r="BB33" s="81">
        <f t="shared" si="11"/>
        <v>1480.5044033577967</v>
      </c>
      <c r="BC33" s="81">
        <f t="shared" si="11"/>
        <v>1627.3950991459658</v>
      </c>
      <c r="BD33" s="81">
        <f t="shared" si="11"/>
        <v>1811.6150211170527</v>
      </c>
      <c r="BE33" s="81">
        <f t="shared" si="11"/>
        <v>2058.9907680984452</v>
      </c>
      <c r="BF33" s="81">
        <f t="shared" si="11"/>
        <v>2372.3154328539517</v>
      </c>
      <c r="BG33" s="81">
        <f t="shared" si="11"/>
        <v>2727.1098920262507</v>
      </c>
      <c r="BH33" s="81">
        <f t="shared" si="11"/>
        <v>3085.6295752163214</v>
      </c>
      <c r="BI33" s="81">
        <f t="shared" si="11"/>
        <v>3280.5613982554005</v>
      </c>
      <c r="BJ33" s="81">
        <f t="shared" si="11"/>
        <v>3379.5270368824099</v>
      </c>
      <c r="BK33" s="81">
        <f t="shared" si="11"/>
        <v>3582.7686909099193</v>
      </c>
      <c r="BL33" s="81">
        <f t="shared" si="11"/>
        <v>3784.4445483118338</v>
      </c>
      <c r="BM33" s="81">
        <f t="shared" si="11"/>
        <v>3955.9887672421273</v>
      </c>
      <c r="BN33" s="81">
        <f t="shared" si="11"/>
        <v>4163.9621786770704</v>
      </c>
      <c r="BO33" s="81">
        <f t="shared" si="11"/>
        <v>4428.6100015091433</v>
      </c>
      <c r="BP33" s="81">
        <f t="shared" si="11"/>
        <v>4696.5274073326709</v>
      </c>
      <c r="BQ33" s="81">
        <f t="shared" si="11"/>
        <v>4961.1194210611939</v>
      </c>
      <c r="BR33" s="81">
        <f t="shared" ref="BR33:CL33" si="12">BR28+(1-BR26)*(BR22/BQ22)*BQ33</f>
        <v>5075.5288516619039</v>
      </c>
      <c r="BS33" s="81">
        <f t="shared" si="12"/>
        <v>5250.8241190748104</v>
      </c>
      <c r="BT33" s="81">
        <f t="shared" si="12"/>
        <v>5500.592856221755</v>
      </c>
      <c r="BU33" s="81">
        <f t="shared" si="12"/>
        <v>5805.9604432530487</v>
      </c>
      <c r="BV33" s="81">
        <f t="shared" si="12"/>
        <v>6136.5991056054554</v>
      </c>
      <c r="BW33" s="81">
        <f t="shared" si="12"/>
        <v>6451.600519091945</v>
      </c>
      <c r="BX33" s="81">
        <f t="shared" si="12"/>
        <v>6812.1739171366289</v>
      </c>
      <c r="BY33" s="81">
        <f t="shared" si="12"/>
        <v>7197.3455872759259</v>
      </c>
      <c r="BZ33" s="81">
        <f t="shared" si="12"/>
        <v>7621.6277461780001</v>
      </c>
      <c r="CA33" s="81">
        <f t="shared" si="12"/>
        <v>8154.6271204174855</v>
      </c>
      <c r="CB33" s="81">
        <f t="shared" si="12"/>
        <v>8588.950335181662</v>
      </c>
      <c r="CC33" s="81">
        <f t="shared" si="12"/>
        <v>8900.8402688504684</v>
      </c>
      <c r="CD33" s="81">
        <f t="shared" si="12"/>
        <v>9178.6398047285984</v>
      </c>
      <c r="CE33" s="81">
        <f t="shared" si="12"/>
        <v>9904.847948333394</v>
      </c>
      <c r="CF33" s="81">
        <f t="shared" si="12"/>
        <v>10780.814988175061</v>
      </c>
      <c r="CG33" s="81">
        <f t="shared" si="12"/>
        <v>11684.026829024126</v>
      </c>
      <c r="CH33" s="81">
        <f t="shared" si="12"/>
        <v>12317.435287381324</v>
      </c>
      <c r="CI33" s="81">
        <f t="shared" si="12"/>
        <v>13141.338779693097</v>
      </c>
      <c r="CJ33" s="81">
        <f t="shared" si="12"/>
        <v>12704.129066712618</v>
      </c>
      <c r="CK33" s="81">
        <f t="shared" si="12"/>
        <v>12996.264490139092</v>
      </c>
      <c r="CL33" s="81">
        <f t="shared" si="12"/>
        <v>13531.219575411427</v>
      </c>
    </row>
    <row r="34" spans="1:90" s="54" customFormat="1" ht="12" x14ac:dyDescent="0.3">
      <c r="A34" s="80" t="s">
        <v>489</v>
      </c>
      <c r="B34" s="80" t="s">
        <v>351</v>
      </c>
      <c r="C34" s="80" t="s">
        <v>252</v>
      </c>
      <c r="D34" s="154">
        <f>D21</f>
        <v>1403.9709539999999</v>
      </c>
      <c r="E34" s="81">
        <f>(E28*100/E22)+(1-E26)*D34</f>
        <v>1441.0608174059407</v>
      </c>
      <c r="F34" s="81">
        <f t="shared" ref="F34:BQ34" si="13">(F28*100/F22)+(1-F26)*E34</f>
        <v>1471.1899464957235</v>
      </c>
      <c r="G34" s="81">
        <f t="shared" si="13"/>
        <v>1501.2061883880347</v>
      </c>
      <c r="H34" s="81">
        <f t="shared" si="13"/>
        <v>1541.2683496518887</v>
      </c>
      <c r="I34" s="81">
        <f t="shared" si="13"/>
        <v>1566.584476484064</v>
      </c>
      <c r="J34" s="81">
        <f t="shared" si="13"/>
        <v>1557.6295938705134</v>
      </c>
      <c r="K34" s="81">
        <f t="shared" si="13"/>
        <v>1527.8854601091173</v>
      </c>
      <c r="L34" s="81">
        <f t="shared" si="13"/>
        <v>1499.0244508033347</v>
      </c>
      <c r="M34" s="81">
        <f t="shared" si="13"/>
        <v>1477.8485970976276</v>
      </c>
      <c r="N34" s="81">
        <f t="shared" si="13"/>
        <v>1465.5149518114933</v>
      </c>
      <c r="O34" s="81">
        <f t="shared" si="13"/>
        <v>1466.9643775016896</v>
      </c>
      <c r="P34" s="81">
        <f t="shared" si="13"/>
        <v>1482.4391672121194</v>
      </c>
      <c r="Q34" s="81">
        <f t="shared" si="13"/>
        <v>1476.0815587246384</v>
      </c>
      <c r="R34" s="81">
        <f t="shared" si="13"/>
        <v>1474.4545080452085</v>
      </c>
      <c r="S34" s="81">
        <f t="shared" si="13"/>
        <v>1489.3362233778191</v>
      </c>
      <c r="T34" s="81">
        <f t="shared" si="13"/>
        <v>1512.2516609507825</v>
      </c>
      <c r="U34" s="81">
        <f t="shared" si="13"/>
        <v>1504.6584192744272</v>
      </c>
      <c r="V34" s="81">
        <f t="shared" si="13"/>
        <v>1488.4710923020127</v>
      </c>
      <c r="W34" s="81">
        <f t="shared" si="13"/>
        <v>1485.9683833497691</v>
      </c>
      <c r="X34" s="81">
        <f t="shared" si="13"/>
        <v>1508.9582884933461</v>
      </c>
      <c r="Y34" s="81">
        <f t="shared" si="13"/>
        <v>1559.0257753670589</v>
      </c>
      <c r="Z34" s="81">
        <f t="shared" si="13"/>
        <v>1617.4919783805767</v>
      </c>
      <c r="AA34" s="81">
        <f t="shared" si="13"/>
        <v>1677.9843684099812</v>
      </c>
      <c r="AB34" s="81">
        <f t="shared" si="13"/>
        <v>1719.2481476686776</v>
      </c>
      <c r="AC34" s="81">
        <f t="shared" si="13"/>
        <v>1762.9541750842436</v>
      </c>
      <c r="AD34" s="81">
        <f t="shared" si="13"/>
        <v>1821.0055557926644</v>
      </c>
      <c r="AE34" s="81">
        <f t="shared" si="13"/>
        <v>1878.2829555618086</v>
      </c>
      <c r="AF34" s="81">
        <f t="shared" si="13"/>
        <v>1942.9432723768721</v>
      </c>
      <c r="AG34" s="81">
        <f t="shared" si="13"/>
        <v>1997.31543278667</v>
      </c>
      <c r="AH34" s="81">
        <f t="shared" si="13"/>
        <v>2058.459769025013</v>
      </c>
      <c r="AI34" s="81">
        <f t="shared" si="13"/>
        <v>2136.7290132639118</v>
      </c>
      <c r="AJ34" s="81">
        <f t="shared" si="13"/>
        <v>2215.9979262180127</v>
      </c>
      <c r="AK34" s="81">
        <f t="shared" si="13"/>
        <v>2260.13723462587</v>
      </c>
      <c r="AL34" s="81">
        <f t="shared" si="13"/>
        <v>2311.8423410323808</v>
      </c>
      <c r="AM34" s="81">
        <f t="shared" si="13"/>
        <v>2378.7536667365316</v>
      </c>
      <c r="AN34" s="81">
        <f t="shared" si="13"/>
        <v>2439.4122873179967</v>
      </c>
      <c r="AO34" s="81">
        <f t="shared" si="13"/>
        <v>2512.4030133764945</v>
      </c>
      <c r="AP34" s="81">
        <f t="shared" si="13"/>
        <v>2590.9459424111192</v>
      </c>
      <c r="AQ34" s="81">
        <f t="shared" si="13"/>
        <v>2691.4642612966754</v>
      </c>
      <c r="AR34" s="81">
        <f t="shared" si="13"/>
        <v>2826.7984108865739</v>
      </c>
      <c r="AS34" s="81">
        <f t="shared" si="13"/>
        <v>2988.633827293801</v>
      </c>
      <c r="AT34" s="81">
        <f t="shared" si="13"/>
        <v>3133.5849756188563</v>
      </c>
      <c r="AU34" s="81">
        <f t="shared" si="13"/>
        <v>3283.0745348814107</v>
      </c>
      <c r="AV34" s="81">
        <f t="shared" si="13"/>
        <v>3443.0241901253066</v>
      </c>
      <c r="AW34" s="81">
        <f t="shared" si="13"/>
        <v>3582.6533391083021</v>
      </c>
      <c r="AX34" s="81">
        <f t="shared" si="13"/>
        <v>3707.912565287425</v>
      </c>
      <c r="AY34" s="81">
        <f t="shared" si="13"/>
        <v>3854.6944417005816</v>
      </c>
      <c r="AZ34" s="81">
        <f t="shared" si="13"/>
        <v>4033.149138309876</v>
      </c>
      <c r="BA34" s="81">
        <f t="shared" si="13"/>
        <v>4199.6721278073319</v>
      </c>
      <c r="BB34" s="81">
        <f t="shared" si="13"/>
        <v>4317.6136012764655</v>
      </c>
      <c r="BC34" s="81">
        <f t="shared" si="13"/>
        <v>4440.2372892776521</v>
      </c>
      <c r="BD34" s="81">
        <f t="shared" si="13"/>
        <v>4593.5888115214657</v>
      </c>
      <c r="BE34" s="81">
        <f t="shared" si="13"/>
        <v>4791.7356978661064</v>
      </c>
      <c r="BF34" s="81">
        <f t="shared" si="13"/>
        <v>5015.5876503102518</v>
      </c>
      <c r="BG34" s="81">
        <f t="shared" si="13"/>
        <v>5219.7250315934461</v>
      </c>
      <c r="BH34" s="81">
        <f t="shared" si="13"/>
        <v>5428.5023895056038</v>
      </c>
      <c r="BI34" s="81">
        <f t="shared" si="13"/>
        <v>5596.4345435795931</v>
      </c>
      <c r="BJ34" s="81">
        <f t="shared" si="13"/>
        <v>5742.1474191375792</v>
      </c>
      <c r="BK34" s="81">
        <f t="shared" si="13"/>
        <v>5963.6162695440044</v>
      </c>
      <c r="BL34" s="81">
        <f t="shared" si="13"/>
        <v>6198.1120005300463</v>
      </c>
      <c r="BM34" s="81">
        <f t="shared" si="13"/>
        <v>6383.4313022570905</v>
      </c>
      <c r="BN34" s="81">
        <f t="shared" si="13"/>
        <v>6539.2044214076222</v>
      </c>
      <c r="BO34" s="81">
        <f t="shared" si="13"/>
        <v>6700.7031223591548</v>
      </c>
      <c r="BP34" s="81">
        <f t="shared" si="13"/>
        <v>6881.0580552494248</v>
      </c>
      <c r="BQ34" s="81">
        <f t="shared" si="13"/>
        <v>7067.977085608909</v>
      </c>
      <c r="BR34" s="81">
        <f t="shared" ref="BR34:CL34" si="14">(BR28*100/BR22)+(1-BR26)*BQ34</f>
        <v>7199.1992156494125</v>
      </c>
      <c r="BS34" s="81">
        <f t="shared" si="14"/>
        <v>7332.3197137078932</v>
      </c>
      <c r="BT34" s="81">
        <f t="shared" si="14"/>
        <v>7505.5765955565403</v>
      </c>
      <c r="BU34" s="81">
        <f t="shared" si="14"/>
        <v>7714.6938520845224</v>
      </c>
      <c r="BV34" s="81">
        <f t="shared" si="14"/>
        <v>7973.3475045273426</v>
      </c>
      <c r="BW34" s="81">
        <f t="shared" si="14"/>
        <v>8268.5685575500247</v>
      </c>
      <c r="BX34" s="81">
        <f t="shared" si="14"/>
        <v>8597.1116009612324</v>
      </c>
      <c r="BY34" s="81">
        <f t="shared" si="14"/>
        <v>8963.1839456121925</v>
      </c>
      <c r="BZ34" s="81">
        <f t="shared" si="14"/>
        <v>9360.0457224358015</v>
      </c>
      <c r="CA34" s="81">
        <f t="shared" si="14"/>
        <v>9789.1842302416098</v>
      </c>
      <c r="CB34" s="81">
        <f t="shared" si="14"/>
        <v>10105.01016310536</v>
      </c>
      <c r="CC34" s="81">
        <f t="shared" si="14"/>
        <v>10262.249495159045</v>
      </c>
      <c r="CD34" s="81">
        <f t="shared" si="14"/>
        <v>10402.892579360732</v>
      </c>
      <c r="CE34" s="81">
        <f t="shared" si="14"/>
        <v>10571.013229679047</v>
      </c>
      <c r="CF34" s="81">
        <f t="shared" si="14"/>
        <v>10780.814988175065</v>
      </c>
      <c r="CG34" s="81">
        <f t="shared" si="14"/>
        <v>11039.252933187312</v>
      </c>
      <c r="CH34" s="81">
        <f t="shared" si="14"/>
        <v>11332.331058786476</v>
      </c>
      <c r="CI34" s="81">
        <f t="shared" si="14"/>
        <v>11581.772486461781</v>
      </c>
      <c r="CJ34" s="81">
        <f t="shared" si="14"/>
        <v>11599.246177865925</v>
      </c>
      <c r="CK34" s="81">
        <f t="shared" si="14"/>
        <v>11632.546028572411</v>
      </c>
      <c r="CL34" s="81">
        <f t="shared" si="14"/>
        <v>11736.949474769699</v>
      </c>
    </row>
    <row r="35" spans="1:90" s="7" customFormat="1" ht="24" x14ac:dyDescent="0.3">
      <c r="A35" s="80" t="s">
        <v>490</v>
      </c>
      <c r="B35" s="30" t="s">
        <v>352</v>
      </c>
      <c r="C35" s="30" t="s">
        <v>253</v>
      </c>
      <c r="D35" s="155">
        <f>D23</f>
        <v>69.2</v>
      </c>
      <c r="E35" s="25">
        <f t="shared" ref="E35:AJ35" si="15">(E28-E27)+D35</f>
        <v>72.3</v>
      </c>
      <c r="F35" s="25">
        <f t="shared" si="15"/>
        <v>74.899999999999991</v>
      </c>
      <c r="G35" s="25">
        <f t="shared" si="15"/>
        <v>77.599999999999994</v>
      </c>
      <c r="H35" s="25">
        <f t="shared" si="15"/>
        <v>80.899999999999991</v>
      </c>
      <c r="I35" s="25">
        <f t="shared" si="15"/>
        <v>82.8</v>
      </c>
      <c r="J35" s="25">
        <f t="shared" si="15"/>
        <v>82.399999999999991</v>
      </c>
      <c r="K35" s="25">
        <f t="shared" si="15"/>
        <v>80.599999999999994</v>
      </c>
      <c r="L35" s="25">
        <f t="shared" si="15"/>
        <v>78.8</v>
      </c>
      <c r="M35" s="25">
        <f t="shared" si="15"/>
        <v>77.599999999999994</v>
      </c>
      <c r="N35" s="25">
        <f t="shared" si="15"/>
        <v>77</v>
      </c>
      <c r="O35" s="25">
        <f t="shared" si="15"/>
        <v>77.3</v>
      </c>
      <c r="P35" s="25">
        <f t="shared" si="15"/>
        <v>78.7</v>
      </c>
      <c r="Q35" s="25">
        <f t="shared" si="15"/>
        <v>78.8</v>
      </c>
      <c r="R35" s="25">
        <f t="shared" si="15"/>
        <v>79.2</v>
      </c>
      <c r="S35" s="25">
        <f t="shared" si="15"/>
        <v>80.7</v>
      </c>
      <c r="T35" s="25">
        <f t="shared" si="15"/>
        <v>83.2</v>
      </c>
      <c r="U35" s="25">
        <f t="shared" si="15"/>
        <v>84</v>
      </c>
      <c r="V35" s="25">
        <f t="shared" si="15"/>
        <v>84.1</v>
      </c>
      <c r="W35" s="25">
        <f t="shared" si="15"/>
        <v>85.399999999999991</v>
      </c>
      <c r="X35" s="25">
        <f t="shared" si="15"/>
        <v>88.8</v>
      </c>
      <c r="Y35" s="25">
        <f t="shared" si="15"/>
        <v>95.6</v>
      </c>
      <c r="Z35" s="25">
        <f t="shared" si="15"/>
        <v>105.3</v>
      </c>
      <c r="AA35" s="25">
        <f t="shared" si="15"/>
        <v>116.2</v>
      </c>
      <c r="AB35" s="25">
        <f t="shared" si="15"/>
        <v>124.7</v>
      </c>
      <c r="AC35" s="25">
        <f t="shared" si="15"/>
        <v>134</v>
      </c>
      <c r="AD35" s="25">
        <f t="shared" si="15"/>
        <v>146.4</v>
      </c>
      <c r="AE35" s="25">
        <f t="shared" si="15"/>
        <v>159</v>
      </c>
      <c r="AF35" s="25">
        <f t="shared" si="15"/>
        <v>172.7</v>
      </c>
      <c r="AG35" s="25">
        <f t="shared" si="15"/>
        <v>184.7</v>
      </c>
      <c r="AH35" s="25">
        <f t="shared" si="15"/>
        <v>198.29999999999998</v>
      </c>
      <c r="AI35" s="25">
        <f t="shared" si="15"/>
        <v>216.29999999999998</v>
      </c>
      <c r="AJ35" s="25">
        <f t="shared" si="15"/>
        <v>235.7</v>
      </c>
      <c r="AK35" s="25">
        <f t="shared" ref="AK35:BP35" si="16">(AK28-AK27)+AJ35</f>
        <v>248.89999999999998</v>
      </c>
      <c r="AL35" s="25">
        <f t="shared" si="16"/>
        <v>263.79999999999995</v>
      </c>
      <c r="AM35" s="25">
        <f t="shared" si="16"/>
        <v>280.89999999999998</v>
      </c>
      <c r="AN35" s="25">
        <f t="shared" si="16"/>
        <v>296.5</v>
      </c>
      <c r="AO35" s="25">
        <f t="shared" si="16"/>
        <v>314</v>
      </c>
      <c r="AP35" s="25">
        <f t="shared" si="16"/>
        <v>332.2</v>
      </c>
      <c r="AQ35" s="25">
        <f t="shared" si="16"/>
        <v>354.5</v>
      </c>
      <c r="AR35" s="25">
        <f t="shared" si="16"/>
        <v>383.6</v>
      </c>
      <c r="AS35" s="25">
        <f t="shared" si="16"/>
        <v>418.70000000000005</v>
      </c>
      <c r="AT35" s="25">
        <f t="shared" si="16"/>
        <v>452.1</v>
      </c>
      <c r="AU35" s="25">
        <f t="shared" si="16"/>
        <v>488.70000000000005</v>
      </c>
      <c r="AV35" s="25">
        <f t="shared" si="16"/>
        <v>530.20000000000005</v>
      </c>
      <c r="AW35" s="25">
        <f t="shared" si="16"/>
        <v>570.5</v>
      </c>
      <c r="AX35" s="25">
        <f t="shared" si="16"/>
        <v>610.79999999999995</v>
      </c>
      <c r="AY35" s="25">
        <f t="shared" si="16"/>
        <v>658.69999999999993</v>
      </c>
      <c r="AZ35" s="25">
        <f t="shared" si="16"/>
        <v>719.69999999999993</v>
      </c>
      <c r="BA35" s="25">
        <f t="shared" si="16"/>
        <v>791.19999999999993</v>
      </c>
      <c r="BB35" s="25">
        <f t="shared" si="16"/>
        <v>859.49999999999989</v>
      </c>
      <c r="BC35" s="25">
        <f t="shared" si="16"/>
        <v>935.69999999999982</v>
      </c>
      <c r="BD35" s="25">
        <f t="shared" si="16"/>
        <v>1031.8999999999999</v>
      </c>
      <c r="BE35" s="25">
        <f t="shared" si="16"/>
        <v>1157.8</v>
      </c>
      <c r="BF35" s="25">
        <f t="shared" si="16"/>
        <v>1311.5</v>
      </c>
      <c r="BG35" s="25">
        <f t="shared" si="16"/>
        <v>1475.6</v>
      </c>
      <c r="BH35" s="25">
        <f t="shared" si="16"/>
        <v>1663.3999999999999</v>
      </c>
      <c r="BI35" s="25">
        <f t="shared" si="16"/>
        <v>1835.6999999999998</v>
      </c>
      <c r="BJ35" s="25">
        <f t="shared" si="16"/>
        <v>1988.3999999999999</v>
      </c>
      <c r="BK35" s="25">
        <f t="shared" si="16"/>
        <v>2183.1</v>
      </c>
      <c r="BL35" s="25">
        <f t="shared" si="16"/>
        <v>2385</v>
      </c>
      <c r="BM35" s="25">
        <f t="shared" si="16"/>
        <v>2557.9</v>
      </c>
      <c r="BN35" s="25">
        <f t="shared" si="16"/>
        <v>2713.9</v>
      </c>
      <c r="BO35" s="25">
        <f t="shared" si="16"/>
        <v>2882.6</v>
      </c>
      <c r="BP35" s="25">
        <f t="shared" si="16"/>
        <v>3070.7999999999997</v>
      </c>
      <c r="BQ35" s="25">
        <f t="shared" ref="BQ35:CL35" si="17">(BQ28-BQ27)+BP35</f>
        <v>3270.2999999999997</v>
      </c>
      <c r="BR35" s="25">
        <f t="shared" si="17"/>
        <v>3433.2</v>
      </c>
      <c r="BS35" s="25">
        <f t="shared" si="17"/>
        <v>3593.7</v>
      </c>
      <c r="BT35" s="25">
        <f t="shared" si="17"/>
        <v>3784.8999999999996</v>
      </c>
      <c r="BU35" s="25">
        <f t="shared" si="17"/>
        <v>4006.4999999999995</v>
      </c>
      <c r="BV35" s="25">
        <f t="shared" si="17"/>
        <v>4272.4999999999991</v>
      </c>
      <c r="BW35" s="25">
        <f t="shared" si="17"/>
        <v>4564.6999999999989</v>
      </c>
      <c r="BX35" s="25">
        <f t="shared" si="17"/>
        <v>4882.2999999999993</v>
      </c>
      <c r="BY35" s="25">
        <f t="shared" si="17"/>
        <v>5226.5999999999995</v>
      </c>
      <c r="BZ35" s="25">
        <f t="shared" si="17"/>
        <v>5597.5999999999995</v>
      </c>
      <c r="CA35" s="25">
        <f t="shared" si="17"/>
        <v>6007.9999999999991</v>
      </c>
      <c r="CB35" s="25">
        <f t="shared" si="17"/>
        <v>6330.9999999999991</v>
      </c>
      <c r="CC35" s="25">
        <f t="shared" si="17"/>
        <v>6524.2999999999993</v>
      </c>
      <c r="CD35" s="25">
        <f t="shared" si="17"/>
        <v>6708.9999999999991</v>
      </c>
      <c r="CE35" s="25">
        <f t="shared" si="17"/>
        <v>6941.0999999999995</v>
      </c>
      <c r="CF35" s="25">
        <f t="shared" si="17"/>
        <v>7251.9</v>
      </c>
      <c r="CG35" s="25">
        <f t="shared" si="17"/>
        <v>7656.2</v>
      </c>
      <c r="CH35" s="25">
        <f t="shared" si="17"/>
        <v>8119.5999999999995</v>
      </c>
      <c r="CI35" s="25">
        <f t="shared" si="17"/>
        <v>8562.7999999999993</v>
      </c>
      <c r="CJ35" s="25">
        <f t="shared" si="17"/>
        <v>8727.9</v>
      </c>
      <c r="CK35" s="25">
        <f t="shared" si="17"/>
        <v>8903.1</v>
      </c>
      <c r="CL35" s="25">
        <f t="shared" si="17"/>
        <v>9176.9</v>
      </c>
    </row>
    <row r="36" spans="1:90" s="83" customFormat="1" ht="7.25" customHeight="1" x14ac:dyDescent="0.3">
      <c r="A36" s="80"/>
      <c r="B36" s="80"/>
      <c r="C36" s="80"/>
    </row>
    <row r="37" spans="1:90" s="80" customFormat="1" ht="9.65" customHeight="1" x14ac:dyDescent="0.3">
      <c r="A37" s="80" t="s">
        <v>424</v>
      </c>
      <c r="B37" s="80" t="s">
        <v>425</v>
      </c>
      <c r="C37" s="80" t="s">
        <v>426</v>
      </c>
      <c r="D37" s="213"/>
      <c r="E37" s="213">
        <f t="shared" ref="E37:AJ37" si="18">E25/D19</f>
        <v>4.7910295616717641E-2</v>
      </c>
      <c r="F37" s="213">
        <f t="shared" si="18"/>
        <v>4.7524752475247525E-2</v>
      </c>
      <c r="G37" s="213">
        <f t="shared" si="18"/>
        <v>4.78515625E-2</v>
      </c>
      <c r="H37" s="213">
        <f t="shared" si="18"/>
        <v>4.775549188156638E-2</v>
      </c>
      <c r="I37" s="213">
        <f t="shared" si="18"/>
        <v>4.633204633204633E-2</v>
      </c>
      <c r="J37" s="213">
        <f t="shared" si="18"/>
        <v>4.5685279187817257E-2</v>
      </c>
      <c r="K37" s="213">
        <f t="shared" si="18"/>
        <v>4.5248868778280542E-2</v>
      </c>
      <c r="L37" s="213">
        <f t="shared" si="18"/>
        <v>4.6116504854368925E-2</v>
      </c>
      <c r="M37" s="213">
        <f t="shared" si="18"/>
        <v>4.6875E-2</v>
      </c>
      <c r="N37" s="213">
        <f t="shared" si="18"/>
        <v>4.6318289786223273E-2</v>
      </c>
      <c r="O37" s="213">
        <f t="shared" si="18"/>
        <v>4.7789725209080043E-2</v>
      </c>
      <c r="P37" s="213">
        <f t="shared" si="18"/>
        <v>4.7826086956521741E-2</v>
      </c>
      <c r="Q37" s="213">
        <f t="shared" si="18"/>
        <v>4.7268907563025209E-2</v>
      </c>
      <c r="R37" s="213">
        <f t="shared" si="18"/>
        <v>4.7923322683706068E-2</v>
      </c>
      <c r="S37" s="213">
        <f t="shared" si="18"/>
        <v>4.8728813559322029E-2</v>
      </c>
      <c r="T37" s="213">
        <f t="shared" si="18"/>
        <v>5.0949050949050952E-2</v>
      </c>
      <c r="U37" s="213">
        <f t="shared" si="18"/>
        <v>5.1739518287243533E-2</v>
      </c>
      <c r="V37" s="213">
        <f t="shared" si="18"/>
        <v>4.8780487804878044E-2</v>
      </c>
      <c r="W37" s="213">
        <f t="shared" si="18"/>
        <v>5.029337803855826E-2</v>
      </c>
      <c r="X37" s="213">
        <f t="shared" si="18"/>
        <v>5.0748752079866885E-2</v>
      </c>
      <c r="Y37" s="213">
        <f t="shared" si="18"/>
        <v>5.2591463414634151E-2</v>
      </c>
      <c r="Z37" s="213">
        <f t="shared" si="18"/>
        <v>5.5834378920953574E-2</v>
      </c>
      <c r="AA37" s="213">
        <f t="shared" si="18"/>
        <v>5.4708048395581278E-2</v>
      </c>
      <c r="AB37" s="213">
        <f t="shared" si="18"/>
        <v>5.3820278712157617E-2</v>
      </c>
      <c r="AC37" s="213">
        <f t="shared" si="18"/>
        <v>5.6550424128180968E-2</v>
      </c>
      <c r="AD37" s="213">
        <f t="shared" si="18"/>
        <v>5.7118857622847539E-2</v>
      </c>
      <c r="AE37" s="213">
        <f t="shared" si="18"/>
        <v>5.6092843326885883E-2</v>
      </c>
      <c r="AF37" s="213">
        <f t="shared" si="18"/>
        <v>5.6307129798903108E-2</v>
      </c>
      <c r="AG37" s="213">
        <f t="shared" si="18"/>
        <v>5.6445993031358881E-2</v>
      </c>
      <c r="AH37" s="213">
        <f t="shared" si="18"/>
        <v>5.7907213003725026E-2</v>
      </c>
      <c r="AI37" s="213">
        <f t="shared" si="18"/>
        <v>5.9076923076923075E-2</v>
      </c>
      <c r="AJ37" s="213">
        <f t="shared" si="18"/>
        <v>5.905184363737178E-2</v>
      </c>
      <c r="AK37" s="213">
        <f t="shared" ref="AK37:BP37" si="19">AK25/AJ19</f>
        <v>5.8671491341431896E-2</v>
      </c>
      <c r="AL37" s="213">
        <f t="shared" si="19"/>
        <v>6.0091277890466532E-2</v>
      </c>
      <c r="AM37" s="213">
        <f t="shared" si="19"/>
        <v>5.8309037900874633E-2</v>
      </c>
      <c r="AN37" s="213">
        <f t="shared" si="19"/>
        <v>5.8823529411764705E-2</v>
      </c>
      <c r="AO37" s="213">
        <f t="shared" si="19"/>
        <v>5.9493376713920521E-2</v>
      </c>
      <c r="AP37" s="213">
        <f t="shared" si="19"/>
        <v>6.0108059432687981E-2</v>
      </c>
      <c r="AQ37" s="213">
        <f t="shared" si="19"/>
        <v>6.1531747763473706E-2</v>
      </c>
      <c r="AR37" s="213">
        <f t="shared" si="19"/>
        <v>6.3029551560239719E-2</v>
      </c>
      <c r="AS37" s="213">
        <f t="shared" si="19"/>
        <v>6.4746810977966765E-2</v>
      </c>
      <c r="AT37" s="213">
        <f t="shared" si="19"/>
        <v>6.5495207667731634E-2</v>
      </c>
      <c r="AU37" s="213">
        <f t="shared" si="19"/>
        <v>6.663392272429601E-2</v>
      </c>
      <c r="AV37" s="213">
        <f t="shared" si="19"/>
        <v>6.7201903062741597E-2</v>
      </c>
      <c r="AW37" s="213">
        <f t="shared" si="19"/>
        <v>6.7602212926730534E-2</v>
      </c>
      <c r="AX37" s="213">
        <f t="shared" si="19"/>
        <v>6.7304155939683696E-2</v>
      </c>
      <c r="AY37" s="213">
        <f t="shared" si="19"/>
        <v>6.6800714924039314E-2</v>
      </c>
      <c r="AZ37" s="213">
        <f t="shared" si="19"/>
        <v>6.8915860933964207E-2</v>
      </c>
      <c r="BA37" s="213">
        <f t="shared" si="19"/>
        <v>7.189721159103335E-2</v>
      </c>
      <c r="BB37" s="213">
        <f t="shared" si="19"/>
        <v>7.0187165775401059E-2</v>
      </c>
      <c r="BC37" s="213">
        <f t="shared" si="19"/>
        <v>7.0014711782800582E-2</v>
      </c>
      <c r="BD37" s="213">
        <f t="shared" si="19"/>
        <v>7.1845723324005351E-2</v>
      </c>
      <c r="BE37" s="213">
        <f t="shared" si="19"/>
        <v>7.3446636428220122E-2</v>
      </c>
      <c r="BF37" s="213">
        <f t="shared" si="19"/>
        <v>7.4609656497718002E-2</v>
      </c>
      <c r="BG37" s="213">
        <f t="shared" si="19"/>
        <v>7.5009376172021511E-2</v>
      </c>
      <c r="BH37" s="213">
        <f t="shared" si="19"/>
        <v>7.5438215268723754E-2</v>
      </c>
      <c r="BI37" s="213">
        <f t="shared" si="19"/>
        <v>7.4104885930950617E-2</v>
      </c>
      <c r="BJ37" s="213">
        <f t="shared" si="19"/>
        <v>7.2530585186524443E-2</v>
      </c>
      <c r="BK37" s="213">
        <f t="shared" si="19"/>
        <v>7.4136971861915493E-2</v>
      </c>
      <c r="BL37" s="213">
        <f t="shared" si="19"/>
        <v>7.5171346451470264E-2</v>
      </c>
      <c r="BM37" s="213">
        <f t="shared" si="19"/>
        <v>7.5956327075642135E-2</v>
      </c>
      <c r="BN37" s="213">
        <f t="shared" si="19"/>
        <v>7.6872947840689779E-2</v>
      </c>
      <c r="BO37" s="213">
        <f t="shared" si="19"/>
        <v>7.8401943967981697E-2</v>
      </c>
      <c r="BP37" s="213">
        <f t="shared" si="19"/>
        <v>7.8670819422348715E-2</v>
      </c>
      <c r="BQ37" s="213">
        <f t="shared" ref="BQ37:CL37" si="20">BQ25/BP19</f>
        <v>7.8972970686519178E-2</v>
      </c>
      <c r="BR37" s="213">
        <f t="shared" si="20"/>
        <v>7.8588452063848097E-2</v>
      </c>
      <c r="BS37" s="213">
        <f t="shared" si="20"/>
        <v>7.8803549391784689E-2</v>
      </c>
      <c r="BT37" s="213">
        <f t="shared" si="20"/>
        <v>7.9687618469937063E-2</v>
      </c>
      <c r="BU37" s="213">
        <f t="shared" si="20"/>
        <v>8.059523162982675E-2</v>
      </c>
      <c r="BV37" s="213">
        <f t="shared" si="20"/>
        <v>8.1938220093064784E-2</v>
      </c>
      <c r="BW37" s="213">
        <f t="shared" si="20"/>
        <v>8.2269019531376955E-2</v>
      </c>
      <c r="BX37" s="213">
        <f t="shared" si="20"/>
        <v>8.3648897200884101E-2</v>
      </c>
      <c r="BY37" s="213">
        <f t="shared" si="20"/>
        <v>8.4708293682746502E-2</v>
      </c>
      <c r="BZ37" s="213">
        <f t="shared" si="20"/>
        <v>8.6580026601640422E-2</v>
      </c>
      <c r="CA37" s="213">
        <f t="shared" si="20"/>
        <v>8.9261411222780571E-2</v>
      </c>
      <c r="CB37" s="213">
        <f t="shared" si="20"/>
        <v>8.8692907992269504E-2</v>
      </c>
      <c r="CC37" s="213">
        <f t="shared" si="20"/>
        <v>8.7172506863976915E-2</v>
      </c>
      <c r="CD37" s="213">
        <f t="shared" si="20"/>
        <v>8.6251220853867994E-2</v>
      </c>
      <c r="CE37" s="213">
        <f t="shared" si="20"/>
        <v>8.7428422129809058E-2</v>
      </c>
      <c r="CF37" s="213">
        <f t="shared" si="20"/>
        <v>8.6361572228669456E-2</v>
      </c>
      <c r="CG37" s="213">
        <f t="shared" si="20"/>
        <v>8.5287371265659398E-2</v>
      </c>
      <c r="CH37" s="213">
        <f t="shared" si="20"/>
        <v>8.3596606135326504E-2</v>
      </c>
      <c r="CI37" s="213">
        <f t="shared" si="20"/>
        <v>8.3497053045186648E-2</v>
      </c>
      <c r="CJ37" s="213">
        <f t="shared" si="20"/>
        <v>7.8428984624752632E-2</v>
      </c>
      <c r="CK37" s="213">
        <f t="shared" si="20"/>
        <v>8.0815953769967794E-2</v>
      </c>
      <c r="CL37" s="213">
        <f t="shared" si="20"/>
        <v>8.1718560017237929E-2</v>
      </c>
    </row>
    <row r="38" spans="1:90" s="80" customFormat="1" ht="9.65" customHeight="1" x14ac:dyDescent="0.3">
      <c r="D38" s="213"/>
      <c r="E38" s="213"/>
      <c r="F38" s="213"/>
      <c r="G38" s="213"/>
      <c r="H38" s="213"/>
      <c r="I38" s="213"/>
      <c r="J38" s="213"/>
      <c r="K38" s="213"/>
      <c r="L38" s="213"/>
      <c r="M38" s="213"/>
      <c r="N38" s="213"/>
      <c r="O38" s="213"/>
      <c r="P38" s="213"/>
      <c r="Q38" s="213"/>
      <c r="R38" s="213"/>
      <c r="S38" s="213"/>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row>
    <row r="39" spans="1:90" s="54" customFormat="1" ht="12" x14ac:dyDescent="0.3">
      <c r="A39" s="80" t="s">
        <v>254</v>
      </c>
      <c r="B39" s="54" t="s">
        <v>255</v>
      </c>
      <c r="C39" s="54" t="s">
        <v>256</v>
      </c>
      <c r="D39" s="107">
        <f>D33/D19</f>
        <v>1</v>
      </c>
      <c r="E39" s="107">
        <f t="shared" ref="E39:BP39" si="21">E33/E19</f>
        <v>1.0001820361408338</v>
      </c>
      <c r="F39" s="107">
        <f t="shared" si="21"/>
        <v>1.0009693245089617</v>
      </c>
      <c r="G39" s="107">
        <f t="shared" si="21"/>
        <v>1.0008598354521843</v>
      </c>
      <c r="H39" s="107">
        <f t="shared" si="21"/>
        <v>1.0010501179105695</v>
      </c>
      <c r="I39" s="107">
        <f t="shared" si="21"/>
        <v>1.0020051811908117</v>
      </c>
      <c r="J39" s="107">
        <f t="shared" si="21"/>
        <v>1.0015893613714499</v>
      </c>
      <c r="K39" s="107">
        <f t="shared" si="21"/>
        <v>1.0013927698421805</v>
      </c>
      <c r="L39" s="107">
        <f t="shared" si="21"/>
        <v>1.0021392200020502</v>
      </c>
      <c r="M39" s="107">
        <f t="shared" si="21"/>
        <v>1.001537326250401</v>
      </c>
      <c r="N39" s="107">
        <f t="shared" si="21"/>
        <v>1.0022482786763138</v>
      </c>
      <c r="O39" s="107">
        <f t="shared" si="21"/>
        <v>1.0011750931374892</v>
      </c>
      <c r="P39" s="107">
        <f t="shared" si="21"/>
        <v>1.00106867281749</v>
      </c>
      <c r="Q39" s="107">
        <f t="shared" si="21"/>
        <v>1.0009241584435735</v>
      </c>
      <c r="R39" s="107">
        <f t="shared" si="21"/>
        <v>0.99989387441530053</v>
      </c>
      <c r="S39" s="107">
        <f t="shared" si="21"/>
        <v>1.0002709204651219</v>
      </c>
      <c r="T39" s="107">
        <f t="shared" si="21"/>
        <v>0.99996800168779099</v>
      </c>
      <c r="U39" s="107">
        <f t="shared" si="21"/>
        <v>0.99964485967260897</v>
      </c>
      <c r="V39" s="107">
        <f t="shared" si="21"/>
        <v>1.0004134010935635</v>
      </c>
      <c r="W39" s="107">
        <f t="shared" si="21"/>
        <v>1.0001790616738204</v>
      </c>
      <c r="X39" s="107">
        <f t="shared" si="21"/>
        <v>0.99999762054515484</v>
      </c>
      <c r="Y39" s="107">
        <f t="shared" si="21"/>
        <v>0.99627850399106344</v>
      </c>
      <c r="Z39" s="107">
        <f t="shared" si="21"/>
        <v>0.99443009617470213</v>
      </c>
      <c r="AA39" s="107">
        <f t="shared" si="21"/>
        <v>0.99410719013828253</v>
      </c>
      <c r="AB39" s="107">
        <f t="shared" si="21"/>
        <v>0.99469360096649517</v>
      </c>
      <c r="AC39" s="107">
        <f t="shared" si="21"/>
        <v>0.99336834849866562</v>
      </c>
      <c r="AD39" s="107">
        <f t="shared" si="21"/>
        <v>0.99387592594639673</v>
      </c>
      <c r="AE39" s="107">
        <f t="shared" si="21"/>
        <v>0.99382977729313327</v>
      </c>
      <c r="AF39" s="107">
        <f t="shared" si="21"/>
        <v>0.99411435518065627</v>
      </c>
      <c r="AG39" s="107">
        <f t="shared" si="21"/>
        <v>0.99458971169477717</v>
      </c>
      <c r="AH39" s="107">
        <f t="shared" si="21"/>
        <v>0.99365430115322728</v>
      </c>
      <c r="AI39" s="107">
        <f t="shared" si="21"/>
        <v>0.99313163690882411</v>
      </c>
      <c r="AJ39" s="107">
        <f t="shared" si="21"/>
        <v>0.99323819710000727</v>
      </c>
      <c r="AK39" s="107">
        <f t="shared" si="21"/>
        <v>0.99364686074271424</v>
      </c>
      <c r="AL39" s="107">
        <f t="shared" si="21"/>
        <v>0.99402551089194979</v>
      </c>
      <c r="AM39" s="107">
        <f t="shared" si="21"/>
        <v>0.99425403463884054</v>
      </c>
      <c r="AN39" s="107">
        <f t="shared" si="21"/>
        <v>0.99458416152858031</v>
      </c>
      <c r="AO39" s="107">
        <f t="shared" si="21"/>
        <v>0.99486069668546506</v>
      </c>
      <c r="AP39" s="107">
        <f t="shared" si="21"/>
        <v>0.9959791082458187</v>
      </c>
      <c r="AQ39" s="107">
        <f t="shared" si="21"/>
        <v>0.99674303575954581</v>
      </c>
      <c r="AR39" s="107">
        <f t="shared" si="21"/>
        <v>0.99711745481240432</v>
      </c>
      <c r="AS39" s="107">
        <f t="shared" si="21"/>
        <v>0.99633825974002943</v>
      </c>
      <c r="AT39" s="107">
        <f t="shared" si="21"/>
        <v>0.99579406128043246</v>
      </c>
      <c r="AU39" s="107">
        <f t="shared" si="21"/>
        <v>0.99495242542100415</v>
      </c>
      <c r="AV39" s="107">
        <f t="shared" si="21"/>
        <v>0.99417624917520564</v>
      </c>
      <c r="AW39" s="107">
        <f t="shared" si="21"/>
        <v>0.99373867390499704</v>
      </c>
      <c r="AX39" s="107">
        <f t="shared" si="21"/>
        <v>0.99346776468255138</v>
      </c>
      <c r="AY39" s="107">
        <f t="shared" si="21"/>
        <v>0.99380025265734817</v>
      </c>
      <c r="AZ39" s="107">
        <f t="shared" si="21"/>
        <v>0.99297191489046788</v>
      </c>
      <c r="BA39" s="107">
        <f t="shared" si="21"/>
        <v>0.99003188929445984</v>
      </c>
      <c r="BB39" s="107">
        <f t="shared" si="21"/>
        <v>0.99003905534157854</v>
      </c>
      <c r="BC39" s="107">
        <f t="shared" si="21"/>
        <v>0.99002013575007042</v>
      </c>
      <c r="BD39" s="107">
        <f t="shared" si="21"/>
        <v>0.99000766223129821</v>
      </c>
      <c r="BE39" s="107">
        <f t="shared" si="21"/>
        <v>0.98918605241337743</v>
      </c>
      <c r="BF39" s="107">
        <f t="shared" si="21"/>
        <v>0.98858833723130057</v>
      </c>
      <c r="BG39" s="107">
        <f t="shared" si="21"/>
        <v>0.98765387948220007</v>
      </c>
      <c r="BH39" s="107">
        <f t="shared" si="21"/>
        <v>0.9873066826276905</v>
      </c>
      <c r="BI39" s="107">
        <f t="shared" si="21"/>
        <v>0.98853775635973018</v>
      </c>
      <c r="BJ39" s="107">
        <f t="shared" si="21"/>
        <v>0.98952567472327757</v>
      </c>
      <c r="BK39" s="107">
        <f t="shared" si="21"/>
        <v>0.99015274455834601</v>
      </c>
      <c r="BL39" s="107">
        <f t="shared" si="21"/>
        <v>0.99087386387867771</v>
      </c>
      <c r="BM39" s="107">
        <f t="shared" si="21"/>
        <v>0.99155043417854161</v>
      </c>
      <c r="BN39" s="107">
        <f t="shared" si="21"/>
        <v>0.99198641573210167</v>
      </c>
      <c r="BO39" s="107">
        <f t="shared" si="21"/>
        <v>0.99231665542789305</v>
      </c>
      <c r="BP39" s="107">
        <f t="shared" si="21"/>
        <v>0.99330134244166302</v>
      </c>
      <c r="BQ39" s="107">
        <f t="shared" ref="BQ39:CL39" si="22">BQ33/BQ19</f>
        <v>0.99359504537485599</v>
      </c>
      <c r="BR39" s="107">
        <f t="shared" si="22"/>
        <v>0.99420752809188917</v>
      </c>
      <c r="BS39" s="107">
        <f t="shared" si="22"/>
        <v>0.99530368471355102</v>
      </c>
      <c r="BT39" s="107">
        <f t="shared" si="22"/>
        <v>0.99578067239120105</v>
      </c>
      <c r="BU39" s="107">
        <f t="shared" si="22"/>
        <v>0.99691966607480365</v>
      </c>
      <c r="BV39" s="107">
        <f t="shared" si="22"/>
        <v>0.99714001910978767</v>
      </c>
      <c r="BW39" s="107">
        <f t="shared" si="22"/>
        <v>0.99717159756595086</v>
      </c>
      <c r="BX39" s="107">
        <f t="shared" si="22"/>
        <v>0.99731702176072456</v>
      </c>
      <c r="BY39" s="107">
        <f t="shared" si="22"/>
        <v>0.99719374685157469</v>
      </c>
      <c r="BZ39" s="107">
        <f t="shared" si="22"/>
        <v>0.99738637800696184</v>
      </c>
      <c r="CA39" s="107">
        <f t="shared" si="22"/>
        <v>0.99745909930003251</v>
      </c>
      <c r="CB39" s="107">
        <f t="shared" si="22"/>
        <v>0.99922638735884195</v>
      </c>
      <c r="CC39" s="107">
        <f t="shared" si="22"/>
        <v>0.99922990994874861</v>
      </c>
      <c r="CD39" s="107">
        <f t="shared" si="22"/>
        <v>0.99922051478680129</v>
      </c>
      <c r="CE39" s="107">
        <f t="shared" si="22"/>
        <v>0.99953054627714755</v>
      </c>
      <c r="CF39" s="107">
        <f t="shared" si="22"/>
        <v>1.0011622064926742</v>
      </c>
      <c r="CG39" s="107">
        <f t="shared" si="22"/>
        <v>1.000353327427814</v>
      </c>
      <c r="CH39" s="107">
        <f t="shared" si="22"/>
        <v>0.99997039141578248</v>
      </c>
      <c r="CI39" s="107">
        <f t="shared" si="22"/>
        <v>1.0002541315035087</v>
      </c>
      <c r="CJ39" s="107">
        <f t="shared" si="22"/>
        <v>1.000191239496494</v>
      </c>
      <c r="CK39" s="107">
        <f t="shared" si="22"/>
        <v>1.0001280909100005</v>
      </c>
      <c r="CL39" s="107">
        <f t="shared" si="22"/>
        <v>1.0000310089138431</v>
      </c>
    </row>
    <row r="40" spans="1:90" s="54" customFormat="1" ht="12" x14ac:dyDescent="0.3">
      <c r="A40" s="80" t="s">
        <v>257</v>
      </c>
      <c r="B40" s="54" t="s">
        <v>258</v>
      </c>
      <c r="C40" s="54" t="s">
        <v>259</v>
      </c>
      <c r="D40" s="107">
        <f>D34/D21</f>
        <v>1</v>
      </c>
      <c r="E40" s="107">
        <f t="shared" ref="E40:BP40" si="23">E34/E21</f>
        <v>1.000182036140834</v>
      </c>
      <c r="F40" s="107">
        <f t="shared" si="23"/>
        <v>1.0009693245089617</v>
      </c>
      <c r="G40" s="107">
        <f t="shared" si="23"/>
        <v>1.000859835452184</v>
      </c>
      <c r="H40" s="107">
        <f t="shared" si="23"/>
        <v>1.0010501179105693</v>
      </c>
      <c r="I40" s="107">
        <f t="shared" si="23"/>
        <v>1.0020051811908113</v>
      </c>
      <c r="J40" s="107">
        <f t="shared" si="23"/>
        <v>1.0015893613714495</v>
      </c>
      <c r="K40" s="107">
        <f t="shared" si="23"/>
        <v>1.0013927698421801</v>
      </c>
      <c r="L40" s="107">
        <f t="shared" si="23"/>
        <v>1.0021392200020498</v>
      </c>
      <c r="M40" s="107">
        <f t="shared" si="23"/>
        <v>1.0015373262504006</v>
      </c>
      <c r="N40" s="107">
        <f t="shared" si="23"/>
        <v>1.0022482786763136</v>
      </c>
      <c r="O40" s="107">
        <f t="shared" si="23"/>
        <v>1.001175093137489</v>
      </c>
      <c r="P40" s="107">
        <f t="shared" si="23"/>
        <v>1.00106867281749</v>
      </c>
      <c r="Q40" s="107">
        <f t="shared" si="23"/>
        <v>1.0009241584435737</v>
      </c>
      <c r="R40" s="107">
        <f t="shared" si="23"/>
        <v>0.99989387441530064</v>
      </c>
      <c r="S40" s="107">
        <f t="shared" si="23"/>
        <v>1.0002709204651221</v>
      </c>
      <c r="T40" s="107">
        <f t="shared" si="23"/>
        <v>0.99996800168779121</v>
      </c>
      <c r="U40" s="107">
        <f t="shared" si="23"/>
        <v>0.99964485967260919</v>
      </c>
      <c r="V40" s="107">
        <f t="shared" si="23"/>
        <v>1.0004134010935637</v>
      </c>
      <c r="W40" s="107">
        <f t="shared" si="23"/>
        <v>1.0001790616738204</v>
      </c>
      <c r="X40" s="107">
        <f t="shared" si="23"/>
        <v>0.99999762054515506</v>
      </c>
      <c r="Y40" s="107">
        <f t="shared" si="23"/>
        <v>0.99627850399106344</v>
      </c>
      <c r="Z40" s="107">
        <f t="shared" si="23"/>
        <v>0.99443009617470213</v>
      </c>
      <c r="AA40" s="107">
        <f t="shared" si="23"/>
        <v>0.99410719013828253</v>
      </c>
      <c r="AB40" s="107">
        <f t="shared" si="23"/>
        <v>0.99469360096649495</v>
      </c>
      <c r="AC40" s="107">
        <f t="shared" si="23"/>
        <v>0.99336834849866573</v>
      </c>
      <c r="AD40" s="107">
        <f t="shared" si="23"/>
        <v>0.99387592594639662</v>
      </c>
      <c r="AE40" s="107">
        <f t="shared" si="23"/>
        <v>0.99382977729313304</v>
      </c>
      <c r="AF40" s="107">
        <f t="shared" si="23"/>
        <v>0.99411435518065605</v>
      </c>
      <c r="AG40" s="107">
        <f t="shared" si="23"/>
        <v>0.99458971169477695</v>
      </c>
      <c r="AH40" s="107">
        <f t="shared" si="23"/>
        <v>0.99365430115322684</v>
      </c>
      <c r="AI40" s="107">
        <f t="shared" si="23"/>
        <v>0.99313163690882356</v>
      </c>
      <c r="AJ40" s="107">
        <f t="shared" si="23"/>
        <v>0.99323819710000683</v>
      </c>
      <c r="AK40" s="107">
        <f t="shared" si="23"/>
        <v>0.99364686074271391</v>
      </c>
      <c r="AL40" s="107">
        <f t="shared" si="23"/>
        <v>0.99402551089194924</v>
      </c>
      <c r="AM40" s="107">
        <f t="shared" si="23"/>
        <v>0.9942540346388401</v>
      </c>
      <c r="AN40" s="107">
        <f t="shared" si="23"/>
        <v>0.99458416152858031</v>
      </c>
      <c r="AO40" s="107">
        <f t="shared" si="23"/>
        <v>0.99486069668546484</v>
      </c>
      <c r="AP40" s="107">
        <f t="shared" si="23"/>
        <v>0.99597910824581881</v>
      </c>
      <c r="AQ40" s="107">
        <f t="shared" si="23"/>
        <v>0.99674303575954559</v>
      </c>
      <c r="AR40" s="107">
        <f t="shared" si="23"/>
        <v>0.99711745481240444</v>
      </c>
      <c r="AS40" s="107">
        <f t="shared" si="23"/>
        <v>0.99633825974002976</v>
      </c>
      <c r="AT40" s="107">
        <f t="shared" si="23"/>
        <v>0.9957940612804328</v>
      </c>
      <c r="AU40" s="107">
        <f t="shared" si="23"/>
        <v>0.99495242542100437</v>
      </c>
      <c r="AV40" s="107">
        <f t="shared" si="23"/>
        <v>0.99417624917520564</v>
      </c>
      <c r="AW40" s="107">
        <f t="shared" si="23"/>
        <v>0.99373867390499704</v>
      </c>
      <c r="AX40" s="107">
        <f t="shared" si="23"/>
        <v>0.99346776468255138</v>
      </c>
      <c r="AY40" s="107">
        <f t="shared" si="23"/>
        <v>0.99380025265734806</v>
      </c>
      <c r="AZ40" s="107">
        <f t="shared" si="23"/>
        <v>0.99297191489046788</v>
      </c>
      <c r="BA40" s="107">
        <f t="shared" si="23"/>
        <v>0.99003188929445995</v>
      </c>
      <c r="BB40" s="107">
        <f t="shared" si="23"/>
        <v>0.99003905534157854</v>
      </c>
      <c r="BC40" s="107">
        <f t="shared" si="23"/>
        <v>0.99002013575007053</v>
      </c>
      <c r="BD40" s="107">
        <f t="shared" si="23"/>
        <v>0.9900076622312981</v>
      </c>
      <c r="BE40" s="107">
        <f t="shared" si="23"/>
        <v>0.98918605241337731</v>
      </c>
      <c r="BF40" s="107">
        <f t="shared" si="23"/>
        <v>0.98858833723130057</v>
      </c>
      <c r="BG40" s="107">
        <f t="shared" si="23"/>
        <v>0.9876538794822004</v>
      </c>
      <c r="BH40" s="107">
        <f t="shared" si="23"/>
        <v>0.98730668262769095</v>
      </c>
      <c r="BI40" s="107">
        <f t="shared" si="23"/>
        <v>0.98853775635973051</v>
      </c>
      <c r="BJ40" s="107">
        <f t="shared" si="23"/>
        <v>0.98952567472327813</v>
      </c>
      <c r="BK40" s="107">
        <f t="shared" si="23"/>
        <v>0.99015274455834645</v>
      </c>
      <c r="BL40" s="107">
        <f t="shared" si="23"/>
        <v>0.99087386387867815</v>
      </c>
      <c r="BM40" s="107">
        <f t="shared" si="23"/>
        <v>0.99155043417854183</v>
      </c>
      <c r="BN40" s="107">
        <f t="shared" si="23"/>
        <v>0.99198641573210211</v>
      </c>
      <c r="BO40" s="107">
        <f t="shared" si="23"/>
        <v>0.99231665542789349</v>
      </c>
      <c r="BP40" s="107">
        <f t="shared" si="23"/>
        <v>0.99330134244166346</v>
      </c>
      <c r="BQ40" s="107">
        <f t="shared" ref="BQ40:CL40" si="24">BQ34/BQ21</f>
        <v>0.99359504537485643</v>
      </c>
      <c r="BR40" s="107">
        <f t="shared" si="24"/>
        <v>0.99420752809188973</v>
      </c>
      <c r="BS40" s="107">
        <f t="shared" si="24"/>
        <v>0.99530368471355157</v>
      </c>
      <c r="BT40" s="107">
        <f t="shared" si="24"/>
        <v>0.99578067239120138</v>
      </c>
      <c r="BU40" s="107">
        <f t="shared" si="24"/>
        <v>0.99691966607480398</v>
      </c>
      <c r="BV40" s="107">
        <f t="shared" si="24"/>
        <v>0.997140019109788</v>
      </c>
      <c r="BW40" s="107">
        <f t="shared" si="24"/>
        <v>0.9971715975659512</v>
      </c>
      <c r="BX40" s="107">
        <f t="shared" si="24"/>
        <v>0.9973170217607249</v>
      </c>
      <c r="BY40" s="107">
        <f t="shared" si="24"/>
        <v>0.99719374685157525</v>
      </c>
      <c r="BZ40" s="107">
        <f t="shared" si="24"/>
        <v>0.99738637800696228</v>
      </c>
      <c r="CA40" s="107">
        <f t="shared" si="24"/>
        <v>0.99745909930003263</v>
      </c>
      <c r="CB40" s="107">
        <f t="shared" si="24"/>
        <v>0.99922638735884217</v>
      </c>
      <c r="CC40" s="107">
        <f t="shared" si="24"/>
        <v>0.99922990994874905</v>
      </c>
      <c r="CD40" s="107">
        <f t="shared" si="24"/>
        <v>0.99922051478680185</v>
      </c>
      <c r="CE40" s="107">
        <f t="shared" si="24"/>
        <v>0.99953054627714799</v>
      </c>
      <c r="CF40" s="107">
        <f t="shared" si="24"/>
        <v>1.0011622064926744</v>
      </c>
      <c r="CG40" s="107">
        <f t="shared" si="24"/>
        <v>1.0003533274278145</v>
      </c>
      <c r="CH40" s="107">
        <f t="shared" si="24"/>
        <v>0.9999703914157827</v>
      </c>
      <c r="CI40" s="107">
        <f t="shared" si="24"/>
        <v>1.0002541315035089</v>
      </c>
      <c r="CJ40" s="107">
        <f t="shared" si="24"/>
        <v>1.0001912394964942</v>
      </c>
      <c r="CK40" s="107">
        <f t="shared" si="24"/>
        <v>1.0001280909100005</v>
      </c>
      <c r="CL40" s="107">
        <f t="shared" si="24"/>
        <v>1.0000310089138431</v>
      </c>
    </row>
    <row r="41" spans="1:90" s="54" customFormat="1" ht="12" x14ac:dyDescent="0.3">
      <c r="A41" s="80" t="s">
        <v>260</v>
      </c>
      <c r="B41" s="54" t="s">
        <v>261</v>
      </c>
      <c r="C41" s="7" t="s">
        <v>262</v>
      </c>
      <c r="D41" s="107">
        <f>D35/D23</f>
        <v>1</v>
      </c>
      <c r="E41" s="107">
        <f t="shared" ref="E41:BP41" si="25">E35/E23</f>
        <v>1</v>
      </c>
      <c r="F41" s="107">
        <f t="shared" si="25"/>
        <v>0.99999999999999978</v>
      </c>
      <c r="G41" s="107">
        <f t="shared" si="25"/>
        <v>1.0012903225806451</v>
      </c>
      <c r="H41" s="107">
        <f t="shared" si="25"/>
        <v>0.99999999999999978</v>
      </c>
      <c r="I41" s="107">
        <f t="shared" si="25"/>
        <v>1.0012091898428053</v>
      </c>
      <c r="J41" s="107">
        <f t="shared" si="25"/>
        <v>1.0012150668286754</v>
      </c>
      <c r="K41" s="107">
        <f t="shared" si="25"/>
        <v>1.0024875621890545</v>
      </c>
      <c r="L41" s="107">
        <f t="shared" si="25"/>
        <v>1.0025445292620865</v>
      </c>
      <c r="M41" s="107">
        <f t="shared" si="25"/>
        <v>1.0025839793281652</v>
      </c>
      <c r="N41" s="107">
        <f t="shared" si="25"/>
        <v>1.0039113428943938</v>
      </c>
      <c r="O41" s="107">
        <f t="shared" si="25"/>
        <v>1.0038961038961038</v>
      </c>
      <c r="P41" s="107">
        <f t="shared" si="25"/>
        <v>1.0025477707006369</v>
      </c>
      <c r="Q41" s="107">
        <f t="shared" si="25"/>
        <v>1.0025445292620865</v>
      </c>
      <c r="R41" s="107">
        <f t="shared" si="25"/>
        <v>1.0025316455696203</v>
      </c>
      <c r="S41" s="107">
        <f t="shared" si="25"/>
        <v>1.0024844720496895</v>
      </c>
      <c r="T41" s="107">
        <f t="shared" si="25"/>
        <v>1.0024096385542169</v>
      </c>
      <c r="U41" s="107">
        <f t="shared" si="25"/>
        <v>1.0035842293906809</v>
      </c>
      <c r="V41" s="107">
        <f t="shared" si="25"/>
        <v>1.003579952267303</v>
      </c>
      <c r="W41" s="107">
        <f t="shared" si="25"/>
        <v>1.0035252643948296</v>
      </c>
      <c r="X41" s="107">
        <f t="shared" si="25"/>
        <v>1.0033898305084745</v>
      </c>
      <c r="Y41" s="107">
        <f t="shared" si="25"/>
        <v>1.0031479538300105</v>
      </c>
      <c r="Z41" s="107">
        <f t="shared" si="25"/>
        <v>1.0028571428571429</v>
      </c>
      <c r="AA41" s="107">
        <f t="shared" si="25"/>
        <v>1.002588438308887</v>
      </c>
      <c r="AB41" s="107">
        <f t="shared" si="25"/>
        <v>1.002411575562701</v>
      </c>
      <c r="AC41" s="107">
        <f t="shared" si="25"/>
        <v>1.0022438294689604</v>
      </c>
      <c r="AD41" s="107">
        <f t="shared" si="25"/>
        <v>1.0027397260273974</v>
      </c>
      <c r="AE41" s="107">
        <f t="shared" si="25"/>
        <v>1.0025220680958387</v>
      </c>
      <c r="AF41" s="107">
        <f t="shared" si="25"/>
        <v>1.0023215322112593</v>
      </c>
      <c r="AG41" s="107">
        <f t="shared" si="25"/>
        <v>1.0016268980477223</v>
      </c>
      <c r="AH41" s="107">
        <f t="shared" si="25"/>
        <v>1.002021222839818</v>
      </c>
      <c r="AI41" s="107">
        <f t="shared" si="25"/>
        <v>1.0013888888888889</v>
      </c>
      <c r="AJ41" s="107">
        <f t="shared" si="25"/>
        <v>1.0012744265080713</v>
      </c>
      <c r="AK41" s="107">
        <f t="shared" si="25"/>
        <v>1.0008041817450744</v>
      </c>
      <c r="AL41" s="107">
        <f t="shared" si="25"/>
        <v>1.0007587253414261</v>
      </c>
      <c r="AM41" s="107">
        <f t="shared" si="25"/>
        <v>1</v>
      </c>
      <c r="AN41" s="107">
        <f t="shared" si="25"/>
        <v>1</v>
      </c>
      <c r="AO41" s="107">
        <f t="shared" si="25"/>
        <v>1.0003185727938835</v>
      </c>
      <c r="AP41" s="107">
        <f t="shared" si="25"/>
        <v>1.0015073861923425</v>
      </c>
      <c r="AQ41" s="107">
        <f t="shared" si="25"/>
        <v>1.0028288543140029</v>
      </c>
      <c r="AR41" s="107">
        <f t="shared" si="25"/>
        <v>1.0039256739073541</v>
      </c>
      <c r="AS41" s="107">
        <f t="shared" si="25"/>
        <v>1.0033549005511624</v>
      </c>
      <c r="AT41" s="107">
        <f t="shared" si="25"/>
        <v>1.0031062791213667</v>
      </c>
      <c r="AU41" s="107">
        <f t="shared" si="25"/>
        <v>1.0026672137874437</v>
      </c>
      <c r="AV41" s="107">
        <f t="shared" si="25"/>
        <v>1.0022684310018903</v>
      </c>
      <c r="AW41" s="107">
        <f t="shared" si="25"/>
        <v>1.0019318580962417</v>
      </c>
      <c r="AX41" s="107">
        <f t="shared" si="25"/>
        <v>1.0018041659832704</v>
      </c>
      <c r="AY41" s="107">
        <f t="shared" si="25"/>
        <v>1.002129925452609</v>
      </c>
      <c r="AZ41" s="107">
        <f t="shared" si="25"/>
        <v>1.0020885547201335</v>
      </c>
      <c r="BA41" s="107">
        <f t="shared" si="25"/>
        <v>1.0013922288317934</v>
      </c>
      <c r="BB41" s="107">
        <f t="shared" si="25"/>
        <v>1.0011648223645893</v>
      </c>
      <c r="BC41" s="107">
        <f t="shared" si="25"/>
        <v>1.0011769741065695</v>
      </c>
      <c r="BD41" s="107">
        <f t="shared" si="25"/>
        <v>1.0011642573008632</v>
      </c>
      <c r="BE41" s="107">
        <f t="shared" si="25"/>
        <v>1.0009509812397337</v>
      </c>
      <c r="BF41" s="107">
        <f t="shared" si="25"/>
        <v>1.000915820804396</v>
      </c>
      <c r="BG41" s="107">
        <f t="shared" si="25"/>
        <v>1.0008138903960933</v>
      </c>
      <c r="BH41" s="107">
        <f t="shared" si="25"/>
        <v>1.0006617337424051</v>
      </c>
      <c r="BI41" s="107">
        <f t="shared" si="25"/>
        <v>1.0006541291905151</v>
      </c>
      <c r="BJ41" s="107">
        <f t="shared" si="25"/>
        <v>1.0006542197171757</v>
      </c>
      <c r="BK41" s="107">
        <f t="shared" si="25"/>
        <v>1.0005958382986524</v>
      </c>
      <c r="BL41" s="107">
        <f t="shared" si="25"/>
        <v>1.0005033979360685</v>
      </c>
      <c r="BM41" s="107">
        <f t="shared" si="25"/>
        <v>1.0004693550279657</v>
      </c>
      <c r="BN41" s="107">
        <f t="shared" si="25"/>
        <v>1.0004423636966862</v>
      </c>
      <c r="BO41" s="107">
        <f t="shared" si="25"/>
        <v>1.0004164642187825</v>
      </c>
      <c r="BP41" s="107">
        <f t="shared" si="25"/>
        <v>1.0009778994719341</v>
      </c>
      <c r="BQ41" s="107">
        <f t="shared" ref="BQ41:CL41" si="26">BQ35/BQ23</f>
        <v>1.0009181893306398</v>
      </c>
      <c r="BR41" s="107">
        <f t="shared" si="26"/>
        <v>1.0008745845723281</v>
      </c>
      <c r="BS41" s="107">
        <f t="shared" si="26"/>
        <v>1.0016165444967808</v>
      </c>
      <c r="BT41" s="107">
        <f t="shared" si="26"/>
        <v>1.0018528812303129</v>
      </c>
      <c r="BU41" s="107">
        <f t="shared" si="26"/>
        <v>1.0027029056235452</v>
      </c>
      <c r="BV41" s="107">
        <f t="shared" si="26"/>
        <v>1.0026753655159464</v>
      </c>
      <c r="BW41" s="107">
        <f t="shared" si="26"/>
        <v>1.0025036786506487</v>
      </c>
      <c r="BX41" s="107">
        <f t="shared" si="26"/>
        <v>1.0023198521864092</v>
      </c>
      <c r="BY41" s="107">
        <f t="shared" si="26"/>
        <v>1.0021667018196458</v>
      </c>
      <c r="BZ41" s="107">
        <f t="shared" si="26"/>
        <v>1.0022022093710274</v>
      </c>
      <c r="CA41" s="107">
        <f t="shared" si="26"/>
        <v>1.0020514702203245</v>
      </c>
      <c r="CB41" s="107">
        <f t="shared" si="26"/>
        <v>1.0038848806786647</v>
      </c>
      <c r="CC41" s="107">
        <f t="shared" si="26"/>
        <v>1.0037693467491307</v>
      </c>
      <c r="CD41" s="107">
        <f t="shared" si="26"/>
        <v>1.003665195601765</v>
      </c>
      <c r="CE41" s="107">
        <f t="shared" si="26"/>
        <v>1.0049515701689615</v>
      </c>
      <c r="CF41" s="107">
        <f t="shared" si="26"/>
        <v>1.0070544777881156</v>
      </c>
      <c r="CG41" s="107">
        <f t="shared" si="26"/>
        <v>1.0066927011426241</v>
      </c>
      <c r="CH41" s="107">
        <f t="shared" si="26"/>
        <v>1.0062958556414832</v>
      </c>
      <c r="CI41" s="107">
        <f t="shared" si="26"/>
        <v>1.0064055099138489</v>
      </c>
      <c r="CJ41" s="107">
        <f t="shared" si="26"/>
        <v>1.0062719778636076</v>
      </c>
      <c r="CK41" s="107">
        <f t="shared" si="26"/>
        <v>1.0061591664218068</v>
      </c>
      <c r="CL41" s="107">
        <f t="shared" si="26"/>
        <v>1.0059743050074541</v>
      </c>
    </row>
    <row r="42" spans="1:90" s="83" customFormat="1" ht="9.65" customHeight="1" x14ac:dyDescent="0.3"/>
    <row r="43" spans="1:90" s="54" customFormat="1" ht="12" x14ac:dyDescent="0.3">
      <c r="B43" s="55" t="s">
        <v>263</v>
      </c>
    </row>
    <row r="44" spans="1:90" s="54" customFormat="1" ht="12" x14ac:dyDescent="0.3">
      <c r="A44" s="54" t="s">
        <v>264</v>
      </c>
      <c r="B44" s="119">
        <f>AVERAGE(D39:CL39)</f>
        <v>0.99612783932007443</v>
      </c>
    </row>
    <row r="45" spans="1:90" s="54" customFormat="1" ht="12" x14ac:dyDescent="0.3">
      <c r="A45" s="54" t="s">
        <v>265</v>
      </c>
      <c r="B45" s="119">
        <f>AVERAGE(D40:CL40)</f>
        <v>0.99612783932007443</v>
      </c>
    </row>
    <row r="46" spans="1:90" s="54" customFormat="1" ht="12" x14ac:dyDescent="0.3">
      <c r="A46" s="54" t="s">
        <v>266</v>
      </c>
      <c r="B46" s="119">
        <f>AVERAGE(D41:CL41)</f>
        <v>1.0022797425461338</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2050" r:id="rId4">
          <objectPr defaultSize="0" autoPict="0" r:id="rId5">
            <anchor moveWithCells="1">
              <from>
                <xdr:col>0</xdr:col>
                <xdr:colOff>177800</xdr:colOff>
                <xdr:row>0</xdr:row>
                <xdr:rowOff>0</xdr:rowOff>
              </from>
              <to>
                <xdr:col>2</xdr:col>
                <xdr:colOff>825500</xdr:colOff>
                <xdr:row>17</xdr:row>
                <xdr:rowOff>101600</xdr:rowOff>
              </to>
            </anchor>
          </objectPr>
        </oleObject>
      </mc:Choice>
      <mc:Fallback>
        <oleObject progId="Word.Document.12" shapeId="2050"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8:CL19"/>
  <sheetViews>
    <sheetView workbookViewId="0">
      <selection activeCell="K12" sqref="K12"/>
    </sheetView>
  </sheetViews>
  <sheetFormatPr defaultColWidth="8.81640625" defaultRowHeight="14.5" x14ac:dyDescent="0.35"/>
  <cols>
    <col min="1" max="1" width="22.36328125" customWidth="1"/>
    <col min="2" max="2" width="17.08984375" customWidth="1"/>
    <col min="3" max="3" width="11.08984375" customWidth="1"/>
    <col min="4" max="4" width="5.08984375" customWidth="1"/>
    <col min="5" max="5" width="6.453125" customWidth="1"/>
    <col min="6" max="8" width="4.36328125" customWidth="1"/>
    <col min="9" max="18" width="4.36328125" bestFit="1" customWidth="1"/>
    <col min="19" max="51" width="4.36328125" customWidth="1"/>
    <col min="52" max="63" width="5.08984375" customWidth="1"/>
    <col min="64" max="64" width="5.453125" customWidth="1"/>
    <col min="65" max="81" width="5.08984375" customWidth="1"/>
    <col min="82" max="83" width="5.08984375" bestFit="1" customWidth="1"/>
    <col min="84" max="88" width="5.81640625" bestFit="1" customWidth="1"/>
    <col min="89" max="89" width="6" customWidth="1"/>
    <col min="90" max="90" width="6.453125" customWidth="1"/>
  </cols>
  <sheetData>
    <row r="8" spans="1:90" s="54" customFormat="1" ht="13" x14ac:dyDescent="0.3">
      <c r="A8" s="120" t="s">
        <v>353</v>
      </c>
    </row>
    <row r="9" spans="1:90" s="54" customFormat="1" x14ac:dyDescent="0.35">
      <c r="A9" s="96" t="s">
        <v>267</v>
      </c>
    </row>
    <row r="10" spans="1:90" s="54" customFormat="1" ht="12" x14ac:dyDescent="0.3">
      <c r="A10" s="57" t="s">
        <v>0</v>
      </c>
      <c r="B10" s="97" t="s">
        <v>1</v>
      </c>
      <c r="C10" s="57" t="s">
        <v>2</v>
      </c>
      <c r="D10" s="85">
        <v>1925</v>
      </c>
      <c r="E10" s="85">
        <v>1926</v>
      </c>
      <c r="F10" s="85">
        <v>1927</v>
      </c>
      <c r="G10" s="85">
        <v>1928</v>
      </c>
      <c r="H10" s="85">
        <v>1929</v>
      </c>
      <c r="I10" s="85">
        <v>1930</v>
      </c>
      <c r="J10" s="85">
        <v>1931</v>
      </c>
      <c r="K10" s="85">
        <v>1932</v>
      </c>
      <c r="L10" s="85">
        <v>1933</v>
      </c>
      <c r="M10" s="85">
        <v>1934</v>
      </c>
      <c r="N10" s="85">
        <v>1935</v>
      </c>
      <c r="O10" s="85">
        <v>1936</v>
      </c>
      <c r="P10" s="85">
        <v>1937</v>
      </c>
      <c r="Q10" s="85">
        <v>1938</v>
      </c>
      <c r="R10" s="85">
        <v>1939</v>
      </c>
      <c r="S10" s="85">
        <v>1940</v>
      </c>
      <c r="T10" s="85">
        <v>1941</v>
      </c>
      <c r="U10" s="85">
        <v>1942</v>
      </c>
      <c r="V10" s="85">
        <v>1943</v>
      </c>
      <c r="W10" s="85">
        <v>1944</v>
      </c>
      <c r="X10" s="85">
        <v>1945</v>
      </c>
      <c r="Y10" s="85">
        <v>1946</v>
      </c>
      <c r="Z10" s="85">
        <v>1947</v>
      </c>
      <c r="AA10" s="85">
        <v>1948</v>
      </c>
      <c r="AB10" s="85">
        <v>1949</v>
      </c>
      <c r="AC10" s="85">
        <v>1950</v>
      </c>
      <c r="AD10" s="85">
        <v>1951</v>
      </c>
      <c r="AE10" s="85">
        <v>1952</v>
      </c>
      <c r="AF10" s="85">
        <v>1953</v>
      </c>
      <c r="AG10" s="85">
        <v>1954</v>
      </c>
      <c r="AH10" s="85">
        <v>1955</v>
      </c>
      <c r="AI10" s="85">
        <v>1956</v>
      </c>
      <c r="AJ10" s="85">
        <v>1957</v>
      </c>
      <c r="AK10" s="85">
        <v>1958</v>
      </c>
      <c r="AL10" s="85">
        <v>1959</v>
      </c>
      <c r="AM10" s="85">
        <v>1960</v>
      </c>
      <c r="AN10" s="85">
        <v>1961</v>
      </c>
      <c r="AO10" s="85">
        <v>1962</v>
      </c>
      <c r="AP10" s="85">
        <v>1963</v>
      </c>
      <c r="AQ10" s="85">
        <v>1964</v>
      </c>
      <c r="AR10" s="85">
        <v>1965</v>
      </c>
      <c r="AS10" s="85">
        <v>1966</v>
      </c>
      <c r="AT10" s="85">
        <v>1967</v>
      </c>
      <c r="AU10" s="85">
        <v>1968</v>
      </c>
      <c r="AV10" s="85">
        <v>1969</v>
      </c>
      <c r="AW10" s="85">
        <v>1970</v>
      </c>
      <c r="AX10" s="85">
        <v>1971</v>
      </c>
      <c r="AY10" s="85">
        <v>1972</v>
      </c>
      <c r="AZ10" s="85">
        <v>1973</v>
      </c>
      <c r="BA10" s="85">
        <v>1974</v>
      </c>
      <c r="BB10" s="85">
        <v>1975</v>
      </c>
      <c r="BC10" s="85">
        <v>1976</v>
      </c>
      <c r="BD10" s="85">
        <v>1977</v>
      </c>
      <c r="BE10" s="85">
        <v>1978</v>
      </c>
      <c r="BF10" s="85">
        <v>1979</v>
      </c>
      <c r="BG10" s="85">
        <v>1980</v>
      </c>
      <c r="BH10" s="85">
        <v>1981</v>
      </c>
      <c r="BI10" s="85">
        <v>1982</v>
      </c>
      <c r="BJ10" s="85">
        <v>1983</v>
      </c>
      <c r="BK10" s="85">
        <v>1984</v>
      </c>
      <c r="BL10" s="85">
        <v>1985</v>
      </c>
      <c r="BM10" s="85">
        <v>1986</v>
      </c>
      <c r="BN10" s="85">
        <v>1987</v>
      </c>
      <c r="BO10" s="85">
        <v>1988</v>
      </c>
      <c r="BP10" s="85">
        <v>1989</v>
      </c>
      <c r="BQ10" s="85">
        <v>1990</v>
      </c>
      <c r="BR10" s="85">
        <v>1991</v>
      </c>
      <c r="BS10" s="85">
        <v>1992</v>
      </c>
      <c r="BT10" s="85">
        <v>1993</v>
      </c>
      <c r="BU10" s="85">
        <v>1994</v>
      </c>
      <c r="BV10" s="85">
        <v>1995</v>
      </c>
      <c r="BW10" s="85">
        <v>1996</v>
      </c>
      <c r="BX10" s="85">
        <v>1997</v>
      </c>
      <c r="BY10" s="85">
        <v>1998</v>
      </c>
      <c r="BZ10" s="85">
        <v>1999</v>
      </c>
      <c r="CA10" s="85">
        <v>2000</v>
      </c>
      <c r="CB10" s="85">
        <v>2001</v>
      </c>
      <c r="CC10" s="85">
        <v>2002</v>
      </c>
      <c r="CD10" s="85">
        <v>2003</v>
      </c>
      <c r="CE10" s="85">
        <v>2004</v>
      </c>
      <c r="CF10" s="85">
        <v>2005</v>
      </c>
      <c r="CG10" s="85">
        <v>2006</v>
      </c>
      <c r="CH10" s="85">
        <v>2007</v>
      </c>
      <c r="CI10" s="85">
        <v>2008</v>
      </c>
      <c r="CJ10" s="85">
        <v>2009</v>
      </c>
      <c r="CK10" s="85">
        <v>2010</v>
      </c>
      <c r="CL10" s="59">
        <v>2011</v>
      </c>
    </row>
    <row r="11" spans="1:90" s="54" customFormat="1" ht="12" x14ac:dyDescent="0.3">
      <c r="A11" s="58" t="s">
        <v>350</v>
      </c>
      <c r="B11" s="97"/>
      <c r="C11" s="57"/>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59"/>
    </row>
    <row r="12" spans="1:90" s="54" customFormat="1" ht="12" x14ac:dyDescent="0.3">
      <c r="A12" s="98" t="s">
        <v>268</v>
      </c>
      <c r="B12" s="98" t="s">
        <v>269</v>
      </c>
      <c r="C12" s="54" t="s">
        <v>227</v>
      </c>
      <c r="D12" s="81">
        <v>98.1</v>
      </c>
      <c r="E12" s="84">
        <f>'Appndx 6.8.II.1'!E28+(1-'Appndx 6.8.II.1'!E26)*('Appndx 6.8.II.1'!E22/'Appndx 6.8.II.1'!D22)*'Appndx 6.8.II.2'!D12</f>
        <v>101.0183856502242</v>
      </c>
      <c r="F12" s="84">
        <f>'Appndx 6.8.II.1'!F28+(1-'Appndx 6.8.II.1'!F26)*('Appndx 6.8.II.1'!F22/'Appndx 6.8.II.1'!E22)*'Appndx 6.8.II.2'!E12</f>
        <v>102.49925882971768</v>
      </c>
      <c r="G12" s="84">
        <f>'Appndx 6.8.II.1'!G28+(1-'Appndx 6.8.II.1'!G26)*('Appndx 6.8.II.1'!G22/'Appndx 6.8.II.1'!F22)*'Appndx 6.8.II.2'!F12</f>
        <v>104.7900247718437</v>
      </c>
      <c r="H12" s="84">
        <f>'Appndx 6.8.II.1'!H28+(1-'Appndx 6.8.II.1'!H26)*('Appndx 6.8.II.1'!H22/'Appndx 6.8.II.1'!G22)*'Appndx 6.8.II.2'!G12</f>
        <v>103.708792215535</v>
      </c>
      <c r="I12" s="84">
        <f>'Appndx 6.8.II.1'!I28+(1-'Appndx 6.8.II.1'!I26)*('Appndx 6.8.II.1'!I22/'Appndx 6.8.II.1'!H22)*'Appndx 6.8.II.2'!H12</f>
        <v>98.697510347294951</v>
      </c>
      <c r="J12" s="84">
        <f>'Appndx 6.8.II.1'!J28+(1-'Appndx 6.8.II.1'!J26)*('Appndx 6.8.II.1'!J22/'Appndx 6.8.II.1'!I22)*'Appndx 6.8.II.2'!I12</f>
        <v>88.540499545236173</v>
      </c>
      <c r="K12" s="84">
        <f>'Appndx 6.8.II.1'!K28+(1-'Appndx 6.8.II.1'!K26)*('Appndx 6.8.II.1'!K22/'Appndx 6.8.II.1'!J22)*'Appndx 6.8.II.2'!J12</f>
        <v>82.514764234995681</v>
      </c>
      <c r="L12" s="84">
        <f>'Appndx 6.8.II.1'!L28+(1-'Appndx 6.8.II.1'!L26)*('Appndx 6.8.II.1'!L22/'Appndx 6.8.II.1'!K22)*'Appndx 6.8.II.2'!K12</f>
        <v>83.377983104170582</v>
      </c>
      <c r="M12" s="84">
        <f>'Appndx 6.8.II.1'!M28+(1-'Appndx 6.8.II.1'!M26)*('Appndx 6.8.II.1'!M22/'Appndx 6.8.II.1'!L22)*'Appndx 6.8.II.2'!L12</f>
        <v>84.329442870283771</v>
      </c>
      <c r="N12" s="84">
        <f>'Appndx 6.8.II.1'!N28+(1-'Appndx 6.8.II.1'!N26)*('Appndx 6.8.II.1'!N22/'Appndx 6.8.II.1'!M22)*'Appndx 6.8.II.2'!M12</f>
        <v>83.888180925207479</v>
      </c>
      <c r="O12" s="84">
        <f>'Appndx 6.8.II.1'!O28+(1-'Appndx 6.8.II.1'!O26)*('Appndx 6.8.II.1'!O22/'Appndx 6.8.II.1'!N22)*'Appndx 6.8.II.2'!N12</f>
        <v>92.108108568649001</v>
      </c>
      <c r="P12" s="84">
        <f>'Appndx 6.8.II.1'!P28+(1-'Appndx 6.8.II.1'!P26)*('Appndx 6.8.II.1'!P22/'Appndx 6.8.II.1'!O22)*'Appndx 6.8.II.2'!O12</f>
        <v>95.301737652225057</v>
      </c>
      <c r="Q12" s="84">
        <f>'Appndx 6.8.II.1'!Q28+(1-'Appndx 6.8.II.1'!Q26)*('Appndx 6.8.II.1'!Q22/'Appndx 6.8.II.1'!P22)*'Appndx 6.8.II.2'!P12</f>
        <v>93.986778477851558</v>
      </c>
      <c r="R12" s="84">
        <f>'Appndx 6.8.II.1'!R28+(1-'Appndx 6.8.II.1'!R26)*('Appndx 6.8.II.1'!R22/'Appndx 6.8.II.1'!Q22)*'Appndx 6.8.II.2'!Q12</f>
        <v>94.389981744804373</v>
      </c>
      <c r="S12" s="84">
        <f>'Appndx 6.8.II.1'!S28+(1-'Appndx 6.8.II.1'!S26)*('Appndx 6.8.II.1'!S22/'Appndx 6.8.II.1'!R22)*'Appndx 6.8.II.2'!R12</f>
        <v>100.1271191385587</v>
      </c>
      <c r="T12" s="84">
        <f>'Appndx 6.8.II.1'!T28+(1-'Appndx 6.8.II.1'!T26)*('Appndx 6.8.II.1'!T22/'Appndx 6.8.II.1'!S22)*'Appndx 6.8.II.2'!S12</f>
        <v>112.09641298920137</v>
      </c>
      <c r="U12" s="84">
        <f>'Appndx 6.8.II.1'!U28+(1-'Appndx 6.8.II.1'!U26)*('Appndx 6.8.II.1'!U22/'Appndx 6.8.II.1'!T22)*'Appndx 6.8.II.2'!T12</f>
        <v>118.85777381507322</v>
      </c>
      <c r="V12" s="84">
        <f>'Appndx 6.8.II.1'!V28+(1-'Appndx 6.8.II.1'!V26)*('Appndx 6.8.II.1'!V22/'Appndx 6.8.II.1'!U22)*'Appndx 6.8.II.2'!U12</f>
        <v>119.34931875046212</v>
      </c>
      <c r="W12" s="84">
        <f>'Appndx 6.8.II.1'!W28+(1-'Appndx 6.8.II.1'!W26)*('Appndx 6.8.II.1'!W22/'Appndx 6.8.II.1'!V22)*'Appndx 6.8.II.2'!V12</f>
        <v>120.22152321319321</v>
      </c>
      <c r="X12" s="84">
        <f>'Appndx 6.8.II.1'!X28+(1-'Appndx 6.8.II.1'!X26)*('Appndx 6.8.II.1'!X22/'Appndx 6.8.II.1'!W22)*'Appndx 6.8.II.2'!W12</f>
        <v>131.1996878155243</v>
      </c>
      <c r="Y12" s="84">
        <f>'Appndx 6.8.II.1'!Y28+(1-'Appndx 6.8.II.1'!Y26)*('Appndx 6.8.II.1'!Y22/'Appndx 6.8.II.1'!X22)*'Appndx 6.8.II.2'!X12</f>
        <v>158.80679353617552</v>
      </c>
      <c r="Z12" s="84">
        <f>'Appndx 6.8.II.1'!Z28+(1-'Appndx 6.8.II.1'!Z26)*('Appndx 6.8.II.1'!Z22/'Appndx 6.8.II.1'!Y22)*'Appndx 6.8.II.2'!Y12</f>
        <v>189.04116128281086</v>
      </c>
      <c r="AA12" s="84">
        <f>'Appndx 6.8.II.1'!AA28+(1-'Appndx 6.8.II.1'!AA26)*('Appndx 6.8.II.1'!AA22/'Appndx 6.8.II.1'!Z22)*'Appndx 6.8.II.2'!Z12</f>
        <v>206.87370626777658</v>
      </c>
      <c r="AB12" s="84">
        <f>'Appndx 6.8.II.1'!AB28+(1-'Appndx 6.8.II.1'!AB26)*('Appndx 6.8.II.1'!AB22/'Appndx 6.8.II.1'!AA22)*'Appndx 6.8.II.2'!AA12</f>
        <v>211.07398212509025</v>
      </c>
      <c r="AC12" s="84">
        <f>'Appndx 6.8.II.1'!AC28+(1-'Appndx 6.8.II.1'!AC26)*('Appndx 6.8.II.1'!AC22/'Appndx 6.8.II.1'!AB22)*'Appndx 6.8.II.2'!AB12</f>
        <v>236.52100377753229</v>
      </c>
      <c r="AD12" s="84">
        <f>'Appndx 6.8.II.1'!AD28+(1-'Appndx 6.8.II.1'!AD26)*('Appndx 6.8.II.1'!AD22/'Appndx 6.8.II.1'!AC22)*'Appndx 6.8.II.2'!AC12</f>
        <v>256.91692685714355</v>
      </c>
      <c r="AE12" s="84">
        <f>'Appndx 6.8.II.1'!AE28+(1-'Appndx 6.8.II.1'!AE26)*('Appndx 6.8.II.1'!AE22/'Appndx 6.8.II.1'!AD22)*'Appndx 6.8.II.2'!AD12</f>
        <v>271.81244408967194</v>
      </c>
      <c r="AF12" s="84">
        <f>'Appndx 6.8.II.1'!AF28+(1-'Appndx 6.8.II.1'!AF26)*('Appndx 6.8.II.1'!AF22/'Appndx 6.8.II.1'!AE22)*'Appndx 6.8.II.2'!AE12</f>
        <v>285.31081993684836</v>
      </c>
      <c r="AG12" s="84">
        <f>'Appndx 6.8.II.1'!AG28+(1-'Appndx 6.8.II.1'!AG26)*('Appndx 6.8.II.1'!AG22/'Appndx 6.8.II.1'!AF22)*'Appndx 6.8.II.2'!AF12</f>
        <v>293.70234186346772</v>
      </c>
      <c r="AH12" s="84">
        <f>'Appndx 6.8.II.1'!AH28+(1-'Appndx 6.8.II.1'!AH26)*('Appndx 6.8.II.1'!AH22/'Appndx 6.8.II.1'!AG22)*'Appndx 6.8.II.2'!AG12</f>
        <v>322.93764787479887</v>
      </c>
      <c r="AI12" s="84">
        <f>'Appndx 6.8.II.1'!AI28+(1-'Appndx 6.8.II.1'!AI26)*('Appndx 6.8.II.1'!AI22/'Appndx 6.8.II.1'!AH22)*'Appndx 6.8.II.2'!AH12</f>
        <v>358.22258143301286</v>
      </c>
      <c r="AJ12" s="84">
        <f>'Appndx 6.8.II.1'!AJ28+(1-'Appndx 6.8.II.1'!AJ26)*('Appndx 6.8.II.1'!AJ22/'Appndx 6.8.II.1'!AI22)*'Appndx 6.8.II.2'!AI12</f>
        <v>384.28385845799278</v>
      </c>
      <c r="AK12" s="84">
        <f>'Appndx 6.8.II.1'!AK28+(1-'Appndx 6.8.II.1'!AK26)*('Appndx 6.8.II.1'!AK22/'Appndx 6.8.II.1'!AJ22)*'Appndx 6.8.II.2'!AJ12</f>
        <v>391.89432187692648</v>
      </c>
      <c r="AL12" s="84">
        <f>'Appndx 6.8.II.1'!AL28+(1-'Appndx 6.8.II.1'!AL26)*('Appndx 6.8.II.1'!AL22/'Appndx 6.8.II.1'!AK22)*'Appndx 6.8.II.2'!AK12</f>
        <v>409.14090028312654</v>
      </c>
      <c r="AM12" s="84">
        <f>'Appndx 6.8.II.1'!AM28+(1-'Appndx 6.8.II.1'!AM26)*('Appndx 6.8.II.1'!AM22/'Appndx 6.8.II.1'!AL22)*'Appndx 6.8.II.2'!AL12</f>
        <v>417.48726914484911</v>
      </c>
      <c r="AN12" s="84">
        <f>'Appndx 6.8.II.1'!AN28+(1-'Appndx 6.8.II.1'!AN26)*('Appndx 6.8.II.1'!AN22/'Appndx 6.8.II.1'!AM22)*'Appndx 6.8.II.2'!AM12</f>
        <v>427.9695647057481</v>
      </c>
      <c r="AO12" s="84">
        <f>'Appndx 6.8.II.1'!AO28+(1-'Appndx 6.8.II.1'!AO26)*('Appndx 6.8.II.1'!AO22/'Appndx 6.8.II.1'!AN22)*'Appndx 6.8.II.2'!AN12</f>
        <v>441.91712146768356</v>
      </c>
      <c r="AP12" s="84">
        <f>'Appndx 6.8.II.1'!AP28+(1-'Appndx 6.8.II.1'!AP26)*('Appndx 6.8.II.1'!AP22/'Appndx 6.8.II.1'!AO22)*'Appndx 6.8.II.2'!AO12</f>
        <v>456.45722530905874</v>
      </c>
      <c r="AQ12" s="84">
        <f>'Appndx 6.8.II.1'!AQ28+(1-'Appndx 6.8.II.1'!AQ26)*('Appndx 6.8.II.1'!AQ22/'Appndx 6.8.II.1'!AP22)*'Appndx 6.8.II.2'!AP12</f>
        <v>482.32395500404419</v>
      </c>
      <c r="AR12" s="84">
        <f>'Appndx 6.8.II.1'!AR28+(1-'Appndx 6.8.II.1'!AR26)*('Appndx 6.8.II.1'!AR22/'Appndx 6.8.II.1'!AQ22)*'Appndx 6.8.II.2'!AQ12</f>
        <v>515.90857111993796</v>
      </c>
      <c r="AS12" s="84">
        <f>'Appndx 6.8.II.1'!AS28+(1-'Appndx 6.8.II.1'!AS26)*('Appndx 6.8.II.1'!AS22/'Appndx 6.8.II.1'!AR22)*'Appndx 6.8.II.2'!AR12</f>
        <v>561.33697553753257</v>
      </c>
      <c r="AT12" s="84">
        <f>'Appndx 6.8.II.1'!AT28+(1-'Appndx 6.8.II.1'!AT26)*('Appndx 6.8.II.1'!AT22/'Appndx 6.8.II.1'!AS22)*'Appndx 6.8.II.2'!AS12</f>
        <v>608.23101263008812</v>
      </c>
      <c r="AU12" s="84">
        <f>'Appndx 6.8.II.1'!AU28+(1-'Appndx 6.8.II.1'!AU26)*('Appndx 6.8.II.1'!AU22/'Appndx 6.8.II.1'!AT22)*'Appndx 6.8.II.2'!AT12</f>
        <v>669.20500133816745</v>
      </c>
      <c r="AV12" s="84">
        <f>'Appndx 6.8.II.1'!AV28+(1-'Appndx 6.8.II.1'!AV26)*('Appndx 6.8.II.1'!AV22/'Appndx 6.8.II.1'!AU22)*'Appndx 6.8.II.2'!AU12</f>
        <v>736.78401826374488</v>
      </c>
      <c r="AW12" s="84">
        <f>'Appndx 6.8.II.1'!AW28+(1-'Appndx 6.8.II.1'!AW26)*('Appndx 6.8.II.1'!AW22/'Appndx 6.8.II.1'!AV22)*'Appndx 6.8.II.2'!AV12</f>
        <v>810.5926363043061</v>
      </c>
      <c r="AX12" s="84">
        <f>'Appndx 6.8.II.1'!AX28+(1-'Appndx 6.8.II.1'!AX26)*('Appndx 6.8.II.1'!AX22/'Appndx 6.8.II.1'!AW22)*'Appndx 6.8.II.2'!AW12</f>
        <v>889.35234294382008</v>
      </c>
      <c r="AY12" s="84">
        <f>'Appndx 6.8.II.1'!AY28+(1-'Appndx 6.8.II.1'!AY26)*('Appndx 6.8.II.1'!AY22/'Appndx 6.8.II.1'!AX22)*'Appndx 6.8.II.2'!AX12</f>
        <v>966.17260563347395</v>
      </c>
      <c r="AZ12" s="84">
        <f>'Appndx 6.8.II.1'!AZ28+(1-'Appndx 6.8.II.1'!AZ26)*('Appndx 6.8.II.1'!AZ22/'Appndx 6.8.II.1'!AY22)*'Appndx 6.8.II.2'!AY12</f>
        <v>1089.6873794007995</v>
      </c>
      <c r="BA12" s="84">
        <f>'Appndx 6.8.II.1'!BA28+(1-'Appndx 6.8.II.1'!BA26)*('Appndx 6.8.II.1'!BA22/'Appndx 6.8.II.1'!AZ22)*'Appndx 6.8.II.2'!AZ12</f>
        <v>1332.9789357460609</v>
      </c>
      <c r="BB12" s="84">
        <f>'Appndx 6.8.II.1'!BB28+(1-'Appndx 6.8.II.1'!BB26)*('Appndx 6.8.II.1'!BB22/'Appndx 6.8.II.1'!BA22)*'Appndx 6.8.II.2'!BA12</f>
        <v>1480.5044033577967</v>
      </c>
      <c r="BC12" s="84">
        <f>'Appndx 6.8.II.1'!BC28+(1-'Appndx 6.8.II.1'!BC26)*('Appndx 6.8.II.1'!BC22/'Appndx 6.8.II.1'!BB22)*'Appndx 6.8.II.2'!BB12</f>
        <v>1627.3950991459658</v>
      </c>
      <c r="BD12" s="84">
        <f>'Appndx 6.8.II.1'!BD28+(1-'Appndx 6.8.II.1'!BD26)*('Appndx 6.8.II.1'!BD22/'Appndx 6.8.II.1'!BC22)*'Appndx 6.8.II.2'!BC12</f>
        <v>1811.6150211170527</v>
      </c>
      <c r="BE12" s="84">
        <f>'Appndx 6.8.II.1'!BE28+(1-'Appndx 6.8.II.1'!BE26)*('Appndx 6.8.II.1'!BE22/'Appndx 6.8.II.1'!BD22)*'Appndx 6.8.II.2'!BD12</f>
        <v>2058.9907680984452</v>
      </c>
      <c r="BF12" s="84">
        <f>'Appndx 6.8.II.1'!BF28+(1-'Appndx 6.8.II.1'!BF26)*('Appndx 6.8.II.1'!BF22/'Appndx 6.8.II.1'!BE22)*'Appndx 6.8.II.2'!BE12</f>
        <v>2372.3154328539517</v>
      </c>
      <c r="BG12" s="84">
        <f>'Appndx 6.8.II.1'!BG28+(1-'Appndx 6.8.II.1'!BG26)*('Appndx 6.8.II.1'!BG22/'Appndx 6.8.II.1'!BF22)*'Appndx 6.8.II.2'!BF12</f>
        <v>2727.1098920262507</v>
      </c>
      <c r="BH12" s="84">
        <f>'Appndx 6.8.II.1'!BH28+(1-'Appndx 6.8.II.1'!BH26)*('Appndx 6.8.II.1'!BH22/'Appndx 6.8.II.1'!BG22)*'Appndx 6.8.II.2'!BG12</f>
        <v>3085.6295752163214</v>
      </c>
      <c r="BI12" s="84">
        <f>'Appndx 6.8.II.1'!BI28+(1-'Appndx 6.8.II.1'!BI26)*('Appndx 6.8.II.1'!BI22/'Appndx 6.8.II.1'!BH22)*'Appndx 6.8.II.2'!BH12</f>
        <v>3280.5613982554005</v>
      </c>
      <c r="BJ12" s="84">
        <f>'Appndx 6.8.II.1'!BJ28+(1-'Appndx 6.8.II.1'!BJ26)*('Appndx 6.8.II.1'!BJ22/'Appndx 6.8.II.1'!BI22)*'Appndx 6.8.II.2'!BI12</f>
        <v>3379.5270368824099</v>
      </c>
      <c r="BK12" s="84">
        <f>'Appndx 6.8.II.1'!BK28+(1-'Appndx 6.8.II.1'!BK26)*('Appndx 6.8.II.1'!BK22/'Appndx 6.8.II.1'!BJ22)*'Appndx 6.8.II.2'!BJ12</f>
        <v>3582.7686909099193</v>
      </c>
      <c r="BL12" s="84">
        <f>'Appndx 6.8.II.1'!BL28+(1-'Appndx 6.8.II.1'!BL26)*('Appndx 6.8.II.1'!BL22/'Appndx 6.8.II.1'!BK22)*'Appndx 6.8.II.2'!BK12</f>
        <v>3784.4445483118338</v>
      </c>
      <c r="BM12" s="84">
        <f>'Appndx 6.8.II.1'!BM28+(1-'Appndx 6.8.II.1'!BM26)*('Appndx 6.8.II.1'!BM22/'Appndx 6.8.II.1'!BL22)*'Appndx 6.8.II.2'!BL12</f>
        <v>3955.9887672421273</v>
      </c>
      <c r="BN12" s="84">
        <f>'Appndx 6.8.II.1'!BN28+(1-'Appndx 6.8.II.1'!BN26)*('Appndx 6.8.II.1'!BN22/'Appndx 6.8.II.1'!BM22)*'Appndx 6.8.II.2'!BM12</f>
        <v>4163.9621786770704</v>
      </c>
      <c r="BO12" s="84">
        <f>'Appndx 6.8.II.1'!BO28+(1-'Appndx 6.8.II.1'!BO26)*('Appndx 6.8.II.1'!BO22/'Appndx 6.8.II.1'!BN22)*'Appndx 6.8.II.2'!BN12</f>
        <v>4428.6100015091433</v>
      </c>
      <c r="BP12" s="84">
        <f>'Appndx 6.8.II.1'!BP28+(1-'Appndx 6.8.II.1'!BP26)*('Appndx 6.8.II.1'!BP22/'Appndx 6.8.II.1'!BO22)*'Appndx 6.8.II.2'!BO12</f>
        <v>4696.5274073326709</v>
      </c>
      <c r="BQ12" s="84">
        <f>'Appndx 6.8.II.1'!BQ28+(1-'Appndx 6.8.II.1'!BQ26)*('Appndx 6.8.II.1'!BQ22/'Appndx 6.8.II.1'!BP22)*'Appndx 6.8.II.2'!BP12</f>
        <v>4961.1194210611939</v>
      </c>
      <c r="BR12" s="84">
        <f>'Appndx 6.8.II.1'!BR28+(1-'Appndx 6.8.II.1'!BR26)*('Appndx 6.8.II.1'!BR22/'Appndx 6.8.II.1'!BQ22)*'Appndx 6.8.II.2'!BQ12</f>
        <v>5075.5288516619039</v>
      </c>
      <c r="BS12" s="84">
        <f>'Appndx 6.8.II.1'!BS28+(1-'Appndx 6.8.II.1'!BS26)*('Appndx 6.8.II.1'!BS22/'Appndx 6.8.II.1'!BR22)*'Appndx 6.8.II.2'!BR12</f>
        <v>5250.8241190748104</v>
      </c>
      <c r="BT12" s="84">
        <f>'Appndx 6.8.II.1'!BT28+(1-'Appndx 6.8.II.1'!BT26)*('Appndx 6.8.II.1'!BT22/'Appndx 6.8.II.1'!BS22)*'Appndx 6.8.II.2'!BS12</f>
        <v>5500.592856221755</v>
      </c>
      <c r="BU12" s="84">
        <f>'Appndx 6.8.II.1'!BU28+(1-'Appndx 6.8.II.1'!BU26)*('Appndx 6.8.II.1'!BU22/'Appndx 6.8.II.1'!BT22)*'Appndx 6.8.II.2'!BT12</f>
        <v>5805.9604432530487</v>
      </c>
      <c r="BV12" s="84">
        <f>'Appndx 6.8.II.1'!BV28+(1-'Appndx 6.8.II.1'!BV26)*('Appndx 6.8.II.1'!BV22/'Appndx 6.8.II.1'!BU22)*'Appndx 6.8.II.2'!BU12</f>
        <v>6136.5991056054554</v>
      </c>
      <c r="BW12" s="84">
        <f>'Appndx 6.8.II.1'!BW28+(1-'Appndx 6.8.II.1'!BW26)*('Appndx 6.8.II.1'!BW22/'Appndx 6.8.II.1'!BV22)*'Appndx 6.8.II.2'!BV12</f>
        <v>6451.600519091945</v>
      </c>
      <c r="BX12" s="84">
        <f>'Appndx 6.8.II.1'!BX28+(1-'Appndx 6.8.II.1'!BX26)*('Appndx 6.8.II.1'!BX22/'Appndx 6.8.II.1'!BW22)*'Appndx 6.8.II.2'!BW12</f>
        <v>6812.1739171366289</v>
      </c>
      <c r="BY12" s="84">
        <f>'Appndx 6.8.II.1'!BY28+(1-'Appndx 6.8.II.1'!BY26)*('Appndx 6.8.II.1'!BY22/'Appndx 6.8.II.1'!BX22)*'Appndx 6.8.II.2'!BX12</f>
        <v>7197.3455872759259</v>
      </c>
      <c r="BZ12" s="84">
        <f>'Appndx 6.8.II.1'!BZ28+(1-'Appndx 6.8.II.1'!BZ26)*('Appndx 6.8.II.1'!BZ22/'Appndx 6.8.II.1'!BY22)*'Appndx 6.8.II.2'!BY12</f>
        <v>7621.6277461780001</v>
      </c>
      <c r="CA12" s="84">
        <f>'Appndx 6.8.II.1'!CA28+(1-'Appndx 6.8.II.1'!CA26)*('Appndx 6.8.II.1'!CA22/'Appndx 6.8.II.1'!BZ22)*'Appndx 6.8.II.2'!BZ12</f>
        <v>8154.6271204174855</v>
      </c>
      <c r="CB12" s="84">
        <f>'Appndx 6.8.II.1'!CB28+(1-'Appndx 6.8.II.1'!CB26)*('Appndx 6.8.II.1'!CB22/'Appndx 6.8.II.1'!CA22)*'Appndx 6.8.II.2'!CA12</f>
        <v>8588.950335181662</v>
      </c>
      <c r="CC12" s="84">
        <f>'Appndx 6.8.II.1'!CC28+(1-'Appndx 6.8.II.1'!CC26)*('Appndx 6.8.II.1'!CC22/'Appndx 6.8.II.1'!CB22)*'Appndx 6.8.II.2'!CB12</f>
        <v>8900.8402688504684</v>
      </c>
      <c r="CD12" s="84">
        <f>'Appndx 6.8.II.1'!CD28+(1-'Appndx 6.8.II.1'!CD26)*('Appndx 6.8.II.1'!CD22/'Appndx 6.8.II.1'!CC22)*'Appndx 6.8.II.2'!CC12</f>
        <v>9178.6398047285984</v>
      </c>
      <c r="CE12" s="84">
        <f>'Appndx 6.8.II.1'!CE28+(1-'Appndx 6.8.II.1'!CE26)*('Appndx 6.8.II.1'!CE22/'Appndx 6.8.II.1'!CD22)*'Appndx 6.8.II.2'!CD12</f>
        <v>9904.847948333394</v>
      </c>
      <c r="CF12" s="84">
        <f>'Appndx 6.8.II.1'!CF28+(1-'Appndx 6.8.II.1'!CF26)*('Appndx 6.8.II.1'!CF22/'Appndx 6.8.II.1'!CE22)*'Appndx 6.8.II.2'!CE12</f>
        <v>10780.814988175061</v>
      </c>
      <c r="CG12" s="84">
        <f>'Appndx 6.8.II.1'!CG28+(1-'Appndx 6.8.II.1'!CG26)*('Appndx 6.8.II.1'!CG22/'Appndx 6.8.II.1'!CF22)*'Appndx 6.8.II.2'!CF12</f>
        <v>11684.026829024126</v>
      </c>
      <c r="CH12" s="84">
        <f>'Appndx 6.8.II.1'!CH28+(1-'Appndx 6.8.II.1'!CH26)*('Appndx 6.8.II.1'!CH22/'Appndx 6.8.II.1'!CG22)*'Appndx 6.8.II.2'!CG12</f>
        <v>12317.435287381324</v>
      </c>
      <c r="CI12" s="84">
        <f>'Appndx 6.8.II.1'!CI28+(1-'Appndx 6.8.II.1'!CI26)*('Appndx 6.8.II.1'!CI22/'Appndx 6.8.II.1'!CH22)*'Appndx 6.8.II.2'!CH12</f>
        <v>13141.338779693097</v>
      </c>
      <c r="CJ12" s="84">
        <f>'Appndx 6.8.II.1'!CJ28+(1-'Appndx 6.8.II.1'!CJ26)*('Appndx 6.8.II.1'!CJ22/'Appndx 6.8.II.1'!CI22)*'Appndx 6.8.II.2'!CI12</f>
        <v>12704.129066712618</v>
      </c>
      <c r="CK12" s="84">
        <f>'Appndx 6.8.II.1'!CK28+(1-'Appndx 6.8.II.1'!CK26)*('Appndx 6.8.II.1'!CK22/'Appndx 6.8.II.1'!CJ22)*'Appndx 6.8.II.2'!CJ12</f>
        <v>12996.264490139092</v>
      </c>
      <c r="CL12" s="84">
        <f>'Appndx 6.8.II.1'!CL28+(1-'Appndx 6.8.II.1'!CL26)*('Appndx 6.8.II.1'!CL22/'Appndx 6.8.II.1'!CK22)*'Appndx 6.8.II.2'!CK12</f>
        <v>13531.219575411427</v>
      </c>
    </row>
    <row r="13" spans="1:90" s="54" customFormat="1" ht="12" x14ac:dyDescent="0.3">
      <c r="A13" s="98" t="s">
        <v>270</v>
      </c>
      <c r="B13" s="98" t="s">
        <v>271</v>
      </c>
      <c r="C13" s="54" t="s">
        <v>272</v>
      </c>
      <c r="D13" s="81">
        <v>77.769000000000005</v>
      </c>
      <c r="E13" s="84">
        <f>'Appndx 6.8.II.1'!E28+(1-'Appndx 6.8.II.1'!E26)*('Appndx 6.8.II.1'!E22/'Appndx 6.8.II.1'!D22)*D13</f>
        <v>81.595465174641049</v>
      </c>
      <c r="F13" s="84">
        <f>'Appndx 6.8.II.1'!F28+(1-'Appndx 6.8.II.1'!F26)*('Appndx 6.8.II.1'!F22/'Appndx 6.8.II.1'!E22)*E13</f>
        <v>84.118280062114735</v>
      </c>
      <c r="G13" s="84">
        <f>'Appndx 6.8.II.1'!G28+(1-'Appndx 6.8.II.1'!G26)*('Appndx 6.8.II.1'!G22/'Appndx 6.8.II.1'!F22)*F13</f>
        <v>87.253543147125058</v>
      </c>
      <c r="H13" s="84">
        <f>'Appndx 6.8.II.1'!H28+(1-'Appndx 6.8.II.1'!H26)*('Appndx 6.8.II.1'!H22/'Appndx 6.8.II.1'!G22)*G13</f>
        <v>87.64183904737861</v>
      </c>
      <c r="I13" s="84">
        <f>'Appndx 6.8.II.1'!I28+(1-'Appndx 6.8.II.1'!I26)*('Appndx 6.8.II.1'!I22/'Appndx 6.8.II.1'!H22)*H13</f>
        <v>84.398435557131876</v>
      </c>
      <c r="J13" s="84">
        <f>'Appndx 6.8.II.1'!J28+(1-'Appndx 6.8.II.1'!J26)*('Appndx 6.8.II.1'!J22/'Appndx 6.8.II.1'!I22)*I13</f>
        <v>76.2924608506288</v>
      </c>
      <c r="K13" s="84">
        <f>'Appndx 6.8.II.1'!K28+(1-'Appndx 6.8.II.1'!K26)*('Appndx 6.8.II.1'!K22/'Appndx 6.8.II.1'!J22)*J13</f>
        <v>71.432279525744136</v>
      </c>
      <c r="L13" s="84">
        <f>'Appndx 6.8.II.1'!L28+(1-'Appndx 6.8.II.1'!L26)*('Appndx 6.8.II.1'!L22/'Appndx 6.8.II.1'!K22)*K13</f>
        <v>72.475040281505457</v>
      </c>
      <c r="M13" s="84">
        <f>'Appndx 6.8.II.1'!M28+(1-'Appndx 6.8.II.1'!M26)*('Appndx 6.8.II.1'!M22/'Appndx 6.8.II.1'!L22)*L13</f>
        <v>73.655148348806009</v>
      </c>
      <c r="N13" s="84">
        <f>'Appndx 6.8.II.1'!N28+(1-'Appndx 6.8.II.1'!N26)*('Appndx 6.8.II.1'!N22/'Appndx 6.8.II.1'!M22)*M13</f>
        <v>73.674791884765327</v>
      </c>
      <c r="O13" s="84">
        <f>'Appndx 6.8.II.1'!O28+(1-'Appndx 6.8.II.1'!O26)*('Appndx 6.8.II.1'!O22/'Appndx 6.8.II.1'!N22)*N13</f>
        <v>81.393118189652895</v>
      </c>
      <c r="P13" s="84">
        <f>'Appndx 6.8.II.1'!P28+(1-'Appndx 6.8.II.1'!P26)*('Appndx 6.8.II.1'!P22/'Appndx 6.8.II.1'!O22)*O13</f>
        <v>84.843415698076257</v>
      </c>
      <c r="Q13" s="84">
        <f>'Appndx 6.8.II.1'!Q28+(1-'Appndx 6.8.II.1'!Q26)*('Appndx 6.8.II.1'!Q22/'Appndx 6.8.II.1'!P22)*P13</f>
        <v>84.122688987971443</v>
      </c>
      <c r="R13" s="84">
        <f>'Appndx 6.8.II.1'!R28+(1-'Appndx 6.8.II.1'!R26)*('Appndx 6.8.II.1'!R22/'Appndx 6.8.II.1'!Q22)*Q13</f>
        <v>84.945363602768452</v>
      </c>
      <c r="S13" s="84">
        <f>'Appndx 6.8.II.1'!S28+(1-'Appndx 6.8.II.1'!S26)*('Appndx 6.8.II.1'!S22/'Appndx 6.8.II.1'!R22)*R13</f>
        <v>90.6687790920043</v>
      </c>
      <c r="T13" s="84">
        <f>'Appndx 6.8.II.1'!T28+(1-'Appndx 6.8.II.1'!T26)*('Appndx 6.8.II.1'!T22/'Appndx 6.8.II.1'!S22)*S13</f>
        <v>102.14976428600539</v>
      </c>
      <c r="U13" s="84">
        <f>'Appndx 6.8.II.1'!U28+(1-'Appndx 6.8.II.1'!U26)*('Appndx 6.8.II.1'!U22/'Appndx 6.8.II.1'!T22)*T13</f>
        <v>108.77258091389854</v>
      </c>
      <c r="V13" s="84">
        <f>'Appndx 6.8.II.1'!V28+(1-'Appndx 6.8.II.1'!V26)*('Appndx 6.8.II.1'!V22/'Appndx 6.8.II.1'!U22)*U13</f>
        <v>109.60424699799069</v>
      </c>
      <c r="W13" s="84">
        <f>'Appndx 6.8.II.1'!W28+(1-'Appndx 6.8.II.1'!W26)*('Appndx 6.8.II.1'!W22/'Appndx 6.8.II.1'!V22)*V13</f>
        <v>110.87881421900948</v>
      </c>
      <c r="X13" s="84">
        <f>'Appndx 6.8.II.1'!X28+(1-'Appndx 6.8.II.1'!X26)*('Appndx 6.8.II.1'!X22/'Appndx 6.8.II.1'!W22)*W13</f>
        <v>121.63330960140186</v>
      </c>
      <c r="Y13" s="84">
        <f>'Appndx 6.8.II.1'!Y28+(1-'Appndx 6.8.II.1'!Y26)*('Appndx 6.8.II.1'!Y22/'Appndx 6.8.II.1'!X22)*X13</f>
        <v>148.10242880213488</v>
      </c>
      <c r="Z13" s="84">
        <f>'Appndx 6.8.II.1'!Z28+(1-'Appndx 6.8.II.1'!Z26)*('Appndx 6.8.II.1'!Z22/'Appndx 6.8.II.1'!Y22)*Y13</f>
        <v>177.35710814832896</v>
      </c>
      <c r="AA13" s="84">
        <f>'Appndx 6.8.II.1'!AA28+(1-'Appndx 6.8.II.1'!AA26)*('Appndx 6.8.II.1'!AA22/'Appndx 6.8.II.1'!Z22)*Z13</f>
        <v>195.1876416278055</v>
      </c>
      <c r="AB13" s="84">
        <f>'Appndx 6.8.II.1'!AB28+(1-'Appndx 6.8.II.1'!AB26)*('Appndx 6.8.II.1'!AB22/'Appndx 6.8.II.1'!AA22)*AA13</f>
        <v>200.06576850119629</v>
      </c>
      <c r="AC13" s="84">
        <f>'Appndx 6.8.II.1'!AC28+(1-'Appndx 6.8.II.1'!AC26)*('Appndx 6.8.II.1'!AC22/'Appndx 6.8.II.1'!AB22)*AB13</f>
        <v>225.11397241642078</v>
      </c>
      <c r="AD13" s="84">
        <f>'Appndx 6.8.II.1'!AD28+(1-'Appndx 6.8.II.1'!AD26)*('Appndx 6.8.II.1'!AD22/'Appndx 6.8.II.1'!AC22)*AC13</f>
        <v>245.57278904920742</v>
      </c>
      <c r="AE13" s="84">
        <f>'Appndx 6.8.II.1'!AE28+(1-'Appndx 6.8.II.1'!AE26)*('Appndx 6.8.II.1'!AE22/'Appndx 6.8.II.1'!AD22)*AD13</f>
        <v>260.81291233442727</v>
      </c>
      <c r="AF13" s="84">
        <f>'Appndx 6.8.II.1'!AF28+(1-'Appndx 6.8.II.1'!AF26)*('Appndx 6.8.II.1'!AF22/'Appndx 6.8.II.1'!AE22)*AE13</f>
        <v>274.7686350634624</v>
      </c>
      <c r="AG13" s="84">
        <f>'Appndx 6.8.II.1'!AG28+(1-'Appndx 6.8.II.1'!AG26)*('Appndx 6.8.II.1'!AG22/'Appndx 6.8.II.1'!AF22)*AF13</f>
        <v>283.74058250624608</v>
      </c>
      <c r="AH13" s="84">
        <f>'Appndx 6.8.II.1'!AH28+(1-'Appndx 6.8.II.1'!AH26)*('Appndx 6.8.II.1'!AH22/'Appndx 6.8.II.1'!AG22)*AG13</f>
        <v>312.88650453735102</v>
      </c>
      <c r="AI13" s="84">
        <f>'Appndx 6.8.II.1'!AI28+(1-'Appndx 6.8.II.1'!AI26)*('Appndx 6.8.II.1'!AI22/'Appndx 6.8.II.1'!AH22)*AH13</f>
        <v>348.07542231795543</v>
      </c>
      <c r="AJ13" s="84">
        <f>'Appndx 6.8.II.1'!AJ28+(1-'Appndx 6.8.II.1'!AJ26)*('Appndx 6.8.II.1'!AJ22/'Appndx 6.8.II.1'!AI22)*AI13</f>
        <v>374.38706861905035</v>
      </c>
      <c r="AK13" s="84">
        <f>'Appndx 6.8.II.1'!AK28+(1-'Appndx 6.8.II.1'!AK26)*('Appndx 6.8.II.1'!AK22/'Appndx 6.8.II.1'!AJ22)*AJ13</f>
        <v>382.57929963290468</v>
      </c>
      <c r="AL13" s="84">
        <f>'Appndx 6.8.II.1'!AL28+(1-'Appndx 6.8.II.1'!AL26)*('Appndx 6.8.II.1'!AL22/'Appndx 6.8.II.1'!AK22)*AK13</f>
        <v>400.19319381240575</v>
      </c>
      <c r="AM13" s="84">
        <f>'Appndx 6.8.II.1'!AM28+(1-'Appndx 6.8.II.1'!AM26)*('Appndx 6.8.II.1'!AM22/'Appndx 6.8.II.1'!AL22)*AL13</f>
        <v>409.13558593046338</v>
      </c>
      <c r="AN13" s="84">
        <f>'Appndx 6.8.II.1'!AN28+(1-'Appndx 6.8.II.1'!AN26)*('Appndx 6.8.II.1'!AN22/'Appndx 6.8.II.1'!AM22)*AM13</f>
        <v>420.1123503111782</v>
      </c>
      <c r="AO13" s="84">
        <f>'Appndx 6.8.II.1'!AO28+(1-'Appndx 6.8.II.1'!AO26)*('Appndx 6.8.II.1'!AO22/'Appndx 6.8.II.1'!AN22)*AN13</f>
        <v>434.50700047258152</v>
      </c>
      <c r="AP13" s="84">
        <f>'Appndx 6.8.II.1'!AP28+(1-'Appndx 6.8.II.1'!AP26)*('Appndx 6.8.II.1'!AP22/'Appndx 6.8.II.1'!AO22)*AO13</f>
        <v>449.48072625378961</v>
      </c>
      <c r="AQ13" s="84">
        <f>'Appndx 6.8.II.1'!AQ28+(1-'Appndx 6.8.II.1'!AQ26)*('Appndx 6.8.II.1'!AQ22/'Appndx 6.8.II.1'!AP22)*AP13</f>
        <v>475.65670155458702</v>
      </c>
      <c r="AR13" s="84">
        <f>'Appndx 6.8.II.1'!AR28+(1-'Appndx 6.8.II.1'!AR26)*('Appndx 6.8.II.1'!AR22/'Appndx 6.8.II.1'!AQ22)*AQ13</f>
        <v>509.53872881071021</v>
      </c>
      <c r="AS13" s="84">
        <f>'Appndx 6.8.II.1'!AS28+(1-'Appndx 6.8.II.1'!AS26)*('Appndx 6.8.II.1'!AS22/'Appndx 6.8.II.1'!AR22)*AR13</f>
        <v>555.19396444100357</v>
      </c>
      <c r="AT13" s="84">
        <f>'Appndx 6.8.II.1'!AT28+(1-'Appndx 6.8.II.1'!AT26)*('Appndx 6.8.II.1'!AT22/'Appndx 6.8.II.1'!AS22)*AS13</f>
        <v>602.28505042711936</v>
      </c>
      <c r="AU13" s="84">
        <f>'Appndx 6.8.II.1'!AU28+(1-'Appndx 6.8.II.1'!AU26)*('Appndx 6.8.II.1'!AU22/'Appndx 6.8.II.1'!AT22)*AT13</f>
        <v>663.35705170435483</v>
      </c>
      <c r="AV13" s="84">
        <f>'Appndx 6.8.II.1'!AV28+(1-'Appndx 6.8.II.1'!AV26)*('Appndx 6.8.II.1'!AV22/'Appndx 6.8.II.1'!AU22)*AU13</f>
        <v>731.03762035709917</v>
      </c>
      <c r="AW13" s="84">
        <f>'Appndx 6.8.II.1'!AW28+(1-'Appndx 6.8.II.1'!AW26)*('Appndx 6.8.II.1'!AW22/'Appndx 6.8.II.1'!AV22)*AV13</f>
        <v>804.90544584559484</v>
      </c>
      <c r="AX13" s="84">
        <f>'Appndx 6.8.II.1'!AX28+(1-'Appndx 6.8.II.1'!AX26)*('Appndx 6.8.II.1'!AX22/'Appndx 6.8.II.1'!AW22)*AW13</f>
        <v>883.70612850584757</v>
      </c>
      <c r="AY13" s="84">
        <f>'Appndx 6.8.II.1'!AY28+(1-'Appndx 6.8.II.1'!AY26)*('Appndx 6.8.II.1'!AY22/'Appndx 6.8.II.1'!AX22)*AX13</f>
        <v>960.6494269680768</v>
      </c>
      <c r="AZ13" s="84">
        <f>'Appndx 6.8.II.1'!AZ28+(1-'Appndx 6.8.II.1'!AZ26)*('Appndx 6.8.II.1'!AZ22/'Appndx 6.8.II.1'!AY22)*AY13</f>
        <v>1084.1143822534202</v>
      </c>
      <c r="BA13" s="84">
        <f>'Appndx 6.8.II.1'!BA28+(1-'Appndx 6.8.II.1'!BA26)*('Appndx 6.8.II.1'!BA22/'Appndx 6.8.II.1'!AZ22)*AZ13</f>
        <v>1326.8326678280309</v>
      </c>
      <c r="BB13" s="84">
        <f>'Appndx 6.8.II.1'!BB28+(1-'Appndx 6.8.II.1'!BB26)*('Appndx 6.8.II.1'!BB22/'Appndx 6.8.II.1'!BA22)*BA13</f>
        <v>1474.2957705025356</v>
      </c>
      <c r="BC13" s="84">
        <f>'Appndx 6.8.II.1'!BC28+(1-'Appndx 6.8.II.1'!BC26)*('Appndx 6.8.II.1'!BC22/'Appndx 6.8.II.1'!BB22)*BB13</f>
        <v>1621.1936344168278</v>
      </c>
      <c r="BD13" s="84">
        <f>'Appndx 6.8.II.1'!BD28+(1-'Appndx 6.8.II.1'!BD26)*('Appndx 6.8.II.1'!BD22/'Appndx 6.8.II.1'!BC22)*BC13</f>
        <v>1805.387567919852</v>
      </c>
      <c r="BE13" s="84">
        <f>'Appndx 6.8.II.1'!BE28+(1-'Appndx 6.8.II.1'!BE26)*('Appndx 6.8.II.1'!BE22/'Appndx 6.8.II.1'!BD22)*BD13</f>
        <v>2052.6630228432177</v>
      </c>
      <c r="BF13" s="84">
        <f>'Appndx 6.8.II.1'!BF28+(1-'Appndx 6.8.II.1'!BF26)*('Appndx 6.8.II.1'!BF22/'Appndx 6.8.II.1'!BE22)*BE13</f>
        <v>2365.8222722057571</v>
      </c>
      <c r="BG13" s="84">
        <f>'Appndx 6.8.II.1'!BG28+(1-'Appndx 6.8.II.1'!BG26)*('Appndx 6.8.II.1'!BG22/'Appndx 6.8.II.1'!BF22)*BF13</f>
        <v>2720.4246051988362</v>
      </c>
      <c r="BH13" s="84">
        <f>'Appndx 6.8.II.1'!BH28+(1-'Appndx 6.8.II.1'!BH26)*('Appndx 6.8.II.1'!BH22/'Appndx 6.8.II.1'!BG22)*BG13</f>
        <v>3078.8606467764976</v>
      </c>
      <c r="BI13" s="84">
        <f>'Appndx 6.8.II.1'!BI28+(1-'Appndx 6.8.II.1'!BI26)*('Appndx 6.8.II.1'!BI22/'Appndx 6.8.II.1'!BH22)*BH13</f>
        <v>3274.0824064103826</v>
      </c>
      <c r="BJ13" s="84">
        <f>'Appndx 6.8.II.1'!BJ28+(1-'Appndx 6.8.II.1'!BJ26)*('Appndx 6.8.II.1'!BJ22/'Appndx 6.8.II.1'!BI22)*BI13</f>
        <v>3373.4918873917541</v>
      </c>
      <c r="BK13" s="84">
        <f>'Appndx 6.8.II.1'!BK28+(1-'Appndx 6.8.II.1'!BK26)*('Appndx 6.8.II.1'!BK22/'Appndx 6.8.II.1'!BJ22)*BJ13</f>
        <v>3577.0556248255957</v>
      </c>
      <c r="BL13" s="84">
        <f>'Appndx 6.8.II.1'!BL28+(1-'Appndx 6.8.II.1'!BL26)*('Appndx 6.8.II.1'!BL22/'Appndx 6.8.II.1'!BK22)*BK13</f>
        <v>3779.0676614125887</v>
      </c>
      <c r="BM13" s="84">
        <f>'Appndx 6.8.II.1'!BM28+(1-'Appndx 6.8.II.1'!BM26)*('Appndx 6.8.II.1'!BM22/'Appndx 6.8.II.1'!BL22)*BL13</f>
        <v>3950.9397349911192</v>
      </c>
      <c r="BN13" s="84">
        <f>'Appndx 6.8.II.1'!BN28+(1-'Appndx 6.8.II.1'!BN26)*('Appndx 6.8.II.1'!BN22/'Appndx 6.8.II.1'!BM22)*BM13</f>
        <v>4159.1624419380487</v>
      </c>
      <c r="BO13" s="84">
        <f>'Appndx 6.8.II.1'!BO28+(1-'Appndx 6.8.II.1'!BO26)*('Appndx 6.8.II.1'!BO22/'Appndx 6.8.II.1'!BN22)*BN13</f>
        <v>4424.0045523362614</v>
      </c>
      <c r="BP13" s="84">
        <f>'Appndx 6.8.II.1'!BP28+(1-'Appndx 6.8.II.1'!BP26)*('Appndx 6.8.II.1'!BP22/'Appndx 6.8.II.1'!BO22)*BO13</f>
        <v>4692.1336700264119</v>
      </c>
      <c r="BQ13" s="84">
        <f>'Appndx 6.8.II.1'!BQ28+(1-'Appndx 6.8.II.1'!BQ26)*('Appndx 6.8.II.1'!BQ22/'Appndx 6.8.II.1'!BP22)*BP13</f>
        <v>4956.9478793495327</v>
      </c>
      <c r="BR13" s="84">
        <f>'Appndx 6.8.II.1'!BR28+(1-'Appndx 6.8.II.1'!BR26)*('Appndx 6.8.II.1'!BR22/'Appndx 6.8.II.1'!BQ22)*BQ13</f>
        <v>5071.6667336668397</v>
      </c>
      <c r="BS13" s="84">
        <f>'Appndx 6.8.II.1'!BS28+(1-'Appndx 6.8.II.1'!BS26)*('Appndx 6.8.II.1'!BS22/'Appndx 6.8.II.1'!BR22)*BR13</f>
        <v>5247.2055020177477</v>
      </c>
      <c r="BT13" s="84">
        <f>'Appndx 6.8.II.1'!BT28+(1-'Appndx 6.8.II.1'!BT26)*('Appndx 6.8.II.1'!BT22/'Appndx 6.8.II.1'!BS22)*BS13</f>
        <v>5497.1779741034561</v>
      </c>
      <c r="BU13" s="84">
        <f>'Appndx 6.8.II.1'!BU28+(1-'Appndx 6.8.II.1'!BU26)*('Appndx 6.8.II.1'!BU22/'Appndx 6.8.II.1'!BT22)*BT13</f>
        <v>5802.7289096214245</v>
      </c>
      <c r="BV13" s="84">
        <f>'Appndx 6.8.II.1'!BV28+(1-'Appndx 6.8.II.1'!BV26)*('Appndx 6.8.II.1'!BV22/'Appndx 6.8.II.1'!BU22)*BU13</f>
        <v>6133.559128383522</v>
      </c>
      <c r="BW13" s="84">
        <f>'Appndx 6.8.II.1'!BW28+(1-'Appndx 6.8.II.1'!BW26)*('Appndx 6.8.II.1'!BW22/'Appndx 6.8.II.1'!BV22)*BV13</f>
        <v>6448.7687018149099</v>
      </c>
      <c r="BX13" s="84">
        <f>'Appndx 6.8.II.1'!BX28+(1-'Appndx 6.8.II.1'!BX26)*('Appndx 6.8.II.1'!BX22/'Appndx 6.8.II.1'!BW22)*BW13</f>
        <v>6809.5349784855607</v>
      </c>
      <c r="BY13" s="84">
        <f>'Appndx 6.8.II.1'!BY28+(1-'Appndx 6.8.II.1'!BY26)*('Appndx 6.8.II.1'!BY22/'Appndx 6.8.II.1'!BX22)*BX13</f>
        <v>7194.8948515646316</v>
      </c>
      <c r="BZ13" s="84">
        <f>'Appndx 6.8.II.1'!BZ28+(1-'Appndx 6.8.II.1'!BZ26)*('Appndx 6.8.II.1'!BZ22/'Appndx 6.8.II.1'!BY22)*BY13</f>
        <v>7619.3547604093201</v>
      </c>
      <c r="CA13" s="84">
        <f>'Appndx 6.8.II.1'!CA28+(1-'Appndx 6.8.II.1'!CA26)*('Appndx 6.8.II.1'!CA22/'Appndx 6.8.II.1'!BZ22)*BZ13</f>
        <v>8152.5046805264819</v>
      </c>
      <c r="CB13" s="84">
        <f>'Appndx 6.8.II.1'!CB28+(1-'Appndx 6.8.II.1'!CB26)*('Appndx 6.8.II.1'!CB22/'Appndx 6.8.II.1'!CA22)*CA13</f>
        <v>8586.9729661450147</v>
      </c>
      <c r="CC13" s="84">
        <f>'Appndx 6.8.II.1'!CC28+(1-'Appndx 6.8.II.1'!CC26)*('Appndx 6.8.II.1'!CC22/'Appndx 6.8.II.1'!CB22)*CB13</f>
        <v>8898.9948656294837</v>
      </c>
      <c r="CD13" s="84">
        <f>'Appndx 6.8.II.1'!CD28+(1-'Appndx 6.8.II.1'!CD26)*('Appndx 6.8.II.1'!CD22/'Appndx 6.8.II.1'!CC22)*CC13</f>
        <v>9176.9217016725379</v>
      </c>
      <c r="CE13" s="84">
        <f>'Appndx 6.8.II.1'!CE28+(1-'Appndx 6.8.II.1'!CE26)*('Appndx 6.8.II.1'!CE22/'Appndx 6.8.II.1'!CD22)*CD13</f>
        <v>9903.1736075897788</v>
      </c>
      <c r="CF13" s="84">
        <f>'Appndx 6.8.II.1'!CF28+(1-'Appndx 6.8.II.1'!CF26)*('Appndx 6.8.II.1'!CF22/'Appndx 6.8.II.1'!CE22)*CE13</f>
        <v>10779.172635853365</v>
      </c>
      <c r="CG13" s="84">
        <f>'Appndx 6.8.II.1'!CG28+(1-'Appndx 6.8.II.1'!CG26)*('Appndx 6.8.II.1'!CG22/'Appndx 6.8.II.1'!CF22)*CF13</f>
        <v>11682.428623110332</v>
      </c>
      <c r="CH13" s="84">
        <f>'Appndx 6.8.II.1'!CH28+(1-'Appndx 6.8.II.1'!CH26)*('Appndx 6.8.II.1'!CH22/'Appndx 6.8.II.1'!CG22)*CG13</f>
        <v>12315.927618659171</v>
      </c>
      <c r="CI13" s="84">
        <f>'Appndx 6.8.II.1'!CI28+(1-'Appndx 6.8.II.1'!CI26)*('Appndx 6.8.II.1'!CI22/'Appndx 6.8.II.1'!CH22)*CH13</f>
        <v>13139.890793363138</v>
      </c>
      <c r="CJ13" s="84">
        <f>'Appndx 6.8.II.1'!CJ28+(1-'Appndx 6.8.II.1'!CJ26)*('Appndx 6.8.II.1'!CJ22/'Appndx 6.8.II.1'!CI22)*CI13</f>
        <v>12702.844927443679</v>
      </c>
      <c r="CK13" s="84">
        <f>'Appndx 6.8.II.1'!CK28+(1-'Appndx 6.8.II.1'!CK26)*('Appndx 6.8.II.1'!CK22/'Appndx 6.8.II.1'!CJ22)*CJ13</f>
        <v>12995.058361192147</v>
      </c>
      <c r="CL13" s="84">
        <f>'Appndx 6.8.II.1'!CL28+(1-'Appndx 6.8.II.1'!CL26)*('Appndx 6.8.II.1'!CL22/'Appndx 6.8.II.1'!CK22)*CK13</f>
        <v>13530.073533118904</v>
      </c>
    </row>
    <row r="14" spans="1:90" s="54" customFormat="1" ht="12" x14ac:dyDescent="0.3">
      <c r="A14" s="98" t="s">
        <v>273</v>
      </c>
      <c r="B14" s="98" t="s">
        <v>274</v>
      </c>
      <c r="C14" s="54" t="s">
        <v>275</v>
      </c>
      <c r="D14" s="81">
        <v>67.099999999999994</v>
      </c>
      <c r="E14" s="84">
        <f>'Appndx 6.8.II.1'!E28+(1-'Appndx 6.8.II.1'!E26)*('Appndx 6.8.II.1'!E22/'Appndx 6.8.II.1'!D22)*D14</f>
        <v>71.402993650663035</v>
      </c>
      <c r="F14" s="84">
        <f>'Appndx 6.8.II.1'!F28+(1-'Appndx 6.8.II.1'!F26)*('Appndx 6.8.II.1'!F22/'Appndx 6.8.II.1'!E22)*E14</f>
        <v>74.472583221253188</v>
      </c>
      <c r="G14" s="84">
        <f>'Appndx 6.8.II.1'!G28+(1-'Appndx 6.8.II.1'!G26)*('Appndx 6.8.II.1'!G22/'Appndx 6.8.II.1'!F22)*F14</f>
        <v>78.051008965130876</v>
      </c>
      <c r="H14" s="84">
        <f>'Appndx 6.8.II.1'!H28+(1-'Appndx 6.8.II.1'!H26)*('Appndx 6.8.II.1'!H22/'Appndx 6.8.II.1'!G22)*G14</f>
        <v>79.210462167192645</v>
      </c>
      <c r="I14" s="84">
        <f>'Appndx 6.8.II.1'!I28+(1-'Appndx 6.8.II.1'!I26)*('Appndx 6.8.II.1'!I22/'Appndx 6.8.II.1'!H22)*H14</f>
        <v>76.894779616142728</v>
      </c>
      <c r="J14" s="84">
        <f>'Appndx 6.8.II.1'!J28+(1-'Appndx 6.8.II.1'!J26)*('Appndx 6.8.II.1'!J22/'Appndx 6.8.II.1'!I22)*I14</f>
        <v>69.865117147280884</v>
      </c>
      <c r="K14" s="84">
        <f>'Appndx 6.8.II.1'!K28+(1-'Appndx 6.8.II.1'!K26)*('Appndx 6.8.II.1'!K22/'Appndx 6.8.II.1'!J22)*J14</f>
        <v>65.616577919182461</v>
      </c>
      <c r="L14" s="84">
        <f>'Appndx 6.8.II.1'!L28+(1-'Appndx 6.8.II.1'!L26)*('Appndx 6.8.II.1'!L22/'Appndx 6.8.II.1'!K22)*K14</f>
        <v>66.753555997652484</v>
      </c>
      <c r="M14" s="84">
        <f>'Appndx 6.8.II.1'!M28+(1-'Appndx 6.8.II.1'!M26)*('Appndx 6.8.II.1'!M22/'Appndx 6.8.II.1'!L22)*L14</f>
        <v>68.053650722046541</v>
      </c>
      <c r="N14" s="84">
        <f>'Appndx 6.8.II.1'!N28+(1-'Appndx 6.8.II.1'!N26)*('Appndx 6.8.II.1'!N22/'Appndx 6.8.II.1'!M22)*M14</f>
        <v>68.315161385897696</v>
      </c>
      <c r="O14" s="84">
        <f>'Appndx 6.8.II.1'!O28+(1-'Appndx 6.8.II.1'!O26)*('Appndx 6.8.II.1'!O22/'Appndx 6.8.II.1'!N22)*N14</f>
        <v>75.770264795648174</v>
      </c>
      <c r="P14" s="84">
        <f>'Appndx 6.8.II.1'!P28+(1-'Appndx 6.8.II.1'!P26)*('Appndx 6.8.II.1'!P22/'Appndx 6.8.II.1'!O22)*O14</f>
        <v>79.35525294519573</v>
      </c>
      <c r="Q14" s="84">
        <f>'Appndx 6.8.II.1'!Q28+(1-'Appndx 6.8.II.1'!Q26)*('Appndx 6.8.II.1'!Q22/'Appndx 6.8.II.1'!P22)*P14</f>
        <v>78.946358715602585</v>
      </c>
      <c r="R14" s="84">
        <f>'Appndx 6.8.II.1'!R28+(1-'Appndx 6.8.II.1'!R26)*('Appndx 6.8.II.1'!R22/'Appndx 6.8.II.1'!Q22)*Q14</f>
        <v>79.98915726971147</v>
      </c>
      <c r="S14" s="84">
        <f>'Appndx 6.8.II.1'!S28+(1-'Appndx 6.8.II.1'!S26)*('Appndx 6.8.II.1'!S22/'Appndx 6.8.II.1'!R22)*R14</f>
        <v>85.705371981843001</v>
      </c>
      <c r="T14" s="84">
        <f>'Appndx 6.8.II.1'!T28+(1-'Appndx 6.8.II.1'!T26)*('Appndx 6.8.II.1'!T22/'Appndx 6.8.II.1'!S22)*S14</f>
        <v>96.93010981675161</v>
      </c>
      <c r="U14" s="84">
        <f>'Appndx 6.8.II.1'!U28+(1-'Appndx 6.8.II.1'!U26)*('Appndx 6.8.II.1'!U22/'Appndx 6.8.II.1'!T22)*T14</f>
        <v>103.48022327961426</v>
      </c>
      <c r="V14" s="84">
        <f>'Appndx 6.8.II.1'!V28+(1-'Appndx 6.8.II.1'!V26)*('Appndx 6.8.II.1'!V22/'Appndx 6.8.II.1'!U22)*U14</f>
        <v>104.49037308489648</v>
      </c>
      <c r="W14" s="84">
        <f>'Appndx 6.8.II.1'!W28+(1-'Appndx 6.8.II.1'!W26)*('Appndx 6.8.II.1'!W22/'Appndx 6.8.II.1'!V22)*V14</f>
        <v>105.97608625388494</v>
      </c>
      <c r="X14" s="84">
        <f>'Appndx 6.8.II.1'!X28+(1-'Appndx 6.8.II.1'!X26)*('Appndx 6.8.II.1'!X22/'Appndx 6.8.II.1'!W22)*W14</f>
        <v>116.61320782743731</v>
      </c>
      <c r="Y14" s="84">
        <f>'Appndx 6.8.II.1'!Y28+(1-'Appndx 6.8.II.1'!Y26)*('Appndx 6.8.II.1'!Y22/'Appndx 6.8.II.1'!X22)*X14</f>
        <v>142.4851513761607</v>
      </c>
      <c r="Z14" s="84">
        <f>'Appndx 6.8.II.1'!Z28+(1-'Appndx 6.8.II.1'!Z26)*('Appndx 6.8.II.1'!Z22/'Appndx 6.8.II.1'!Y22)*Y14</f>
        <v>171.22572440469662</v>
      </c>
      <c r="AA14" s="84">
        <f>'Appndx 6.8.II.1'!AA28+(1-'Appndx 6.8.II.1'!AA26)*('Appndx 6.8.II.1'!AA22/'Appndx 6.8.II.1'!Z22)*Z14</f>
        <v>189.05520231621961</v>
      </c>
      <c r="AB14" s="84">
        <f>'Appndx 6.8.II.1'!AB28+(1-'Appndx 6.8.II.1'!AB26)*('Appndx 6.8.II.1'!AB22/'Appndx 6.8.II.1'!AA22)*AA14</f>
        <v>194.28904177091613</v>
      </c>
      <c r="AC14" s="84">
        <f>'Appndx 6.8.II.1'!AC28+(1-'Appndx 6.8.II.1'!AC26)*('Appndx 6.8.II.1'!AC22/'Appndx 6.8.II.1'!AB22)*AB14</f>
        <v>219.12796004163843</v>
      </c>
      <c r="AD14" s="84">
        <f>'Appndx 6.8.II.1'!AD28+(1-'Appndx 6.8.II.1'!AD26)*('Appndx 6.8.II.1'!AD22/'Appndx 6.8.II.1'!AC22)*AC14</f>
        <v>239.61978101847248</v>
      </c>
      <c r="AE14" s="84">
        <f>'Appndx 6.8.II.1'!AE28+(1-'Appndx 6.8.II.1'!AE26)*('Appndx 6.8.II.1'!AE22/'Appndx 6.8.II.1'!AD22)*AD14</f>
        <v>255.04074154613812</v>
      </c>
      <c r="AF14" s="84">
        <f>'Appndx 6.8.II.1'!AF28+(1-'Appndx 6.8.II.1'!AF26)*('Appndx 6.8.II.1'!AF22/'Appndx 6.8.II.1'!AE22)*AE14</f>
        <v>269.23646397428064</v>
      </c>
      <c r="AG14" s="84">
        <f>'Appndx 6.8.II.1'!AG28+(1-'Appndx 6.8.II.1'!AG26)*('Appndx 6.8.II.1'!AG22/'Appndx 6.8.II.1'!AF22)*AF14</f>
        <v>278.51299849256264</v>
      </c>
      <c r="AH14" s="84">
        <f>'Appndx 6.8.II.1'!AH28+(1-'Appndx 6.8.II.1'!AH26)*('Appndx 6.8.II.1'!AH22/'Appndx 6.8.II.1'!AG22)*AG14</f>
        <v>307.61201492704009</v>
      </c>
      <c r="AI14" s="84">
        <f>'Appndx 6.8.II.1'!AI28+(1-'Appndx 6.8.II.1'!AI26)*('Appndx 6.8.II.1'!AI22/'Appndx 6.8.II.1'!AH22)*AH14</f>
        <v>342.75054697495466</v>
      </c>
      <c r="AJ14" s="84">
        <f>'Appndx 6.8.II.1'!AJ28+(1-'Appndx 6.8.II.1'!AJ26)*('Appndx 6.8.II.1'!AJ22/'Appndx 6.8.II.1'!AI22)*AI14</f>
        <v>369.19357834352644</v>
      </c>
      <c r="AK14" s="84">
        <f>'Appndx 6.8.II.1'!AK28+(1-'Appndx 6.8.II.1'!AK26)*('Appndx 6.8.II.1'!AK22/'Appndx 6.8.II.1'!AJ22)*AJ14</f>
        <v>377.6911007090215</v>
      </c>
      <c r="AL14" s="84">
        <f>'Appndx 6.8.II.1'!AL28+(1-'Appndx 6.8.II.1'!AL26)*('Appndx 6.8.II.1'!AL22/'Appndx 6.8.II.1'!AK22)*AK14</f>
        <v>395.49774940061485</v>
      </c>
      <c r="AM14" s="84">
        <f>'Appndx 6.8.II.1'!AM28+(1-'Appndx 6.8.II.1'!AM26)*('Appndx 6.8.II.1'!AM22/'Appndx 6.8.II.1'!AL22)*AL14</f>
        <v>404.75291374442816</v>
      </c>
      <c r="AN14" s="84">
        <f>'Appndx 6.8.II.1'!AN28+(1-'Appndx 6.8.II.1'!AN26)*('Appndx 6.8.II.1'!AN22/'Appndx 6.8.II.1'!AM22)*AM14</f>
        <v>415.98915812310747</v>
      </c>
      <c r="AO14" s="84">
        <f>'Appndx 6.8.II.1'!AO28+(1-'Appndx 6.8.II.1'!AO26)*('Appndx 6.8.II.1'!AO22/'Appndx 6.8.II.1'!AN22)*AN14</f>
        <v>430.61842731352669</v>
      </c>
      <c r="AP14" s="84">
        <f>'Appndx 6.8.II.1'!AP28+(1-'Appndx 6.8.II.1'!AP26)*('Appndx 6.8.II.1'!AP22/'Appndx 6.8.II.1'!AO22)*AO14</f>
        <v>445.81970277138998</v>
      </c>
      <c r="AQ14" s="84">
        <f>'Appndx 6.8.II.1'!AQ28+(1-'Appndx 6.8.II.1'!AQ26)*('Appndx 6.8.II.1'!AQ22/'Appndx 6.8.II.1'!AP22)*AP14</f>
        <v>472.1579593848827</v>
      </c>
      <c r="AR14" s="84">
        <f>'Appndx 6.8.II.1'!AR28+(1-'Appndx 6.8.II.1'!AR26)*('Appndx 6.8.II.1'!AR22/'Appndx 6.8.II.1'!AQ22)*AQ14</f>
        <v>506.19605763874864</v>
      </c>
      <c r="AS14" s="84">
        <f>'Appndx 6.8.II.1'!AS28+(1-'Appndx 6.8.II.1'!AS26)*('Appndx 6.8.II.1'!AS22/'Appndx 6.8.II.1'!AR22)*AR14</f>
        <v>551.97032638144594</v>
      </c>
      <c r="AT14" s="84">
        <f>'Appndx 6.8.II.1'!AT28+(1-'Appndx 6.8.II.1'!AT26)*('Appndx 6.8.II.1'!AT22/'Appndx 6.8.II.1'!AS22)*AS14</f>
        <v>599.16481675718319</v>
      </c>
      <c r="AU14" s="84">
        <f>'Appndx 6.8.II.1'!AU28+(1-'Appndx 6.8.II.1'!AU26)*('Appndx 6.8.II.1'!AU22/'Appndx 6.8.II.1'!AT22)*AT14</f>
        <v>660.28825161369787</v>
      </c>
      <c r="AV14" s="84">
        <f>'Appndx 6.8.II.1'!AV28+(1-'Appndx 6.8.II.1'!AV26)*('Appndx 6.8.II.1'!AV22/'Appndx 6.8.II.1'!AU22)*AU14</f>
        <v>728.02211107245978</v>
      </c>
      <c r="AW14" s="84">
        <f>'Appndx 6.8.II.1'!AW28+(1-'Appndx 6.8.II.1'!AW26)*('Appndx 6.8.II.1'!AW22/'Appndx 6.8.II.1'!AV22)*AV14</f>
        <v>801.92100656548109</v>
      </c>
      <c r="AX14" s="84">
        <f>'Appndx 6.8.II.1'!AX28+(1-'Appndx 6.8.II.1'!AX26)*('Appndx 6.8.II.1'!AX22/'Appndx 6.8.II.1'!AW22)*AW14</f>
        <v>880.74319201286971</v>
      </c>
      <c r="AY14" s="84">
        <f>'Appndx 6.8.II.1'!AY28+(1-'Appndx 6.8.II.1'!AY26)*('Appndx 6.8.II.1'!AY22/'Appndx 6.8.II.1'!AX22)*AX14</f>
        <v>957.75105535914827</v>
      </c>
      <c r="AZ14" s="84">
        <f>'Appndx 6.8.II.1'!AZ28+(1-'Appndx 6.8.II.1'!AZ26)*('Appndx 6.8.II.1'!AZ22/'Appndx 6.8.II.1'!AY22)*AY14</f>
        <v>1081.1898676419701</v>
      </c>
      <c r="BA14" s="84">
        <f>'Appndx 6.8.II.1'!BA28+(1-'Appndx 6.8.II.1'!BA26)*('Appndx 6.8.II.1'!BA22/'Appndx 6.8.II.1'!AZ22)*AZ14</f>
        <v>1323.607320702092</v>
      </c>
      <c r="BB14" s="84">
        <f>'Appndx 6.8.II.1'!BB28+(1-'Appndx 6.8.II.1'!BB26)*('Appndx 6.8.II.1'!BB22/'Appndx 6.8.II.1'!BA22)*BA14</f>
        <v>1471.0376964317677</v>
      </c>
      <c r="BC14" s="84">
        <f>'Appndx 6.8.II.1'!BC28+(1-'Appndx 6.8.II.1'!BC26)*('Appndx 6.8.II.1'!BC22/'Appndx 6.8.II.1'!BB22)*BB14</f>
        <v>1617.9393219287469</v>
      </c>
      <c r="BD14" s="84">
        <f>'Appndx 6.8.II.1'!BD28+(1-'Appndx 6.8.II.1'!BD26)*('Appndx 6.8.II.1'!BD22/'Appndx 6.8.II.1'!BC22)*BC14</f>
        <v>1802.1196175897685</v>
      </c>
      <c r="BE14" s="84">
        <f>'Appndx 6.8.II.1'!BE28+(1-'Appndx 6.8.II.1'!BE26)*('Appndx 6.8.II.1'!BE22/'Appndx 6.8.II.1'!BD22)*BD14</f>
        <v>2049.3424427375653</v>
      </c>
      <c r="BF14" s="84">
        <f>'Appndx 6.8.II.1'!BF28+(1-'Appndx 6.8.II.1'!BF26)*('Appndx 6.8.II.1'!BF22/'Appndx 6.8.II.1'!BE22)*BE14</f>
        <v>2362.4148878687552</v>
      </c>
      <c r="BG14" s="84">
        <f>'Appndx 6.8.II.1'!BG28+(1-'Appndx 6.8.II.1'!BG26)*('Appndx 6.8.II.1'!BG22/'Appndx 6.8.II.1'!BF22)*BF14</f>
        <v>2716.9163997410778</v>
      </c>
      <c r="BH14" s="84">
        <f>'Appndx 6.8.II.1'!BH28+(1-'Appndx 6.8.II.1'!BH26)*('Appndx 6.8.II.1'!BH22/'Appndx 6.8.II.1'!BG22)*BG14</f>
        <v>3075.3085491165457</v>
      </c>
      <c r="BI14" s="84">
        <f>'Appndx 6.8.II.1'!BI28+(1-'Appndx 6.8.II.1'!BI26)*('Appndx 6.8.II.1'!BI22/'Appndx 6.8.II.1'!BH22)*BH14</f>
        <v>3270.6824573673202</v>
      </c>
      <c r="BJ14" s="84">
        <f>'Appndx 6.8.II.1'!BJ28+(1-'Appndx 6.8.II.1'!BJ26)*('Appndx 6.8.II.1'!BJ22/'Appndx 6.8.II.1'!BI22)*BI14</f>
        <v>3370.3248513425774</v>
      </c>
      <c r="BK14" s="84">
        <f>'Appndx 6.8.II.1'!BK28+(1-'Appndx 6.8.II.1'!BK26)*('Appndx 6.8.II.1'!BK22/'Appndx 6.8.II.1'!BJ22)*BJ14</f>
        <v>3574.0576069192634</v>
      </c>
      <c r="BL14" s="84">
        <f>'Appndx 6.8.II.1'!BL28+(1-'Appndx 6.8.II.1'!BL26)*('Appndx 6.8.II.1'!BL22/'Appndx 6.8.II.1'!BK22)*BK14</f>
        <v>3776.2460586223647</v>
      </c>
      <c r="BM14" s="84">
        <f>'Appndx 6.8.II.1'!BM28+(1-'Appndx 6.8.II.1'!BM26)*('Appndx 6.8.II.1'!BM22/'Appndx 6.8.II.1'!BL22)*BL14</f>
        <v>3948.2901788902877</v>
      </c>
      <c r="BN14" s="84">
        <f>'Appndx 6.8.II.1'!BN28+(1-'Appndx 6.8.II.1'!BN26)*('Appndx 6.8.II.1'!BN22/'Appndx 6.8.II.1'!BM22)*BM14</f>
        <v>4156.6437074307141</v>
      </c>
      <c r="BO14" s="84">
        <f>'Appndx 6.8.II.1'!BO28+(1-'Appndx 6.8.II.1'!BO26)*('Appndx 6.8.II.1'!BO22/'Appndx 6.8.II.1'!BN22)*BN14</f>
        <v>4421.5877731701867</v>
      </c>
      <c r="BP14" s="84">
        <f>'Appndx 6.8.II.1'!BP28+(1-'Appndx 6.8.II.1'!BP26)*('Appndx 6.8.II.1'!BP22/'Appndx 6.8.II.1'!BO22)*BO14</f>
        <v>4689.8279898670262</v>
      </c>
      <c r="BQ14" s="84">
        <f>'Appndx 6.8.II.1'!BQ28+(1-'Appndx 6.8.II.1'!BQ26)*('Appndx 6.8.II.1'!BQ22/'Appndx 6.8.II.1'!BP22)*BP14</f>
        <v>4954.7587996917828</v>
      </c>
      <c r="BR14" s="84">
        <f>'Appndx 6.8.II.1'!BR28+(1-'Appndx 6.8.II.1'!BR26)*('Appndx 6.8.II.1'!BR22/'Appndx 6.8.II.1'!BQ22)*BQ14</f>
        <v>5069.6400287881161</v>
      </c>
      <c r="BS14" s="84">
        <f>'Appndx 6.8.II.1'!BS28+(1-'Appndx 6.8.II.1'!BS26)*('Appndx 6.8.II.1'!BS22/'Appndx 6.8.II.1'!BR22)*BR14</f>
        <v>5245.3065779421095</v>
      </c>
      <c r="BT14" s="84">
        <f>'Appndx 6.8.II.1'!BT28+(1-'Appndx 6.8.II.1'!BT26)*('Appndx 6.8.II.1'!BT22/'Appndx 6.8.II.1'!BS22)*BS14</f>
        <v>5495.3859630208672</v>
      </c>
      <c r="BU14" s="84">
        <f>'Appndx 6.8.II.1'!BU28+(1-'Appndx 6.8.II.1'!BU26)*('Appndx 6.8.II.1'!BU22/'Appndx 6.8.II.1'!BT22)*BT14</f>
        <v>5801.0331134325606</v>
      </c>
      <c r="BV14" s="84">
        <f>'Appndx 6.8.II.1'!BV28+(1-'Appndx 6.8.II.1'!BV26)*('Appndx 6.8.II.1'!BV22/'Appndx 6.8.II.1'!BU22)*BU14</f>
        <v>6131.9638543202291</v>
      </c>
      <c r="BW14" s="84">
        <f>'Appndx 6.8.II.1'!BW28+(1-'Appndx 6.8.II.1'!BW26)*('Appndx 6.8.II.1'!BW22/'Appndx 6.8.II.1'!BV22)*BV14</f>
        <v>6447.282662833617</v>
      </c>
      <c r="BX14" s="84">
        <f>'Appndx 6.8.II.1'!BX28+(1-'Appndx 6.8.II.1'!BX26)*('Appndx 6.8.II.1'!BX22/'Appndx 6.8.II.1'!BW22)*BW14</f>
        <v>6808.1501554828437</v>
      </c>
      <c r="BY14" s="84">
        <f>'Appndx 6.8.II.1'!BY28+(1-'Appndx 6.8.II.1'!BY26)*('Appndx 6.8.II.1'!BY22/'Appndx 6.8.II.1'!BX22)*BX14</f>
        <v>7193.6087909033849</v>
      </c>
      <c r="BZ14" s="84">
        <f>'Appndx 6.8.II.1'!BZ28+(1-'Appndx 6.8.II.1'!BZ26)*('Appndx 6.8.II.1'!BZ22/'Appndx 6.8.II.1'!BY22)*BY14</f>
        <v>7618.1619767210577</v>
      </c>
      <c r="CA14" s="84">
        <f>'Appndx 6.8.II.1'!CA28+(1-'Appndx 6.8.II.1'!CA26)*('Appndx 6.8.II.1'!CA22/'Appndx 6.8.II.1'!BZ22)*BZ14</f>
        <v>8151.3908980663409</v>
      </c>
      <c r="CB14" s="84">
        <f>'Appndx 6.8.II.1'!CB28+(1-'Appndx 6.8.II.1'!CB26)*('Appndx 6.8.II.1'!CB22/'Appndx 6.8.II.1'!CA22)*CA14</f>
        <v>8585.9353118116305</v>
      </c>
      <c r="CC14" s="84">
        <f>'Appndx 6.8.II.1'!CC28+(1-'Appndx 6.8.II.1'!CC26)*('Appndx 6.8.II.1'!CC22/'Appndx 6.8.II.1'!CB22)*CB14</f>
        <v>8898.0264623554322</v>
      </c>
      <c r="CD14" s="84">
        <f>'Appndx 6.8.II.1'!CD28+(1-'Appndx 6.8.II.1'!CD26)*('Appndx 6.8.II.1'!CD22/'Appndx 6.8.II.1'!CC22)*CC14</f>
        <v>9176.0201010869696</v>
      </c>
      <c r="CE14" s="84">
        <f>'Appndx 6.8.II.1'!CE28+(1-'Appndx 6.8.II.1'!CE26)*('Appndx 6.8.II.1'!CE22/'Appndx 6.8.II.1'!CD22)*CD14</f>
        <v>9902.2949719400949</v>
      </c>
      <c r="CF14" s="84">
        <f>'Appndx 6.8.II.1'!CF28+(1-'Appndx 6.8.II.1'!CF26)*('Appndx 6.8.II.1'!CF22/'Appndx 6.8.II.1'!CE22)*CE14</f>
        <v>10778.310786612294</v>
      </c>
      <c r="CG14" s="84">
        <f>'Appndx 6.8.II.1'!CG28+(1-'Appndx 6.8.II.1'!CG26)*('Appndx 6.8.II.1'!CG22/'Appndx 6.8.II.1'!CF22)*CF14</f>
        <v>11681.589940365051</v>
      </c>
      <c r="CH14" s="84">
        <f>'Appndx 6.8.II.1'!CH28+(1-'Appndx 6.8.II.1'!CH26)*('Appndx 6.8.II.1'!CH22/'Appndx 6.8.II.1'!CG22)*CG14</f>
        <v>12315.136446675662</v>
      </c>
      <c r="CI14" s="84">
        <f>'Appndx 6.8.II.1'!CI28+(1-'Appndx 6.8.II.1'!CI26)*('Appndx 6.8.II.1'!CI22/'Appndx 6.8.II.1'!CH22)*CH14</f>
        <v>13139.130940618346</v>
      </c>
      <c r="CJ14" s="84">
        <f>'Appndx 6.8.II.1'!CJ28+(1-'Appndx 6.8.II.1'!CJ26)*('Appndx 6.8.II.1'!CJ22/'Appndx 6.8.II.1'!CI22)*CI14</f>
        <v>12702.171055924307</v>
      </c>
      <c r="CK14" s="84">
        <f>'Appndx 6.8.II.1'!CK28+(1-'Appndx 6.8.II.1'!CK26)*('Appndx 6.8.II.1'!CK22/'Appndx 6.8.II.1'!CJ22)*CJ14</f>
        <v>12994.425426770084</v>
      </c>
      <c r="CL14" s="84">
        <f>'Appndx 6.8.II.1'!CL28+(1-'Appndx 6.8.II.1'!CL26)*('Appndx 6.8.II.1'!CL22/'Appndx 6.8.II.1'!CK22)*CK14</f>
        <v>13529.47213007828</v>
      </c>
    </row>
    <row r="15" spans="1:90" s="83" customFormat="1" ht="6.5" customHeight="1" x14ac:dyDescent="0.3">
      <c r="A15" s="99"/>
    </row>
    <row r="16" spans="1:90" s="54" customFormat="1" ht="12" x14ac:dyDescent="0.3">
      <c r="A16" s="54" t="s">
        <v>276</v>
      </c>
      <c r="B16" s="80" t="s">
        <v>277</v>
      </c>
      <c r="C16" s="80" t="s">
        <v>278</v>
      </c>
      <c r="D16" s="107">
        <f t="shared" ref="D16:AI16" si="0">D13/D12</f>
        <v>0.79275229357798171</v>
      </c>
      <c r="E16" s="107">
        <f t="shared" si="0"/>
        <v>0.80772885697426455</v>
      </c>
      <c r="F16" s="107">
        <f t="shared" si="0"/>
        <v>0.82067208116949109</v>
      </c>
      <c r="G16" s="107">
        <f t="shared" si="0"/>
        <v>0.83265123123216811</v>
      </c>
      <c r="H16" s="107">
        <f t="shared" si="0"/>
        <v>0.84507626764406918</v>
      </c>
      <c r="I16" s="107">
        <f t="shared" si="0"/>
        <v>0.85512223418961875</v>
      </c>
      <c r="J16" s="107">
        <f t="shared" si="0"/>
        <v>0.86166738659126563</v>
      </c>
      <c r="K16" s="107">
        <f t="shared" si="0"/>
        <v>0.86569088802472383</v>
      </c>
      <c r="L16" s="107">
        <f t="shared" si="0"/>
        <v>0.86923474978948301</v>
      </c>
      <c r="M16" s="107">
        <f t="shared" si="0"/>
        <v>0.87342149837397776</v>
      </c>
      <c r="N16" s="107">
        <f t="shared" si="0"/>
        <v>0.8782499640855469</v>
      </c>
      <c r="O16" s="107">
        <f t="shared" si="0"/>
        <v>0.88366941254677778</v>
      </c>
      <c r="P16" s="107">
        <f t="shared" si="0"/>
        <v>0.89026095208973743</v>
      </c>
      <c r="Q16" s="107">
        <f t="shared" si="0"/>
        <v>0.89504811581338928</v>
      </c>
      <c r="R16" s="107">
        <f t="shared" si="0"/>
        <v>0.89994046012668294</v>
      </c>
      <c r="S16" s="107">
        <f t="shared" si="0"/>
        <v>0.90553668049246794</v>
      </c>
      <c r="T16" s="107">
        <f t="shared" si="0"/>
        <v>0.91126702061238862</v>
      </c>
      <c r="U16" s="107">
        <f t="shared" si="0"/>
        <v>0.91514906785259253</v>
      </c>
      <c r="V16" s="107">
        <f t="shared" si="0"/>
        <v>0.91834832528163302</v>
      </c>
      <c r="W16" s="107">
        <f t="shared" si="0"/>
        <v>0.92228755097690818</v>
      </c>
      <c r="X16" s="107">
        <f t="shared" si="0"/>
        <v>0.92708535840745732</v>
      </c>
      <c r="Y16" s="107">
        <f t="shared" si="0"/>
        <v>0.93259504523902981</v>
      </c>
      <c r="Z16" s="107">
        <f t="shared" si="0"/>
        <v>0.9381930736396491</v>
      </c>
      <c r="AA16" s="107">
        <f t="shared" si="0"/>
        <v>0.94351111675427379</v>
      </c>
      <c r="AB16" s="107">
        <f t="shared" si="0"/>
        <v>0.94784665777817134</v>
      </c>
      <c r="AC16" s="107">
        <f t="shared" si="0"/>
        <v>0.95177159246355658</v>
      </c>
      <c r="AD16" s="107">
        <f t="shared" si="0"/>
        <v>0.95584511325622412</v>
      </c>
      <c r="AE16" s="107">
        <f t="shared" si="0"/>
        <v>0.95953264100146984</v>
      </c>
      <c r="AF16" s="107">
        <f t="shared" si="0"/>
        <v>0.96305017497857459</v>
      </c>
      <c r="AG16" s="107">
        <f t="shared" si="0"/>
        <v>0.9660821248682705</v>
      </c>
      <c r="AH16" s="107">
        <f t="shared" si="0"/>
        <v>0.96887590095613563</v>
      </c>
      <c r="AI16" s="107">
        <f t="shared" si="0"/>
        <v>0.97167359166899714</v>
      </c>
      <c r="AJ16" s="107">
        <f t="shared" ref="AJ16:BO16" si="1">AJ13/AJ12</f>
        <v>0.97424614742171312</v>
      </c>
      <c r="AK16" s="107">
        <f t="shared" si="1"/>
        <v>0.97623078027921217</v>
      </c>
      <c r="AL16" s="107">
        <f t="shared" si="1"/>
        <v>0.97813050109502875</v>
      </c>
      <c r="AM16" s="107">
        <f t="shared" si="1"/>
        <v>0.97999535834591378</v>
      </c>
      <c r="AN16" s="107">
        <f t="shared" si="1"/>
        <v>0.98164071690478238</v>
      </c>
      <c r="AO16" s="107">
        <f t="shared" si="1"/>
        <v>0.9832318762158575</v>
      </c>
      <c r="AP16" s="107">
        <f t="shared" si="1"/>
        <v>0.98471598505085445</v>
      </c>
      <c r="AQ16" s="107">
        <f t="shared" si="1"/>
        <v>0.98617681460710105</v>
      </c>
      <c r="AR16" s="107">
        <f t="shared" si="1"/>
        <v>0.98765315665254394</v>
      </c>
      <c r="AS16" s="107">
        <f t="shared" si="1"/>
        <v>0.98905646454049012</v>
      </c>
      <c r="AT16" s="107">
        <f t="shared" si="1"/>
        <v>0.99022417127785467</v>
      </c>
      <c r="AU16" s="107">
        <f t="shared" si="1"/>
        <v>0.99126134798437127</v>
      </c>
      <c r="AV16" s="107">
        <f t="shared" si="1"/>
        <v>0.99220070228967872</v>
      </c>
      <c r="AW16" s="107">
        <f t="shared" si="1"/>
        <v>0.99298391053163204</v>
      </c>
      <c r="AX16" s="107">
        <f t="shared" si="1"/>
        <v>0.99365131886954594</v>
      </c>
      <c r="AY16" s="107">
        <f t="shared" si="1"/>
        <v>0.99428344518029899</v>
      </c>
      <c r="AZ16" s="107">
        <f t="shared" si="1"/>
        <v>0.99488569175643404</v>
      </c>
      <c r="BA16" s="107">
        <f t="shared" si="1"/>
        <v>0.99538907348555372</v>
      </c>
      <c r="BB16" s="107">
        <f t="shared" si="1"/>
        <v>0.99580640703183321</v>
      </c>
      <c r="BC16" s="107">
        <f t="shared" si="1"/>
        <v>0.99618933058579784</v>
      </c>
      <c r="BD16" s="107">
        <f t="shared" si="1"/>
        <v>0.99656248533788327</v>
      </c>
      <c r="BE16" s="107">
        <f t="shared" si="1"/>
        <v>0.99692677337204805</v>
      </c>
      <c r="BF16" s="107">
        <f t="shared" si="1"/>
        <v>0.99726294380659863</v>
      </c>
      <c r="BG16" s="107">
        <f t="shared" si="1"/>
        <v>0.9975485817982761</v>
      </c>
      <c r="BH16" s="107">
        <f t="shared" si="1"/>
        <v>0.9978063055610461</v>
      </c>
      <c r="BI16" s="107">
        <f t="shared" si="1"/>
        <v>0.99802503563918565</v>
      </c>
      <c r="BJ16" s="107">
        <f t="shared" si="1"/>
        <v>0.99821420292698027</v>
      </c>
      <c r="BK16" s="107">
        <f t="shared" si="1"/>
        <v>0.99840540470870509</v>
      </c>
      <c r="BL16" s="107">
        <f t="shared" si="1"/>
        <v>0.99857921371799629</v>
      </c>
      <c r="BM16" s="107">
        <f t="shared" si="1"/>
        <v>0.99872369904262193</v>
      </c>
      <c r="BN16" s="107">
        <f t="shared" si="1"/>
        <v>0.9988473150011784</v>
      </c>
      <c r="BO16" s="107">
        <f t="shared" si="1"/>
        <v>0.99896006892200662</v>
      </c>
      <c r="BP16" s="107">
        <f t="shared" ref="BP16:CL16" si="2">BP13/BP12</f>
        <v>0.99906447106017116</v>
      </c>
      <c r="BQ16" s="107">
        <f t="shared" si="2"/>
        <v>0.99915915313508641</v>
      </c>
      <c r="BR16" s="107">
        <f t="shared" si="2"/>
        <v>0.9992390708223835</v>
      </c>
      <c r="BS16" s="107">
        <f t="shared" si="2"/>
        <v>0.9993108477878897</v>
      </c>
      <c r="BT16" s="107">
        <f t="shared" si="2"/>
        <v>0.99937917926166153</v>
      </c>
      <c r="BU16" s="107">
        <f t="shared" si="2"/>
        <v>0.99944341101473066</v>
      </c>
      <c r="BV16" s="107">
        <f t="shared" si="2"/>
        <v>0.99950461531385415</v>
      </c>
      <c r="BW16" s="107">
        <f t="shared" si="2"/>
        <v>0.99956106747951068</v>
      </c>
      <c r="BX16" s="107">
        <f t="shared" si="2"/>
        <v>0.99961261431619797</v>
      </c>
      <c r="BY16" s="107">
        <f t="shared" si="2"/>
        <v>0.99965949450647096</v>
      </c>
      <c r="BZ16" s="107">
        <f t="shared" si="2"/>
        <v>0.99970177161042539</v>
      </c>
      <c r="CA16" s="107">
        <f t="shared" si="2"/>
        <v>0.99973972569687586</v>
      </c>
      <c r="CB16" s="107">
        <f t="shared" si="2"/>
        <v>0.9997697775677491</v>
      </c>
      <c r="CC16" s="107">
        <f t="shared" si="2"/>
        <v>0.99979267089788781</v>
      </c>
      <c r="CD16" s="107">
        <f t="shared" si="2"/>
        <v>0.99981281506926822</v>
      </c>
      <c r="CE16" s="107">
        <f t="shared" si="2"/>
        <v>0.99983095745110384</v>
      </c>
      <c r="CF16" s="107">
        <f t="shared" si="2"/>
        <v>0.9998476597248448</v>
      </c>
      <c r="CG16" s="107">
        <f t="shared" si="2"/>
        <v>0.99986321446046122</v>
      </c>
      <c r="CH16" s="107">
        <f t="shared" si="2"/>
        <v>0.99987759881119909</v>
      </c>
      <c r="CI16" s="107">
        <f t="shared" si="2"/>
        <v>0.99988981439758662</v>
      </c>
      <c r="CJ16" s="107">
        <f t="shared" si="2"/>
        <v>0.9998989195353577</v>
      </c>
      <c r="CK16" s="107">
        <f t="shared" si="2"/>
        <v>0.99990719418276996</v>
      </c>
      <c r="CL16" s="107">
        <f t="shared" si="2"/>
        <v>0.99991530384337235</v>
      </c>
    </row>
    <row r="17" spans="1:90" s="54" customFormat="1" ht="12" x14ac:dyDescent="0.3">
      <c r="A17" s="54" t="s">
        <v>279</v>
      </c>
      <c r="B17" s="80" t="s">
        <v>280</v>
      </c>
      <c r="C17" s="80" t="s">
        <v>281</v>
      </c>
      <c r="D17" s="107">
        <f t="shared" ref="D17:AI17" si="3">D14/D12</f>
        <v>0.68399592252803265</v>
      </c>
      <c r="E17" s="107">
        <f t="shared" si="3"/>
        <v>0.70683166426649935</v>
      </c>
      <c r="F17" s="107">
        <f t="shared" si="3"/>
        <v>0.72656704127953464</v>
      </c>
      <c r="G17" s="107">
        <f t="shared" si="3"/>
        <v>0.74483243166579149</v>
      </c>
      <c r="H17" s="107">
        <f t="shared" si="3"/>
        <v>0.76377769401240181</v>
      </c>
      <c r="I17" s="107">
        <f t="shared" si="3"/>
        <v>0.77909543356835265</v>
      </c>
      <c r="J17" s="107">
        <f t="shared" si="3"/>
        <v>0.78907525376662391</v>
      </c>
      <c r="K17" s="107">
        <f t="shared" si="3"/>
        <v>0.79521014848096172</v>
      </c>
      <c r="L17" s="107">
        <f t="shared" si="3"/>
        <v>0.8006137053501533</v>
      </c>
      <c r="M17" s="107">
        <f t="shared" si="3"/>
        <v>0.80699751362910366</v>
      </c>
      <c r="N17" s="107">
        <f t="shared" si="3"/>
        <v>0.8143597898112217</v>
      </c>
      <c r="O17" s="107">
        <f t="shared" si="3"/>
        <v>0.8226231758865824</v>
      </c>
      <c r="P17" s="107">
        <f t="shared" si="3"/>
        <v>0.83267372558073172</v>
      </c>
      <c r="Q17" s="107">
        <f t="shared" si="3"/>
        <v>0.8399730259315854</v>
      </c>
      <c r="R17" s="107">
        <f t="shared" si="3"/>
        <v>0.84743270197861242</v>
      </c>
      <c r="S17" s="107">
        <f t="shared" si="3"/>
        <v>0.85596562369123508</v>
      </c>
      <c r="T17" s="107">
        <f t="shared" si="3"/>
        <v>0.86470304652914465</v>
      </c>
      <c r="U17" s="107">
        <f t="shared" si="3"/>
        <v>0.87062225682112837</v>
      </c>
      <c r="V17" s="107">
        <f t="shared" si="3"/>
        <v>0.87550037301316297</v>
      </c>
      <c r="W17" s="107">
        <f t="shared" si="3"/>
        <v>0.88150676702002595</v>
      </c>
      <c r="X17" s="107">
        <f t="shared" si="3"/>
        <v>0.88882229652408484</v>
      </c>
      <c r="Y17" s="107">
        <f t="shared" si="3"/>
        <v>0.89722327492056053</v>
      </c>
      <c r="Z17" s="107">
        <f t="shared" si="3"/>
        <v>0.90575895346166513</v>
      </c>
      <c r="AA17" s="107">
        <f t="shared" si="3"/>
        <v>0.9138677201998171</v>
      </c>
      <c r="AB17" s="107">
        <f t="shared" si="3"/>
        <v>0.92047840200301545</v>
      </c>
      <c r="AC17" s="107">
        <f t="shared" si="3"/>
        <v>0.92646300557622585</v>
      </c>
      <c r="AD17" s="107">
        <f t="shared" si="3"/>
        <v>0.93267416806566039</v>
      </c>
      <c r="AE17" s="107">
        <f t="shared" si="3"/>
        <v>0.93829678181326837</v>
      </c>
      <c r="AF17" s="107">
        <f t="shared" si="3"/>
        <v>0.94366019498971099</v>
      </c>
      <c r="AG17" s="107">
        <f t="shared" si="3"/>
        <v>0.94828320647859832</v>
      </c>
      <c r="AH17" s="107">
        <f t="shared" si="3"/>
        <v>0.95254305885791168</v>
      </c>
      <c r="AI17" s="107">
        <f t="shared" si="3"/>
        <v>0.95680888012094389</v>
      </c>
      <c r="AJ17" s="107">
        <f t="shared" ref="AJ17:BO17" si="4">AJ14/AJ12</f>
        <v>0.96073142344563012</v>
      </c>
      <c r="AK17" s="107">
        <f t="shared" si="4"/>
        <v>0.96375752243645552</v>
      </c>
      <c r="AL17" s="107">
        <f t="shared" si="4"/>
        <v>0.96665415050641335</v>
      </c>
      <c r="AM17" s="107">
        <f t="shared" si="4"/>
        <v>0.96949761982801275</v>
      </c>
      <c r="AN17" s="107">
        <f t="shared" si="4"/>
        <v>0.97200640519641202</v>
      </c>
      <c r="AO17" s="107">
        <f t="shared" si="4"/>
        <v>0.97443254944132529</v>
      </c>
      <c r="AP17" s="107">
        <f t="shared" si="4"/>
        <v>0.97669546685241693</v>
      </c>
      <c r="AQ17" s="107">
        <f t="shared" si="4"/>
        <v>0.97892288883085588</v>
      </c>
      <c r="AR17" s="107">
        <f t="shared" si="4"/>
        <v>0.98117396371200938</v>
      </c>
      <c r="AS17" s="107">
        <f t="shared" si="4"/>
        <v>0.98331367865600305</v>
      </c>
      <c r="AT17" s="107">
        <f t="shared" si="4"/>
        <v>0.98509415717935644</v>
      </c>
      <c r="AU17" s="107">
        <f t="shared" si="4"/>
        <v>0.98667560806234367</v>
      </c>
      <c r="AV17" s="107">
        <f t="shared" si="4"/>
        <v>0.98810790275835136</v>
      </c>
      <c r="AW17" s="107">
        <f t="shared" si="4"/>
        <v>0.98930211138067925</v>
      </c>
      <c r="AX17" s="107">
        <f t="shared" si="4"/>
        <v>0.99031975234646208</v>
      </c>
      <c r="AY17" s="107">
        <f t="shared" si="4"/>
        <v>0.99128359650726794</v>
      </c>
      <c r="AZ17" s="107">
        <f t="shared" si="4"/>
        <v>0.99220188109042606</v>
      </c>
      <c r="BA17" s="107">
        <f t="shared" si="4"/>
        <v>0.99296942000158195</v>
      </c>
      <c r="BB17" s="107">
        <f t="shared" si="4"/>
        <v>0.99360575564344256</v>
      </c>
      <c r="BC17" s="107">
        <f t="shared" si="4"/>
        <v>0.99418962412865741</v>
      </c>
      <c r="BD17" s="107">
        <f t="shared" si="4"/>
        <v>0.99475859748533701</v>
      </c>
      <c r="BE17" s="107">
        <f t="shared" si="4"/>
        <v>0.99531405117965122</v>
      </c>
      <c r="BF17" s="107">
        <f t="shared" si="4"/>
        <v>0.99582663213833833</v>
      </c>
      <c r="BG17" s="107">
        <f t="shared" si="4"/>
        <v>0.99626216298984593</v>
      </c>
      <c r="BH17" s="107">
        <f t="shared" si="4"/>
        <v>0.99665513119828963</v>
      </c>
      <c r="BI17" s="107">
        <f t="shared" si="4"/>
        <v>0.99698864319584635</v>
      </c>
      <c r="BJ17" s="107">
        <f t="shared" si="4"/>
        <v>0.99727707888133321</v>
      </c>
      <c r="BK17" s="107">
        <f t="shared" si="4"/>
        <v>0.99756861669223651</v>
      </c>
      <c r="BL17" s="107">
        <f t="shared" si="4"/>
        <v>0.99783363461009722</v>
      </c>
      <c r="BM17" s="107">
        <f t="shared" si="4"/>
        <v>0.99805394079589194</v>
      </c>
      <c r="BN17" s="107">
        <f t="shared" si="4"/>
        <v>0.99824242609987357</v>
      </c>
      <c r="BO17" s="107">
        <f t="shared" si="4"/>
        <v>0.99841434934741069</v>
      </c>
      <c r="BP17" s="107">
        <f t="shared" ref="BP17:CL17" si="5">BP14/BP12</f>
        <v>0.99857353808791049</v>
      </c>
      <c r="BQ17" s="107">
        <f t="shared" si="5"/>
        <v>0.99871790601483834</v>
      </c>
      <c r="BR17" s="107">
        <f t="shared" si="5"/>
        <v>0.99883976171825728</v>
      </c>
      <c r="BS17" s="107">
        <f t="shared" si="5"/>
        <v>0.9989492047328995</v>
      </c>
      <c r="BT17" s="107">
        <f t="shared" si="5"/>
        <v>0.99905339418186567</v>
      </c>
      <c r="BU17" s="107">
        <f t="shared" si="5"/>
        <v>0.99915133251963262</v>
      </c>
      <c r="BV17" s="107">
        <f t="shared" si="5"/>
        <v>0.99924465470116952</v>
      </c>
      <c r="BW17" s="107">
        <f t="shared" si="5"/>
        <v>0.99933073099527003</v>
      </c>
      <c r="BX17" s="107">
        <f t="shared" si="5"/>
        <v>0.99940932781477243</v>
      </c>
      <c r="BY17" s="107">
        <f t="shared" si="5"/>
        <v>0.99948080909451575</v>
      </c>
      <c r="BZ17" s="107">
        <f t="shared" si="5"/>
        <v>0.99954527174871799</v>
      </c>
      <c r="CA17" s="107">
        <f t="shared" si="5"/>
        <v>0.99960314281654383</v>
      </c>
      <c r="CB17" s="107">
        <f t="shared" si="5"/>
        <v>0.99964896486155219</v>
      </c>
      <c r="CC17" s="107">
        <f t="shared" si="5"/>
        <v>0.99968387181321705</v>
      </c>
      <c r="CD17" s="107">
        <f t="shared" si="5"/>
        <v>0.99971458694345117</v>
      </c>
      <c r="CE17" s="107">
        <f t="shared" si="5"/>
        <v>0.99974224981477589</v>
      </c>
      <c r="CF17" s="107">
        <f t="shared" si="5"/>
        <v>0.99976771685948473</v>
      </c>
      <c r="CG17" s="107">
        <f t="shared" si="5"/>
        <v>0.99979143417806771</v>
      </c>
      <c r="CH17" s="107">
        <f t="shared" si="5"/>
        <v>0.99981336693459089</v>
      </c>
      <c r="CI17" s="107">
        <f t="shared" si="5"/>
        <v>0.99983199283484248</v>
      </c>
      <c r="CJ17" s="107">
        <f t="shared" si="5"/>
        <v>0.99984587603148334</v>
      </c>
      <c r="CK17" s="107">
        <f t="shared" si="5"/>
        <v>0.99985849292537832</v>
      </c>
      <c r="CL17" s="107">
        <f t="shared" si="5"/>
        <v>0.9998708582531376</v>
      </c>
    </row>
    <row r="18" spans="1:90" x14ac:dyDescent="0.35">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row>
    <row r="19" spans="1:90" x14ac:dyDescent="0.35">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3073" r:id="rId4">
          <objectPr defaultSize="0" r:id="rId5">
            <anchor moveWithCells="1">
              <from>
                <xdr:col>0</xdr:col>
                <xdr:colOff>139700</xdr:colOff>
                <xdr:row>0</xdr:row>
                <xdr:rowOff>38100</xdr:rowOff>
              </from>
              <to>
                <xdr:col>11</xdr:col>
                <xdr:colOff>50800</xdr:colOff>
                <xdr:row>6</xdr:row>
                <xdr:rowOff>152400</xdr:rowOff>
              </to>
            </anchor>
          </objectPr>
        </oleObject>
      </mc:Choice>
      <mc:Fallback>
        <oleObject progId="Word.Document.12" shapeId="3073"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23:CM52"/>
  <sheetViews>
    <sheetView topLeftCell="A21" workbookViewId="0">
      <selection activeCell="A31" sqref="A31"/>
    </sheetView>
  </sheetViews>
  <sheetFormatPr defaultColWidth="8.81640625" defaultRowHeight="12" x14ac:dyDescent="0.3"/>
  <cols>
    <col min="1" max="1" width="50.08984375" style="54" customWidth="1"/>
    <col min="2" max="2" width="45" style="54" bestFit="1" customWidth="1"/>
    <col min="3" max="3" width="17.08984375" style="54" bestFit="1" customWidth="1"/>
    <col min="4" max="4" width="5.1796875" style="54" bestFit="1" customWidth="1"/>
    <col min="5" max="5" width="5.08984375" style="54" customWidth="1"/>
    <col min="6" max="6" width="5.54296875" style="54" bestFit="1" customWidth="1"/>
    <col min="7" max="7" width="5.08984375" style="54" customWidth="1"/>
    <col min="8" max="9" width="5.36328125" style="54" bestFit="1" customWidth="1"/>
    <col min="10" max="11" width="5.54296875" style="54" bestFit="1" customWidth="1"/>
    <col min="12" max="13" width="5.36328125" style="54" bestFit="1" customWidth="1"/>
    <col min="14" max="15" width="5.08984375" style="54" customWidth="1"/>
    <col min="16" max="18" width="5.54296875" style="54" bestFit="1" customWidth="1"/>
    <col min="19" max="19" width="5.08984375" style="54" customWidth="1"/>
    <col min="20" max="23" width="5.54296875" style="54" bestFit="1" customWidth="1"/>
    <col min="24" max="24" width="5.36328125" style="54" bestFit="1" customWidth="1"/>
    <col min="25" max="25" width="5.90625" style="54" bestFit="1" customWidth="1"/>
    <col min="26" max="29" width="6.08984375" style="54" bestFit="1" customWidth="1"/>
    <col min="30" max="30" width="5.08984375" style="54" customWidth="1"/>
    <col min="31" max="31" width="6.36328125" style="54" bestFit="1" customWidth="1"/>
    <col min="32" max="32" width="5.90625" style="54" bestFit="1" customWidth="1"/>
    <col min="33" max="33" width="6.36328125" style="54" bestFit="1" customWidth="1"/>
    <col min="34" max="34" width="5.08984375" style="54" customWidth="1"/>
    <col min="35" max="35" width="6.36328125" style="54" bestFit="1" customWidth="1"/>
    <col min="36" max="36" width="5.90625" style="54" bestFit="1" customWidth="1"/>
    <col min="37" max="37" width="5.08984375" style="54" customWidth="1"/>
    <col min="38" max="38" width="6.08984375" style="54" bestFit="1" customWidth="1"/>
    <col min="39" max="47" width="6.36328125" style="54" bestFit="1" customWidth="1"/>
    <col min="48" max="48" width="5.90625" style="54" bestFit="1" customWidth="1"/>
    <col min="49" max="49" width="6.36328125" style="54" bestFit="1" customWidth="1"/>
    <col min="50" max="50" width="6.08984375" style="54" bestFit="1" customWidth="1"/>
    <col min="51" max="52" width="5.90625" style="54" bestFit="1" customWidth="1"/>
    <col min="53" max="53" width="6.6328125" style="54" bestFit="1" customWidth="1"/>
    <col min="54" max="54" width="6.90625" style="54" bestFit="1" customWidth="1"/>
    <col min="55" max="56" width="6.6328125" style="54" bestFit="1" customWidth="1"/>
    <col min="57" max="57" width="6.90625" style="54" bestFit="1" customWidth="1"/>
    <col min="58" max="59" width="6.6328125" style="54" bestFit="1" customWidth="1"/>
    <col min="60" max="61" width="7.1796875" style="54" bestFit="1" customWidth="1"/>
    <col min="62" max="62" width="6.90625" style="54" bestFit="1" customWidth="1"/>
    <col min="63" max="64" width="7.1796875" style="54" bestFit="1" customWidth="1"/>
    <col min="65" max="66" width="6.90625" style="54" bestFit="1" customWidth="1"/>
    <col min="67" max="68" width="7.1796875" style="54" bestFit="1" customWidth="1"/>
    <col min="69" max="74" width="7.81640625" style="54" bestFit="1" customWidth="1"/>
    <col min="75" max="75" width="8" style="54" bestFit="1" customWidth="1"/>
    <col min="76" max="76" width="8.36328125" style="54" bestFit="1" customWidth="1"/>
    <col min="77" max="77" width="8" style="54" bestFit="1" customWidth="1"/>
    <col min="78" max="78" width="8.36328125" style="54" bestFit="1" customWidth="1"/>
    <col min="79" max="79" width="8" style="54" bestFit="1" customWidth="1"/>
    <col min="80" max="80" width="8.36328125" style="54" bestFit="1" customWidth="1"/>
    <col min="81" max="81" width="8" style="54" bestFit="1" customWidth="1"/>
    <col min="82" max="82" width="8.36328125" style="54" bestFit="1" customWidth="1"/>
    <col min="83" max="83" width="7.1796875" style="54" bestFit="1" customWidth="1"/>
    <col min="84" max="84" width="7" style="54" bestFit="1" customWidth="1"/>
    <col min="85" max="90" width="7.453125" style="54" bestFit="1" customWidth="1"/>
    <col min="91" max="16384" width="8.81640625" style="54"/>
  </cols>
  <sheetData>
    <row r="23" spans="1:90" x14ac:dyDescent="0.3">
      <c r="A23" s="172"/>
    </row>
    <row r="24" spans="1:90" x14ac:dyDescent="0.3">
      <c r="A24" s="172"/>
    </row>
    <row r="25" spans="1:90" x14ac:dyDescent="0.3">
      <c r="A25" s="172"/>
    </row>
    <row r="26" spans="1:90" x14ac:dyDescent="0.3">
      <c r="A26" s="172"/>
    </row>
    <row r="27" spans="1:90" x14ac:dyDescent="0.3">
      <c r="A27" s="101" t="s">
        <v>282</v>
      </c>
      <c r="D27" s="85">
        <v>1925</v>
      </c>
      <c r="E27" s="85">
        <v>1926</v>
      </c>
      <c r="F27" s="85">
        <v>1927</v>
      </c>
      <c r="G27" s="85">
        <v>1928</v>
      </c>
      <c r="H27" s="85">
        <v>1929</v>
      </c>
      <c r="I27" s="85">
        <v>1930</v>
      </c>
      <c r="J27" s="85">
        <v>1931</v>
      </c>
      <c r="K27" s="85">
        <v>1932</v>
      </c>
      <c r="L27" s="85">
        <v>1933</v>
      </c>
      <c r="M27" s="85">
        <v>1934</v>
      </c>
      <c r="N27" s="85">
        <v>1935</v>
      </c>
      <c r="O27" s="85">
        <v>1936</v>
      </c>
      <c r="P27" s="85">
        <v>1937</v>
      </c>
      <c r="Q27" s="85">
        <v>1938</v>
      </c>
      <c r="R27" s="85">
        <v>1939</v>
      </c>
      <c r="S27" s="85">
        <v>1940</v>
      </c>
      <c r="T27" s="85">
        <v>1941</v>
      </c>
      <c r="U27" s="85">
        <v>1942</v>
      </c>
      <c r="V27" s="85">
        <v>1943</v>
      </c>
      <c r="W27" s="85">
        <v>1944</v>
      </c>
      <c r="X27" s="85">
        <v>1945</v>
      </c>
      <c r="Y27" s="85">
        <v>1946</v>
      </c>
      <c r="Z27" s="85">
        <v>1947</v>
      </c>
      <c r="AA27" s="85">
        <v>1948</v>
      </c>
      <c r="AB27" s="85">
        <v>1949</v>
      </c>
      <c r="AC27" s="85">
        <v>1950</v>
      </c>
      <c r="AD27" s="85">
        <v>1951</v>
      </c>
      <c r="AE27" s="85">
        <v>1952</v>
      </c>
      <c r="AF27" s="85">
        <v>1953</v>
      </c>
      <c r="AG27" s="85">
        <v>1954</v>
      </c>
      <c r="AH27" s="85">
        <v>1955</v>
      </c>
      <c r="AI27" s="85">
        <v>1956</v>
      </c>
      <c r="AJ27" s="85">
        <v>1957</v>
      </c>
      <c r="AK27" s="85">
        <v>1958</v>
      </c>
      <c r="AL27" s="85">
        <v>1959</v>
      </c>
      <c r="AM27" s="85">
        <v>1960</v>
      </c>
      <c r="AN27" s="85">
        <v>1961</v>
      </c>
      <c r="AO27" s="85">
        <v>1962</v>
      </c>
      <c r="AP27" s="85">
        <v>1963</v>
      </c>
      <c r="AQ27" s="85">
        <v>1964</v>
      </c>
      <c r="AR27" s="85">
        <v>1965</v>
      </c>
      <c r="AS27" s="85">
        <v>1966</v>
      </c>
      <c r="AT27" s="85">
        <v>1967</v>
      </c>
      <c r="AU27" s="85">
        <v>1968</v>
      </c>
      <c r="AV27" s="85">
        <v>1969</v>
      </c>
      <c r="AW27" s="85">
        <v>1970</v>
      </c>
      <c r="AX27" s="85">
        <v>1971</v>
      </c>
      <c r="AY27" s="85">
        <v>1972</v>
      </c>
      <c r="AZ27" s="85">
        <v>1973</v>
      </c>
      <c r="BA27" s="85">
        <v>1974</v>
      </c>
      <c r="BB27" s="85">
        <v>1975</v>
      </c>
      <c r="BC27" s="85">
        <v>1976</v>
      </c>
      <c r="BD27" s="85">
        <v>1977</v>
      </c>
      <c r="BE27" s="85">
        <v>1978</v>
      </c>
      <c r="BF27" s="85">
        <v>1979</v>
      </c>
      <c r="BG27" s="85">
        <v>1980</v>
      </c>
      <c r="BH27" s="85">
        <v>1981</v>
      </c>
      <c r="BI27" s="85">
        <v>1982</v>
      </c>
      <c r="BJ27" s="85">
        <v>1983</v>
      </c>
      <c r="BK27" s="85">
        <v>1984</v>
      </c>
      <c r="BL27" s="85">
        <v>1985</v>
      </c>
      <c r="BM27" s="85">
        <v>1986</v>
      </c>
      <c r="BN27" s="85">
        <v>1987</v>
      </c>
      <c r="BO27" s="85">
        <v>1988</v>
      </c>
      <c r="BP27" s="85">
        <v>1989</v>
      </c>
      <c r="BQ27" s="85">
        <v>1990</v>
      </c>
      <c r="BR27" s="85">
        <v>1991</v>
      </c>
      <c r="BS27" s="85">
        <v>1992</v>
      </c>
      <c r="BT27" s="85">
        <v>1993</v>
      </c>
      <c r="BU27" s="85">
        <v>1994</v>
      </c>
      <c r="BV27" s="85">
        <v>1995</v>
      </c>
      <c r="BW27" s="85">
        <v>1996</v>
      </c>
      <c r="BX27" s="85">
        <v>1997</v>
      </c>
      <c r="BY27" s="85">
        <v>1998</v>
      </c>
      <c r="BZ27" s="85">
        <v>1999</v>
      </c>
      <c r="CA27" s="85">
        <v>2000</v>
      </c>
      <c r="CB27" s="85">
        <v>2001</v>
      </c>
      <c r="CC27" s="85">
        <v>2002</v>
      </c>
      <c r="CD27" s="85">
        <v>2003</v>
      </c>
      <c r="CE27" s="85">
        <v>2004</v>
      </c>
      <c r="CF27" s="85">
        <v>2005</v>
      </c>
      <c r="CG27" s="85">
        <v>2006</v>
      </c>
      <c r="CH27" s="85">
        <v>2007</v>
      </c>
      <c r="CI27" s="85">
        <v>2008</v>
      </c>
      <c r="CJ27" s="85">
        <v>2009</v>
      </c>
      <c r="CK27" s="85">
        <v>2010</v>
      </c>
      <c r="CL27" s="59">
        <v>2011</v>
      </c>
    </row>
    <row r="28" spans="1:90" x14ac:dyDescent="0.3">
      <c r="A28" s="57" t="s">
        <v>0</v>
      </c>
      <c r="B28" s="97" t="s">
        <v>1</v>
      </c>
      <c r="C28" s="57" t="s">
        <v>2</v>
      </c>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row>
    <row r="29" spans="1:90" x14ac:dyDescent="0.3">
      <c r="A29" s="54" t="s">
        <v>283</v>
      </c>
      <c r="B29" s="54" t="s">
        <v>284</v>
      </c>
      <c r="C29" s="54" t="s">
        <v>285</v>
      </c>
      <c r="D29" s="81">
        <v>77.769000000000005</v>
      </c>
      <c r="E29" s="81">
        <v>79.727000000000004</v>
      </c>
      <c r="F29" s="81">
        <v>80.891999999999996</v>
      </c>
      <c r="G29" s="81">
        <v>81.55</v>
      </c>
      <c r="H29" s="81">
        <v>81.369</v>
      </c>
      <c r="I29" s="81">
        <v>76.628</v>
      </c>
      <c r="J29" s="81">
        <v>68.367000000000004</v>
      </c>
      <c r="K29" s="81">
        <v>61.954999999999998</v>
      </c>
      <c r="L29" s="81">
        <v>60.951000000000001</v>
      </c>
      <c r="M29" s="81">
        <v>61.070999999999998</v>
      </c>
      <c r="N29" s="81">
        <v>61.095999999999997</v>
      </c>
      <c r="O29" s="81">
        <v>64.147000000000006</v>
      </c>
      <c r="P29" s="81">
        <v>67.516999999999996</v>
      </c>
      <c r="Q29" s="81">
        <v>66.281000000000006</v>
      </c>
      <c r="R29" s="81">
        <v>66.355999999999995</v>
      </c>
      <c r="S29" s="81">
        <v>69.879000000000005</v>
      </c>
      <c r="T29" s="81">
        <v>76.540999999999997</v>
      </c>
      <c r="U29" s="81">
        <v>80.512</v>
      </c>
      <c r="V29" s="81">
        <v>81.242000000000004</v>
      </c>
      <c r="W29" s="81">
        <v>82.344999999999999</v>
      </c>
      <c r="X29" s="81">
        <v>90.328000000000003</v>
      </c>
      <c r="Y29" s="81">
        <v>109.554</v>
      </c>
      <c r="Z29" s="81">
        <v>131.62200000000001</v>
      </c>
      <c r="AA29" s="81">
        <v>146.79</v>
      </c>
      <c r="AB29" s="81">
        <v>155.14400000000001</v>
      </c>
      <c r="AC29" s="81">
        <v>171.29499999999999</v>
      </c>
      <c r="AD29" s="81">
        <v>189.28399999999999</v>
      </c>
      <c r="AE29" s="81">
        <v>201.50200000000001</v>
      </c>
      <c r="AF29" s="81">
        <v>213.01300000000001</v>
      </c>
      <c r="AG29" s="81">
        <v>222.86600000000001</v>
      </c>
      <c r="AH29" s="81">
        <v>243.02099999999999</v>
      </c>
      <c r="AI29" s="81">
        <v>271.50599999999997</v>
      </c>
      <c r="AJ29" s="81">
        <v>292.041</v>
      </c>
      <c r="AK29" s="81">
        <v>301.41000000000003</v>
      </c>
      <c r="AL29" s="81">
        <v>314.077</v>
      </c>
      <c r="AM29" s="81">
        <v>323.05399999999997</v>
      </c>
      <c r="AN29" s="81">
        <v>331.447</v>
      </c>
      <c r="AO29" s="81">
        <v>343.81900000000002</v>
      </c>
      <c r="AP29" s="81">
        <v>357.17700000000002</v>
      </c>
      <c r="AQ29" s="81">
        <v>377.34</v>
      </c>
      <c r="AR29" s="81">
        <v>407.79399999999998</v>
      </c>
      <c r="AS29" s="81">
        <v>450.09300000000002</v>
      </c>
      <c r="AT29" s="81">
        <v>489.84100000000001</v>
      </c>
      <c r="AU29" s="81">
        <v>543.96799999999996</v>
      </c>
      <c r="AV29" s="81">
        <v>602.44200000000001</v>
      </c>
      <c r="AW29" s="81">
        <v>665.399</v>
      </c>
      <c r="AX29" s="81">
        <v>731.54600000000005</v>
      </c>
      <c r="AY29" s="81">
        <v>812.71600000000001</v>
      </c>
      <c r="AZ29" s="81">
        <v>922.601</v>
      </c>
      <c r="BA29" s="81">
        <v>1107.3130000000001</v>
      </c>
      <c r="BB29" s="81">
        <v>1252.3979999999999</v>
      </c>
      <c r="BC29" s="81">
        <v>1369.1679999999999</v>
      </c>
      <c r="BD29" s="81">
        <v>1520.5440000000001</v>
      </c>
      <c r="BE29" s="81">
        <v>1723.549</v>
      </c>
      <c r="BF29" s="81">
        <v>1976.173</v>
      </c>
      <c r="BG29" s="81">
        <v>2277.8330000000001</v>
      </c>
      <c r="BH29" s="81">
        <v>2579.67</v>
      </c>
      <c r="BI29" s="81">
        <v>2756.942</v>
      </c>
      <c r="BJ29" s="81">
        <v>2844.8780000000002</v>
      </c>
      <c r="BK29" s="81">
        <v>2993.2179999999998</v>
      </c>
      <c r="BL29" s="81">
        <v>3158.1550000000002</v>
      </c>
      <c r="BM29" s="81">
        <v>3317.1840000000002</v>
      </c>
      <c r="BN29" s="81">
        <v>3459.6849999999999</v>
      </c>
      <c r="BO29" s="81">
        <v>3681.1509999999998</v>
      </c>
      <c r="BP29" s="81">
        <v>3886.4389999999999</v>
      </c>
    </row>
    <row r="30" spans="1:90" x14ac:dyDescent="0.3">
      <c r="A30" s="54" t="s">
        <v>286</v>
      </c>
      <c r="B30" s="54" t="s">
        <v>287</v>
      </c>
      <c r="C30" s="54" t="s">
        <v>288</v>
      </c>
      <c r="D30" s="81">
        <v>822.00400000000002</v>
      </c>
      <c r="E30" s="81">
        <v>841.00300000000004</v>
      </c>
      <c r="F30" s="81">
        <v>855.08299999999997</v>
      </c>
      <c r="G30" s="81">
        <v>867.51599999999996</v>
      </c>
      <c r="H30" s="81">
        <v>887.88699999999994</v>
      </c>
      <c r="I30" s="81">
        <v>895.36400000000003</v>
      </c>
      <c r="J30" s="81">
        <v>879.61300000000006</v>
      </c>
      <c r="K30" s="81">
        <v>848.42399999999998</v>
      </c>
      <c r="L30" s="81">
        <v>816.24199999999996</v>
      </c>
      <c r="M30" s="81">
        <v>790.37699999999995</v>
      </c>
      <c r="N30" s="81">
        <v>769.43</v>
      </c>
      <c r="O30" s="81">
        <v>760.48800000000006</v>
      </c>
      <c r="P30" s="81">
        <v>759.94200000000001</v>
      </c>
      <c r="Q30" s="81">
        <v>745.03300000000002</v>
      </c>
      <c r="R30" s="81">
        <v>733.61099999999999</v>
      </c>
      <c r="S30" s="81">
        <v>732.947</v>
      </c>
      <c r="T30" s="81">
        <v>740.90899999999999</v>
      </c>
      <c r="U30" s="81">
        <v>728.61800000000005</v>
      </c>
      <c r="V30" s="81">
        <v>709.83699999999999</v>
      </c>
      <c r="W30" s="81">
        <v>701.423</v>
      </c>
      <c r="X30" s="81">
        <v>711.49300000000005</v>
      </c>
      <c r="Y30" s="81">
        <v>741.33299999999997</v>
      </c>
      <c r="Z30" s="81">
        <v>777.86500000000001</v>
      </c>
      <c r="AA30" s="81">
        <v>815.05499999999995</v>
      </c>
      <c r="AB30" s="81">
        <v>838.928</v>
      </c>
      <c r="AC30" s="81">
        <v>866.53099999999995</v>
      </c>
      <c r="AD30" s="81">
        <v>901.85900000000004</v>
      </c>
      <c r="AE30" s="81">
        <v>937.20600000000002</v>
      </c>
      <c r="AF30" s="81">
        <v>976.67</v>
      </c>
      <c r="AG30" s="81">
        <v>1009.261</v>
      </c>
      <c r="AH30" s="81">
        <v>1046.1179999999999</v>
      </c>
      <c r="AI30" s="81">
        <v>1094.6199999999999</v>
      </c>
      <c r="AJ30" s="81">
        <v>1140.8989999999999</v>
      </c>
      <c r="AK30" s="81">
        <v>1163.212</v>
      </c>
      <c r="AL30" s="81">
        <v>1191.8140000000001</v>
      </c>
      <c r="AM30" s="81">
        <v>1227.248</v>
      </c>
      <c r="AN30" s="81">
        <v>1259.146</v>
      </c>
      <c r="AO30" s="81">
        <v>1297.596</v>
      </c>
      <c r="AP30" s="81">
        <v>1339.2059999999999</v>
      </c>
      <c r="AQ30" s="81">
        <v>1394.866</v>
      </c>
      <c r="AR30" s="81">
        <v>1472.7249999999999</v>
      </c>
      <c r="AS30" s="81">
        <v>1563.7750000000001</v>
      </c>
      <c r="AT30" s="81">
        <v>1645.171</v>
      </c>
      <c r="AU30" s="81">
        <v>1734.3510000000001</v>
      </c>
      <c r="AV30" s="81">
        <v>1830.3710000000001</v>
      </c>
      <c r="AW30" s="81">
        <v>1912.1849999999999</v>
      </c>
      <c r="AX30" s="81">
        <v>1982.7829999999999</v>
      </c>
      <c r="AY30" s="81">
        <v>2055.337</v>
      </c>
      <c r="AZ30" s="81">
        <v>2157.1550000000002</v>
      </c>
      <c r="BA30" s="81">
        <v>2258.0349999999999</v>
      </c>
      <c r="BB30" s="81">
        <v>2320.5619999999999</v>
      </c>
      <c r="BC30" s="81">
        <v>2380.386</v>
      </c>
      <c r="BD30" s="81">
        <v>2457.2779999999998</v>
      </c>
      <c r="BE30" s="81">
        <v>2559.33</v>
      </c>
      <c r="BF30" s="81">
        <v>2678.4740000000002</v>
      </c>
      <c r="BG30" s="81">
        <v>2787.2869999999998</v>
      </c>
      <c r="BH30" s="81">
        <v>2894.056</v>
      </c>
      <c r="BI30" s="81">
        <v>2970.8809999999999</v>
      </c>
      <c r="BJ30" s="81">
        <v>3028.835</v>
      </c>
      <c r="BK30" s="81">
        <v>3130.8339999999998</v>
      </c>
      <c r="BL30" s="81">
        <v>3253.7060000000001</v>
      </c>
      <c r="BM30" s="81">
        <v>3344.0650000000001</v>
      </c>
      <c r="BN30" s="81">
        <v>3415.174</v>
      </c>
      <c r="BO30" s="81">
        <v>3492.3679999999999</v>
      </c>
      <c r="BP30" s="81">
        <v>3574.7109999999998</v>
      </c>
      <c r="BQ30" s="100"/>
      <c r="BR30" s="100"/>
      <c r="BS30" s="100"/>
      <c r="BT30" s="100"/>
      <c r="BU30" s="100"/>
      <c r="BV30" s="100"/>
      <c r="BW30" s="100"/>
      <c r="BX30" s="100"/>
      <c r="BY30" s="100"/>
      <c r="BZ30" s="100"/>
      <c r="CA30" s="100"/>
      <c r="CB30" s="100"/>
      <c r="CC30" s="100"/>
      <c r="CD30" s="100"/>
      <c r="CE30" s="100"/>
      <c r="CF30" s="100"/>
      <c r="CG30" s="100"/>
      <c r="CH30" s="100"/>
      <c r="CI30" s="100"/>
      <c r="CJ30" s="100"/>
    </row>
    <row r="31" spans="1:90" x14ac:dyDescent="0.3">
      <c r="A31" s="80" t="s">
        <v>289</v>
      </c>
      <c r="B31" s="80" t="s">
        <v>354</v>
      </c>
      <c r="C31" s="54" t="s">
        <v>290</v>
      </c>
      <c r="D31" s="81">
        <f>D29*100/D30</f>
        <v>9.4609028666527166</v>
      </c>
      <c r="E31" s="81">
        <f t="shared" ref="E31:BP31" si="0">E29*100/E30</f>
        <v>9.4799899643639804</v>
      </c>
      <c r="F31" s="81">
        <f t="shared" si="0"/>
        <v>9.4601342793623537</v>
      </c>
      <c r="G31" s="81">
        <f t="shared" si="0"/>
        <v>9.4004029896854924</v>
      </c>
      <c r="H31" s="81">
        <f t="shared" si="0"/>
        <v>9.16434185881762</v>
      </c>
      <c r="I31" s="81">
        <f t="shared" si="0"/>
        <v>8.5583070125669565</v>
      </c>
      <c r="J31" s="81">
        <f t="shared" si="0"/>
        <v>7.7723953602322844</v>
      </c>
      <c r="K31" s="81">
        <f t="shared" si="0"/>
        <v>7.3023629694586667</v>
      </c>
      <c r="L31" s="81">
        <f t="shared" si="0"/>
        <v>7.4672707358847017</v>
      </c>
      <c r="M31" s="81">
        <f t="shared" si="0"/>
        <v>7.7268189737302579</v>
      </c>
      <c r="N31" s="81">
        <f t="shared" si="0"/>
        <v>7.9404234303315437</v>
      </c>
      <c r="O31" s="81">
        <f t="shared" si="0"/>
        <v>8.4349785926931133</v>
      </c>
      <c r="P31" s="81">
        <f t="shared" si="0"/>
        <v>8.8844938166333751</v>
      </c>
      <c r="Q31" s="81">
        <f t="shared" si="0"/>
        <v>8.8963844554536511</v>
      </c>
      <c r="R31" s="81">
        <f t="shared" si="0"/>
        <v>9.0451206429565527</v>
      </c>
      <c r="S31" s="81">
        <f t="shared" si="0"/>
        <v>9.5339772179980287</v>
      </c>
      <c r="T31" s="81">
        <f t="shared" si="0"/>
        <v>10.330688384133543</v>
      </c>
      <c r="U31" s="81">
        <f t="shared" si="0"/>
        <v>11.049960335868725</v>
      </c>
      <c r="V31" s="81">
        <f t="shared" si="0"/>
        <v>11.445162762718766</v>
      </c>
      <c r="W31" s="81">
        <f t="shared" si="0"/>
        <v>11.739706282799395</v>
      </c>
      <c r="X31" s="81">
        <f t="shared" si="0"/>
        <v>12.695557089106991</v>
      </c>
      <c r="Y31" s="81">
        <f t="shared" si="0"/>
        <v>14.777974270671884</v>
      </c>
      <c r="Z31" s="81">
        <f t="shared" si="0"/>
        <v>16.920931009879606</v>
      </c>
      <c r="AA31" s="81">
        <f t="shared" si="0"/>
        <v>18.009827557649484</v>
      </c>
      <c r="AB31" s="81">
        <f t="shared" si="0"/>
        <v>18.493124558960961</v>
      </c>
      <c r="AC31" s="81">
        <f t="shared" si="0"/>
        <v>19.767902129294857</v>
      </c>
      <c r="AD31" s="81">
        <f t="shared" si="0"/>
        <v>20.988203255719572</v>
      </c>
      <c r="AE31" s="81">
        <f t="shared" si="0"/>
        <v>21.500289157346412</v>
      </c>
      <c r="AF31" s="81">
        <f t="shared" si="0"/>
        <v>21.81013034085208</v>
      </c>
      <c r="AG31" s="81">
        <f t="shared" si="0"/>
        <v>22.082097693262696</v>
      </c>
      <c r="AH31" s="81">
        <f t="shared" si="0"/>
        <v>23.230744524040308</v>
      </c>
      <c r="AI31" s="81">
        <f t="shared" si="0"/>
        <v>24.803676161590325</v>
      </c>
      <c r="AJ31" s="81">
        <f t="shared" si="0"/>
        <v>25.597445523223353</v>
      </c>
      <c r="AK31" s="81">
        <f t="shared" si="0"/>
        <v>25.911871610678023</v>
      </c>
      <c r="AL31" s="81">
        <f t="shared" si="0"/>
        <v>26.352853717106864</v>
      </c>
      <c r="AM31" s="81">
        <f t="shared" si="0"/>
        <v>26.323448887266466</v>
      </c>
      <c r="AN31" s="81">
        <f t="shared" si="0"/>
        <v>26.323158712333598</v>
      </c>
      <c r="AO31" s="81">
        <f t="shared" si="0"/>
        <v>26.496613738020155</v>
      </c>
      <c r="AP31" s="81">
        <f t="shared" si="0"/>
        <v>26.670803446221125</v>
      </c>
      <c r="AQ31" s="81">
        <f t="shared" si="0"/>
        <v>27.052060914811889</v>
      </c>
      <c r="AR31" s="81">
        <f t="shared" si="0"/>
        <v>27.68975878049195</v>
      </c>
      <c r="AS31" s="81">
        <f t="shared" si="0"/>
        <v>28.782465508145354</v>
      </c>
      <c r="AT31" s="81">
        <f t="shared" si="0"/>
        <v>29.774473291834099</v>
      </c>
      <c r="AU31" s="81">
        <f t="shared" si="0"/>
        <v>31.364354735575436</v>
      </c>
      <c r="AV31" s="81">
        <f t="shared" si="0"/>
        <v>32.913655209790797</v>
      </c>
      <c r="AW31" s="81">
        <f t="shared" si="0"/>
        <v>34.797835983443022</v>
      </c>
      <c r="AX31" s="81">
        <f t="shared" si="0"/>
        <v>36.894909831282604</v>
      </c>
      <c r="AY31" s="81">
        <f t="shared" si="0"/>
        <v>39.541739383857738</v>
      </c>
      <c r="AZ31" s="81">
        <f t="shared" si="0"/>
        <v>42.769342026882626</v>
      </c>
      <c r="BA31" s="81">
        <f t="shared" si="0"/>
        <v>49.038788149873682</v>
      </c>
      <c r="BB31" s="81">
        <f t="shared" si="0"/>
        <v>53.969598743752591</v>
      </c>
      <c r="BC31" s="81">
        <f t="shared" si="0"/>
        <v>57.51873855752806</v>
      </c>
      <c r="BD31" s="81">
        <f t="shared" si="0"/>
        <v>61.879201295091576</v>
      </c>
      <c r="BE31" s="81">
        <f t="shared" si="0"/>
        <v>67.343757936647478</v>
      </c>
      <c r="BF31" s="81">
        <f t="shared" si="0"/>
        <v>73.77980895091757</v>
      </c>
      <c r="BG31" s="81">
        <f t="shared" si="0"/>
        <v>81.722226667006311</v>
      </c>
      <c r="BH31" s="81">
        <f t="shared" si="0"/>
        <v>89.136837711502466</v>
      </c>
      <c r="BI31" s="81">
        <f t="shared" si="0"/>
        <v>92.798802779377567</v>
      </c>
      <c r="BJ31" s="81">
        <f t="shared" si="0"/>
        <v>93.926476681628415</v>
      </c>
      <c r="BK31" s="81">
        <f t="shared" si="0"/>
        <v>95.604493882460716</v>
      </c>
      <c r="BL31" s="81">
        <f t="shared" si="0"/>
        <v>97.06331795189854</v>
      </c>
      <c r="BM31" s="81">
        <f t="shared" si="0"/>
        <v>99.19615796941747</v>
      </c>
      <c r="BN31" s="81">
        <f t="shared" si="0"/>
        <v>101.30333037203961</v>
      </c>
      <c r="BO31" s="81">
        <f t="shared" si="0"/>
        <v>105.40558726915376</v>
      </c>
      <c r="BP31" s="81">
        <f t="shared" si="0"/>
        <v>108.72036928299937</v>
      </c>
    </row>
    <row r="32" spans="1:90" x14ac:dyDescent="0.3">
      <c r="A32" s="80" t="s">
        <v>291</v>
      </c>
      <c r="B32" s="80" t="s">
        <v>284</v>
      </c>
      <c r="C32" s="54" t="s">
        <v>292</v>
      </c>
      <c r="D32" s="81">
        <v>4.96</v>
      </c>
      <c r="E32" s="81">
        <v>5.1470000000000002</v>
      </c>
      <c r="F32" s="81">
        <v>5.2370000000000001</v>
      </c>
      <c r="G32" s="81">
        <v>5.3410000000000002</v>
      </c>
      <c r="H32" s="81">
        <v>5.45</v>
      </c>
      <c r="I32" s="81">
        <v>5.2969999999999997</v>
      </c>
      <c r="J32" s="81">
        <v>4.9560000000000004</v>
      </c>
      <c r="K32" s="81">
        <v>4.4359999999999999</v>
      </c>
      <c r="L32" s="81">
        <v>4.258</v>
      </c>
      <c r="M32" s="81">
        <v>4.3659999999999997</v>
      </c>
      <c r="N32" s="81">
        <v>4.4059999999999997</v>
      </c>
      <c r="O32" s="81">
        <v>4.4349999999999996</v>
      </c>
      <c r="P32" s="81">
        <v>4.9189999999999996</v>
      </c>
      <c r="Q32" s="81">
        <v>4.9989999999999997</v>
      </c>
      <c r="R32" s="81">
        <v>4.9390000000000001</v>
      </c>
      <c r="S32" s="81">
        <v>5.1070000000000002</v>
      </c>
      <c r="T32" s="81">
        <v>5.5579999999999998</v>
      </c>
      <c r="U32" s="81">
        <v>6.1360000000000001</v>
      </c>
      <c r="V32" s="81">
        <v>6.2629999999999999</v>
      </c>
      <c r="W32" s="81">
        <v>6.3559999999999999</v>
      </c>
      <c r="X32" s="81">
        <v>6.4870000000000001</v>
      </c>
      <c r="Y32" s="81">
        <v>7.57</v>
      </c>
      <c r="Z32" s="81">
        <v>9.2210000000000001</v>
      </c>
      <c r="AA32" s="81">
        <v>10.706</v>
      </c>
      <c r="AB32" s="81">
        <v>11.503</v>
      </c>
      <c r="AC32" s="81">
        <v>12.337</v>
      </c>
      <c r="AD32" s="81">
        <v>14.195</v>
      </c>
      <c r="AE32" s="81">
        <v>15.236000000000001</v>
      </c>
      <c r="AF32" s="81">
        <v>16.277000000000001</v>
      </c>
      <c r="AG32" s="81">
        <v>17.227</v>
      </c>
      <c r="AH32" s="81">
        <v>18.276</v>
      </c>
      <c r="AI32" s="81">
        <v>20.6</v>
      </c>
      <c r="AJ32" s="81">
        <v>22.672000000000001</v>
      </c>
      <c r="AK32" s="81">
        <v>23.71</v>
      </c>
      <c r="AL32" s="81">
        <v>24.826000000000001</v>
      </c>
      <c r="AM32" s="81">
        <v>25.867000000000001</v>
      </c>
      <c r="AN32" s="81">
        <v>26.643999999999998</v>
      </c>
      <c r="AO32" s="81">
        <v>27.623000000000001</v>
      </c>
      <c r="AP32" s="81">
        <v>28.863</v>
      </c>
      <c r="AQ32" s="81">
        <v>30.381</v>
      </c>
      <c r="AR32" s="81">
        <v>32.494999999999997</v>
      </c>
      <c r="AS32" s="81">
        <v>35.423999999999999</v>
      </c>
      <c r="AT32" s="81">
        <v>38.825000000000003</v>
      </c>
      <c r="AU32" s="81">
        <v>42.89</v>
      </c>
      <c r="AV32" s="81">
        <v>46.945</v>
      </c>
      <c r="AW32" s="81">
        <v>51.518000000000001</v>
      </c>
      <c r="AX32" s="81">
        <v>56.686</v>
      </c>
      <c r="AY32" s="81">
        <v>63.319000000000003</v>
      </c>
      <c r="AZ32" s="81">
        <v>68.921000000000006</v>
      </c>
      <c r="BA32" s="81">
        <v>81.144999999999996</v>
      </c>
      <c r="BB32" s="81">
        <v>97.739000000000004</v>
      </c>
      <c r="BC32" s="81">
        <v>109.176</v>
      </c>
      <c r="BD32" s="81">
        <v>122.479</v>
      </c>
      <c r="BE32" s="81">
        <v>139.41200000000001</v>
      </c>
      <c r="BF32" s="81">
        <v>161.376</v>
      </c>
      <c r="BG32" s="81">
        <v>184.65600000000001</v>
      </c>
      <c r="BH32" s="81">
        <v>216.61199999999999</v>
      </c>
      <c r="BI32" s="81">
        <v>242.989</v>
      </c>
      <c r="BJ32" s="81">
        <v>250.71199999999999</v>
      </c>
      <c r="BK32" s="81">
        <v>262.66199999999998</v>
      </c>
      <c r="BL32" s="81">
        <v>277.83699999999999</v>
      </c>
      <c r="BM32" s="81">
        <v>294.178</v>
      </c>
      <c r="BN32" s="81">
        <v>307.71499999999997</v>
      </c>
      <c r="BO32" s="81">
        <v>327.63900000000001</v>
      </c>
      <c r="BP32" s="81">
        <v>352.38200000000001</v>
      </c>
    </row>
    <row r="33" spans="1:91" x14ac:dyDescent="0.3">
      <c r="A33" s="159" t="s">
        <v>293</v>
      </c>
      <c r="B33" s="80" t="s">
        <v>355</v>
      </c>
      <c r="C33" s="54" t="s">
        <v>356</v>
      </c>
      <c r="D33" s="107"/>
      <c r="E33" s="118">
        <f>E32*100/(E31*D30)</f>
        <v>6.6049929709174782E-2</v>
      </c>
      <c r="F33" s="118">
        <f t="shared" ref="F33:BP33" si="1">F32*100/(F31*E30)</f>
        <v>6.5824524109211247E-2</v>
      </c>
      <c r="G33" s="118">
        <f t="shared" si="1"/>
        <v>6.6445845763565894E-2</v>
      </c>
      <c r="H33" s="118">
        <f t="shared" si="1"/>
        <v>6.8551620797895396E-2</v>
      </c>
      <c r="I33" s="118">
        <f t="shared" si="1"/>
        <v>6.970828750457933E-2</v>
      </c>
      <c r="J33" s="118">
        <f t="shared" si="1"/>
        <v>7.121587016761978E-2</v>
      </c>
      <c r="K33" s="118">
        <f t="shared" si="1"/>
        <v>6.906157557055527E-2</v>
      </c>
      <c r="L33" s="118">
        <f t="shared" si="1"/>
        <v>6.7209523185601402E-2</v>
      </c>
      <c r="M33" s="118">
        <f t="shared" si="1"/>
        <v>6.9225173996983025E-2</v>
      </c>
      <c r="N33" s="118">
        <f t="shared" si="1"/>
        <v>7.0204756415016903E-2</v>
      </c>
      <c r="O33" s="118">
        <f t="shared" si="1"/>
        <v>6.8334579143431273E-2</v>
      </c>
      <c r="P33" s="118">
        <f t="shared" si="1"/>
        <v>7.2803417724872962E-2</v>
      </c>
      <c r="Q33" s="118">
        <f t="shared" si="1"/>
        <v>7.3941651547819162E-2</v>
      </c>
      <c r="R33" s="118">
        <f t="shared" si="1"/>
        <v>7.329074778531619E-2</v>
      </c>
      <c r="S33" s="118">
        <f t="shared" si="1"/>
        <v>7.3017324143840351E-2</v>
      </c>
      <c r="T33" s="118">
        <f t="shared" si="1"/>
        <v>7.3403490015436917E-2</v>
      </c>
      <c r="U33" s="118">
        <f t="shared" si="1"/>
        <v>7.4947950543224895E-2</v>
      </c>
      <c r="V33" s="118">
        <f t="shared" si="1"/>
        <v>7.5103563276306434E-2</v>
      </c>
      <c r="W33" s="118">
        <f t="shared" si="1"/>
        <v>7.6272507468479522E-2</v>
      </c>
      <c r="X33" s="118">
        <f t="shared" si="1"/>
        <v>7.2847077395107943E-2</v>
      </c>
      <c r="Y33" s="118">
        <f t="shared" si="1"/>
        <v>7.1996327156450601E-2</v>
      </c>
      <c r="Z33" s="118">
        <f t="shared" si="1"/>
        <v>7.3508986391594464E-2</v>
      </c>
      <c r="AA33" s="118">
        <f t="shared" si="1"/>
        <v>7.642112974974527E-2</v>
      </c>
      <c r="AB33" s="118">
        <f t="shared" si="1"/>
        <v>7.6315702967042362E-2</v>
      </c>
      <c r="AC33" s="118">
        <f t="shared" si="1"/>
        <v>7.4391667382168972E-2</v>
      </c>
      <c r="AD33" s="118">
        <f t="shared" si="1"/>
        <v>7.8050561427527282E-2</v>
      </c>
      <c r="AE33" s="118">
        <f t="shared" si="1"/>
        <v>7.857565674264036E-2</v>
      </c>
      <c r="AF33" s="118">
        <f t="shared" si="1"/>
        <v>7.9630793282467333E-2</v>
      </c>
      <c r="AG33" s="118">
        <f t="shared" si="1"/>
        <v>7.9876950995476259E-2</v>
      </c>
      <c r="AH33" s="118">
        <f t="shared" si="1"/>
        <v>7.7949714542413562E-2</v>
      </c>
      <c r="AI33" s="118">
        <f t="shared" si="1"/>
        <v>7.9390857539786225E-2</v>
      </c>
      <c r="AJ33" s="118">
        <f t="shared" si="1"/>
        <v>8.0915146831279788E-2</v>
      </c>
      <c r="AK33" s="118">
        <f t="shared" si="1"/>
        <v>8.0202068868963708E-2</v>
      </c>
      <c r="AL33" s="118">
        <f t="shared" si="1"/>
        <v>8.0987916407248076E-2</v>
      </c>
      <c r="AM33" s="118">
        <f t="shared" si="1"/>
        <v>8.2450784201881108E-2</v>
      </c>
      <c r="AN33" s="118">
        <f t="shared" si="1"/>
        <v>8.2476284806088818E-2</v>
      </c>
      <c r="AO33" s="118">
        <f t="shared" si="1"/>
        <v>8.2795051098936492E-2</v>
      </c>
      <c r="AP33" s="118">
        <f t="shared" si="1"/>
        <v>8.3399965781208479E-2</v>
      </c>
      <c r="AQ33" s="118">
        <f t="shared" si="1"/>
        <v>8.3859896412534982E-2</v>
      </c>
      <c r="AR33" s="118">
        <f t="shared" si="1"/>
        <v>8.4132710438443378E-2</v>
      </c>
      <c r="AS33" s="118">
        <f t="shared" si="1"/>
        <v>8.3569527585901721E-2</v>
      </c>
      <c r="AT33" s="118">
        <f t="shared" si="1"/>
        <v>8.3385994171420785E-2</v>
      </c>
      <c r="AU33" s="118">
        <f t="shared" si="1"/>
        <v>8.3120595054895857E-2</v>
      </c>
      <c r="AV33" s="118">
        <f t="shared" si="1"/>
        <v>8.2238699330592774E-2</v>
      </c>
      <c r="AW33" s="118">
        <f t="shared" si="1"/>
        <v>8.0884933299328735E-2</v>
      </c>
      <c r="AX33" s="118">
        <f t="shared" si="1"/>
        <v>8.0348810557192327E-2</v>
      </c>
      <c r="AY33" s="118">
        <f t="shared" si="1"/>
        <v>8.076126099468349E-2</v>
      </c>
      <c r="AZ33" s="118">
        <f t="shared" si="1"/>
        <v>7.8403592123954494E-2</v>
      </c>
      <c r="BA33" s="118">
        <f t="shared" si="1"/>
        <v>7.670800418793923E-2</v>
      </c>
      <c r="BB33" s="118">
        <f t="shared" si="1"/>
        <v>8.0202523438716922E-2</v>
      </c>
      <c r="BC33" s="118">
        <f t="shared" si="1"/>
        <v>8.179460308954585E-2</v>
      </c>
      <c r="BD33" s="118">
        <f t="shared" si="1"/>
        <v>8.3151396046815249E-2</v>
      </c>
      <c r="BE33" s="118">
        <f t="shared" si="1"/>
        <v>8.4245850262998384E-2</v>
      </c>
      <c r="BF33" s="118">
        <f t="shared" si="1"/>
        <v>8.546240944679255E-2</v>
      </c>
      <c r="BG33" s="118">
        <f t="shared" si="1"/>
        <v>8.4359849720818128E-2</v>
      </c>
      <c r="BH33" s="118">
        <f t="shared" si="1"/>
        <v>8.7185367070587091E-2</v>
      </c>
      <c r="BI33" s="118">
        <f t="shared" si="1"/>
        <v>9.0476816243933611E-2</v>
      </c>
      <c r="BJ33" s="118">
        <f t="shared" si="1"/>
        <v>8.9846638564901049E-2</v>
      </c>
      <c r="BK33" s="118">
        <f t="shared" si="1"/>
        <v>9.0707526613913972E-2</v>
      </c>
      <c r="BL33" s="118">
        <f t="shared" si="1"/>
        <v>9.1427092017891495E-2</v>
      </c>
      <c r="BM33" s="118">
        <f t="shared" si="1"/>
        <v>9.1145877688815991E-2</v>
      </c>
      <c r="BN33" s="118">
        <f t="shared" si="1"/>
        <v>9.0834375252056565E-2</v>
      </c>
      <c r="BO33" s="118">
        <f t="shared" si="1"/>
        <v>9.1016288977030235E-2</v>
      </c>
      <c r="BP33" s="118">
        <f t="shared" si="1"/>
        <v>9.2807440816164918E-2</v>
      </c>
      <c r="BQ33" s="157">
        <v>9.0586018584727257E-2</v>
      </c>
      <c r="BR33" s="157">
        <v>9.0945937876831917E-2</v>
      </c>
      <c r="BS33" s="157">
        <v>9.1305857168936577E-2</v>
      </c>
      <c r="BT33" s="157">
        <v>9.1665776461041237E-2</v>
      </c>
      <c r="BU33" s="157">
        <v>9.2025695753145897E-2</v>
      </c>
      <c r="BV33" s="157">
        <v>9.2385615045250558E-2</v>
      </c>
      <c r="BW33" s="157">
        <v>9.2745534337355218E-2</v>
      </c>
      <c r="BX33" s="157">
        <v>9.3105453629459878E-2</v>
      </c>
      <c r="BY33" s="157">
        <v>9.3465372921564538E-2</v>
      </c>
      <c r="BZ33" s="157">
        <v>9.3825292213669198E-2</v>
      </c>
      <c r="CA33" s="157">
        <v>9.4185211505773969E-2</v>
      </c>
      <c r="CB33" s="157">
        <v>9.4545130797878629E-2</v>
      </c>
      <c r="CC33" s="157">
        <v>9.4905050089983289E-2</v>
      </c>
      <c r="CD33" s="157">
        <v>9.526496938208795E-2</v>
      </c>
      <c r="CE33" s="157">
        <v>9.562488867419261E-2</v>
      </c>
      <c r="CF33" s="157">
        <v>9.598480796629727E-2</v>
      </c>
      <c r="CG33" s="157">
        <v>9.634472725840193E-2</v>
      </c>
      <c r="CH33" s="157">
        <v>9.670464655050659E-2</v>
      </c>
      <c r="CI33" s="157">
        <v>9.706456584261125E-2</v>
      </c>
      <c r="CJ33" s="157">
        <v>9.742448513471591E-2</v>
      </c>
      <c r="CK33" s="157">
        <v>9.778440442682057E-2</v>
      </c>
      <c r="CL33" s="157">
        <v>9.814432371892523E-2</v>
      </c>
    </row>
    <row r="34" spans="1:91" x14ac:dyDescent="0.3">
      <c r="A34" s="80" t="s">
        <v>294</v>
      </c>
      <c r="B34" s="80" t="s">
        <v>582</v>
      </c>
      <c r="C34" s="54" t="s">
        <v>340</v>
      </c>
      <c r="D34" s="100">
        <f>'Appndx 6.8.II.1'!D22</f>
        <v>6.9873240411781339</v>
      </c>
      <c r="E34" s="100">
        <f>'Appndx 6.8.II.1'!E22</f>
        <v>7.0100015509454909</v>
      </c>
      <c r="F34" s="100">
        <f>'Appndx 6.8.II.1'!F22</f>
        <v>6.9670989170272746</v>
      </c>
      <c r="G34" s="100">
        <f>'Appndx 6.8.II.1'!G22</f>
        <v>6.9803885423870478</v>
      </c>
      <c r="H34" s="100">
        <f>'Appndx 6.8.II.1'!H22</f>
        <v>6.7287952963517794</v>
      </c>
      <c r="I34" s="100">
        <f>'Appndx 6.8.II.1'!I22</f>
        <v>6.3001716044579297</v>
      </c>
      <c r="J34" s="100">
        <f>'Appndx 6.8.II.1'!J22</f>
        <v>5.6843103067414216</v>
      </c>
      <c r="K34" s="100">
        <f>'Appndx 6.8.II.1'!K22</f>
        <v>5.4005857369113697</v>
      </c>
      <c r="L34" s="100">
        <f>'Appndx 6.8.II.1'!L22</f>
        <v>5.5621496406871733</v>
      </c>
      <c r="M34" s="100">
        <f>'Appndx 6.8.II.1'!M22</f>
        <v>5.706230194073993</v>
      </c>
      <c r="N34" s="100">
        <f>'Appndx 6.8.II.1'!N22</f>
        <v>5.7241436412173732</v>
      </c>
      <c r="O34" s="100">
        <f>'Appndx 6.8.II.1'!O22</f>
        <v>6.2788238065816904</v>
      </c>
      <c r="P34" s="100">
        <f>'Appndx 6.8.II.1'!P22</f>
        <v>6.4287115289492682</v>
      </c>
      <c r="Q34" s="100">
        <f>'Appndx 6.8.II.1'!Q22</f>
        <v>6.3673160823889612</v>
      </c>
      <c r="R34" s="100">
        <f>'Appndx 6.8.II.1'!R22</f>
        <v>6.4016883009801395</v>
      </c>
      <c r="S34" s="100">
        <f>'Appndx 6.8.II.1'!S22</f>
        <v>6.7229358667897099</v>
      </c>
      <c r="T34" s="100">
        <f>'Appndx 6.8.II.1'!T22</f>
        <v>7.4125501650118313</v>
      </c>
      <c r="U34" s="100">
        <f>'Appndx 6.8.II.1'!U22</f>
        <v>7.8993193599640072</v>
      </c>
      <c r="V34" s="100">
        <f>'Appndx 6.8.II.1'!V22</f>
        <v>8.0182490185873228</v>
      </c>
      <c r="W34" s="100">
        <f>'Appndx 6.8.II.1'!W22</f>
        <v>8.0904496058107132</v>
      </c>
      <c r="X34" s="100">
        <f>'Appndx 6.8.II.1'!X22</f>
        <v>8.694719318353302</v>
      </c>
      <c r="Y34" s="100">
        <f>'Appndx 6.8.II.1'!Y22</f>
        <v>10.186284027201914</v>
      </c>
      <c r="Z34" s="100">
        <f>'Appndx 6.8.II.1'!Z22</f>
        <v>11.687301316453992</v>
      </c>
      <c r="AA34" s="100">
        <f>'Appndx 6.8.II.1'!AA22</f>
        <v>12.328702827178615</v>
      </c>
      <c r="AB34" s="100">
        <f>'Appndx 6.8.II.1'!AB22</f>
        <v>12.277109759362501</v>
      </c>
      <c r="AC34" s="100">
        <f>'Appndx 6.8.II.1'!AC22</f>
        <v>13.416174233016012</v>
      </c>
      <c r="AD34" s="100">
        <f>'Appndx 6.8.II.1'!AD22</f>
        <v>14.108519660463656</v>
      </c>
      <c r="AE34" s="100">
        <f>'Appndx 6.8.II.1'!AE22</f>
        <v>14.471325701210484</v>
      </c>
      <c r="AF34" s="100">
        <f>'Appndx 6.8.II.1'!AF22</f>
        <v>14.684464749597003</v>
      </c>
      <c r="AG34" s="100">
        <f>'Appndx 6.8.II.1'!AG22</f>
        <v>14.704855179218828</v>
      </c>
      <c r="AH34" s="100">
        <f>'Appndx 6.8.II.1'!AH22</f>
        <v>15.688314764964181</v>
      </c>
      <c r="AI34" s="100">
        <f>'Appndx 6.8.II.1'!AI22</f>
        <v>16.764998238397013</v>
      </c>
      <c r="AJ34" s="100">
        <f>'Appndx 6.8.II.1'!AJ22</f>
        <v>17.341345581213609</v>
      </c>
      <c r="AK34" s="100">
        <f>'Appndx 6.8.II.1'!AK22</f>
        <v>17.339403814644832</v>
      </c>
      <c r="AL34" s="100">
        <f>'Appndx 6.8.II.1'!AL22</f>
        <v>17.69761255001583</v>
      </c>
      <c r="AM34" s="100">
        <f>'Appndx 6.8.II.1'!AM22</f>
        <v>17.550672647731936</v>
      </c>
      <c r="AN34" s="100">
        <f>'Appndx 6.8.II.1'!AN22</f>
        <v>17.543961999809294</v>
      </c>
      <c r="AO34" s="100">
        <f>'Appndx 6.8.II.1'!AO22</f>
        <v>17.589420133427467</v>
      </c>
      <c r="AP34" s="100">
        <f>'Appndx 6.8.II.1'!AP22</f>
        <v>17.617396713583393</v>
      </c>
      <c r="AQ34" s="100">
        <f>'Appndx 6.8.II.1'!AQ22</f>
        <v>17.920503791927498</v>
      </c>
      <c r="AR34" s="100">
        <f>'Appndx 6.8.II.1'!AR22</f>
        <v>18.250631850261041</v>
      </c>
      <c r="AS34" s="100">
        <f>'Appndx 6.8.II.1'!AS22</f>
        <v>18.782393828615053</v>
      </c>
      <c r="AT34" s="100">
        <f>'Appndx 6.8.II.1'!AT22</f>
        <v>19.410069213456318</v>
      </c>
      <c r="AU34" s="100">
        <f>'Appndx 6.8.II.1'!AU22</f>
        <v>20.383484877608488</v>
      </c>
      <c r="AV34" s="100">
        <f>'Appndx 6.8.II.1'!AV22</f>
        <v>21.399327381342918</v>
      </c>
      <c r="AW34" s="100">
        <f>'Appndx 6.8.II.1'!AW22</f>
        <v>22.625483393993601</v>
      </c>
      <c r="AX34" s="100">
        <f>'Appndx 6.8.II.1'!AX22</f>
        <v>23.985256590722237</v>
      </c>
      <c r="AY34" s="100">
        <f>'Appndx 6.8.II.1'!AY22</f>
        <v>25.064829917030362</v>
      </c>
      <c r="AZ34" s="100">
        <f>'Appndx 6.8.II.1'!AZ22</f>
        <v>27.018276340196085</v>
      </c>
      <c r="BA34" s="100">
        <f>'Appndx 6.8.II.1'!BA22</f>
        <v>31.740071490819343</v>
      </c>
      <c r="BB34" s="100">
        <f>'Appndx 6.8.II.1'!BB22</f>
        <v>34.28987723496374</v>
      </c>
      <c r="BC34" s="100">
        <f>'Appndx 6.8.II.1'!BC22</f>
        <v>36.651084010213211</v>
      </c>
      <c r="BD34" s="100">
        <f>'Appndx 6.8.II.1'!BD22</f>
        <v>39.437901289145174</v>
      </c>
      <c r="BE34" s="100">
        <f>'Appndx 6.8.II.1'!BE22</f>
        <v>42.969623074481575</v>
      </c>
      <c r="BF34" s="100">
        <f>'Appndx 6.8.II.1'!BF22</f>
        <v>47.298853060761608</v>
      </c>
      <c r="BG34" s="100">
        <f>'Appndx 6.8.II.1'!BG22</f>
        <v>52.246236641199772</v>
      </c>
      <c r="BH34" s="100">
        <f>'Appndx 6.8.II.1'!BH22</f>
        <v>56.841267698094235</v>
      </c>
      <c r="BI34" s="100">
        <f>'Appndx 6.8.II.1'!BI22</f>
        <v>58.618775449075258</v>
      </c>
      <c r="BJ34" s="100">
        <f>'Appndx 6.8.II.1'!BJ22</f>
        <v>58.854759207662198</v>
      </c>
      <c r="BK34" s="100">
        <f>'Appndx 6.8.II.1'!BK22</f>
        <v>60.077116450416256</v>
      </c>
      <c r="BL34" s="100">
        <f>'Appndx 6.8.II.1'!BL22</f>
        <v>61.058021345664613</v>
      </c>
      <c r="BM34" s="100">
        <f>'Appndx 6.8.II.1'!BM22</f>
        <v>61.972763235398922</v>
      </c>
      <c r="BN34" s="100">
        <f>'Appndx 6.8.II.1'!BN22</f>
        <v>63.676892636134198</v>
      </c>
      <c r="BO34" s="100">
        <f>'Appndx 6.8.II.1'!BO22</f>
        <v>66.091720833468884</v>
      </c>
      <c r="BP34" s="100">
        <f>'Appndx 6.8.II.1'!BP22</f>
        <v>68.252983329355629</v>
      </c>
      <c r="BQ34" s="100">
        <f>'Appndx 6.8.II.1'!BQ22</f>
        <v>70.191504032497775</v>
      </c>
      <c r="BR34" s="100">
        <f>'Appndx 6.8.II.1'!BR22</f>
        <v>70.501297430815185</v>
      </c>
      <c r="BS34" s="100">
        <f>'Appndx 6.8.II.1'!BS22</f>
        <v>71.612045356646277</v>
      </c>
      <c r="BT34" s="100">
        <f>'Appndx 6.8.II.1'!BT22</f>
        <v>73.286746010669248</v>
      </c>
      <c r="BU34" s="100">
        <f>'Appndx 6.8.II.1'!BU22</f>
        <v>75.258468509210786</v>
      </c>
      <c r="BV34" s="100">
        <f>'Appndx 6.8.II.1'!BV22</f>
        <v>76.963898815661025</v>
      </c>
      <c r="BW34" s="100">
        <f>'Appndx 6.8.II.1'!BW22</f>
        <v>78.025603515145249</v>
      </c>
      <c r="BX34" s="100">
        <f>'Appndx 6.8.II.1'!BX22</f>
        <v>79.237937499554747</v>
      </c>
      <c r="BY34" s="100">
        <f>'Appndx 6.8.II.1'!BY22</f>
        <v>80.298983385243304</v>
      </c>
      <c r="BZ34" s="100">
        <f>'Appndx 6.8.II.1'!BZ22</f>
        <v>81.42724909889219</v>
      </c>
      <c r="CA34" s="100">
        <f>'Appndx 6.8.II.1'!CA22</f>
        <v>83.302417531641652</v>
      </c>
      <c r="CB34" s="100">
        <f>'Appndx 6.8.II.1'!CB22</f>
        <v>84.996949003980049</v>
      </c>
      <c r="CC34" s="100">
        <f>'Appndx 6.8.II.1'!CC22</f>
        <v>86.733812825825538</v>
      </c>
      <c r="CD34" s="100">
        <f>'Appndx 6.8.II.1'!CD22</f>
        <v>88.231611878209364</v>
      </c>
      <c r="CE34" s="100">
        <f>'Appndx 6.8.II.1'!CE22</f>
        <v>93.698188935424554</v>
      </c>
      <c r="CF34" s="100">
        <f>'Appndx 6.8.II.1'!CF22</f>
        <v>100</v>
      </c>
      <c r="CG34" s="100">
        <f>'Appndx 6.8.II.1'!CG22</f>
        <v>105.84073849688174</v>
      </c>
      <c r="CH34" s="100">
        <f>'Appndx 6.8.II.1'!CH22</f>
        <v>108.69286489676857</v>
      </c>
      <c r="CI34" s="100">
        <f>'Appndx 6.8.II.1'!CI22</f>
        <v>113.4656961622613</v>
      </c>
      <c r="CJ34" s="100">
        <f>'Appndx 6.8.II.1'!CJ22</f>
        <v>109.52547149964857</v>
      </c>
      <c r="CK34" s="100">
        <f>'Appndx 6.8.II.1'!CK22</f>
        <v>111.72330165912993</v>
      </c>
      <c r="CL34" s="100">
        <f>'Appndx 6.8.II.1'!CL22</f>
        <v>115.2873632496994</v>
      </c>
    </row>
    <row r="35" spans="1:91" x14ac:dyDescent="0.3">
      <c r="A35" s="80" t="s">
        <v>295</v>
      </c>
      <c r="B35" s="80" t="s">
        <v>582</v>
      </c>
      <c r="C35" s="54" t="s">
        <v>296</v>
      </c>
      <c r="D35" s="100">
        <f>'Appndx 6.8.II.1'!D28</f>
        <v>7.3</v>
      </c>
      <c r="E35" s="100">
        <f>'Appndx 6.8.II.1'!E28</f>
        <v>7.3</v>
      </c>
      <c r="F35" s="100">
        <f>'Appndx 6.8.II.1'!F28</f>
        <v>6.9</v>
      </c>
      <c r="G35" s="100">
        <f>'Appndx 6.8.II.1'!G28</f>
        <v>7</v>
      </c>
      <c r="H35" s="100">
        <f>'Appndx 6.8.II.1'!H28</f>
        <v>7.7</v>
      </c>
      <c r="I35" s="100">
        <f>'Appndx 6.8.II.1'!I28</f>
        <v>6.4</v>
      </c>
      <c r="J35" s="100">
        <f>'Appndx 6.8.II.1'!J28</f>
        <v>4</v>
      </c>
      <c r="K35" s="100">
        <f>'Appndx 6.8.II.1'!K28</f>
        <v>2.4</v>
      </c>
      <c r="L35" s="100">
        <f>'Appndx 6.8.II.1'!L28</f>
        <v>2.2000000000000002</v>
      </c>
      <c r="M35" s="100">
        <f>'Appndx 6.8.II.1'!M28</f>
        <v>2.7</v>
      </c>
      <c r="N35" s="100">
        <f>'Appndx 6.8.II.1'!N28</f>
        <v>3.2</v>
      </c>
      <c r="O35" s="100">
        <f>'Appndx 6.8.II.1'!O28</f>
        <v>4.0999999999999996</v>
      </c>
      <c r="P35" s="100">
        <f>'Appndx 6.8.II.1'!P28</f>
        <v>5.4</v>
      </c>
      <c r="Q35" s="100">
        <f>'Appndx 6.8.II.1'!Q28</f>
        <v>4.0999999999999996</v>
      </c>
      <c r="R35" s="100">
        <f>'Appndx 6.8.II.1'!R28</f>
        <v>4.4000000000000004</v>
      </c>
      <c r="S35" s="100">
        <f>'Appndx 6.8.II.1'!S28</f>
        <v>5.6</v>
      </c>
      <c r="T35" s="100">
        <f>'Appndx 6.8.II.1'!T28</f>
        <v>6.8</v>
      </c>
      <c r="U35" s="100">
        <f>'Appndx 6.8.II.1'!U28</f>
        <v>5.2</v>
      </c>
      <c r="V35" s="100">
        <f>'Appndx 6.8.II.1'!V28</f>
        <v>4.5</v>
      </c>
      <c r="W35" s="100">
        <f>'Appndx 6.8.II.1'!W28</f>
        <v>5.8</v>
      </c>
      <c r="X35" s="100">
        <f>'Appndx 6.8.II.1'!X28</f>
        <v>8.1</v>
      </c>
      <c r="Y35" s="100">
        <f>'Appndx 6.8.II.1'!Y28</f>
        <v>12</v>
      </c>
      <c r="Z35" s="100">
        <f>'Appndx 6.8.II.1'!Z28</f>
        <v>15.7</v>
      </c>
      <c r="AA35" s="100">
        <f>'Appndx 6.8.II.1'!AA28</f>
        <v>17.8</v>
      </c>
      <c r="AB35" s="100">
        <f>'Appndx 6.8.II.1'!AB28</f>
        <v>16.2</v>
      </c>
      <c r="AC35" s="100">
        <f>'Appndx 6.8.II.1'!AC28</f>
        <v>17.8</v>
      </c>
      <c r="AD35" s="100">
        <f>'Appndx 6.8.II.1'!AD28</f>
        <v>21.7</v>
      </c>
      <c r="AE35" s="100">
        <f>'Appndx 6.8.II.1'!AE28</f>
        <v>22.7</v>
      </c>
      <c r="AF35" s="100">
        <f>'Appndx 6.8.II.1'!AF28</f>
        <v>24.8</v>
      </c>
      <c r="AG35" s="100">
        <f>'Appndx 6.8.II.1'!AG28</f>
        <v>24.1</v>
      </c>
      <c r="AH35" s="100">
        <f>'Appndx 6.8.II.1'!AH28</f>
        <v>26.6</v>
      </c>
      <c r="AI35" s="100">
        <f>'Appndx 6.8.II.1'!AI28</f>
        <v>32.200000000000003</v>
      </c>
      <c r="AJ35" s="100">
        <f>'Appndx 6.8.II.1'!AJ28</f>
        <v>34.9</v>
      </c>
      <c r="AK35" s="100">
        <f>'Appndx 6.8.II.1'!AK28</f>
        <v>30.2</v>
      </c>
      <c r="AL35" s="100">
        <f>'Appndx 6.8.II.1'!AL28</f>
        <v>32.700000000000003</v>
      </c>
      <c r="AM35" s="100">
        <f>'Appndx 6.8.II.1'!AM28</f>
        <v>35.6</v>
      </c>
      <c r="AN35" s="100">
        <f>'Appndx 6.8.II.1'!AN28</f>
        <v>35.200000000000003</v>
      </c>
      <c r="AO35" s="100">
        <f>'Appndx 6.8.II.1'!AO28</f>
        <v>38.299999999999997</v>
      </c>
      <c r="AP35" s="100">
        <f>'Appndx 6.8.II.1'!AP28</f>
        <v>40.4</v>
      </c>
      <c r="AQ35" s="100">
        <f>'Appndx 6.8.II.1'!AQ28</f>
        <v>46.1</v>
      </c>
      <c r="AR35" s="100">
        <f>'Appndx 6.8.II.1'!AR28</f>
        <v>55.1</v>
      </c>
      <c r="AS35" s="100">
        <f>'Appndx 6.8.II.1'!AS28</f>
        <v>63.8</v>
      </c>
      <c r="AT35" s="100">
        <f>'Appndx 6.8.II.1'!AT28</f>
        <v>64.900000000000006</v>
      </c>
      <c r="AU35" s="100">
        <f>'Appndx 6.8.II.1'!AU28</f>
        <v>71</v>
      </c>
      <c r="AV35" s="100">
        <f>'Appndx 6.8.II.1'!AV28</f>
        <v>79.2</v>
      </c>
      <c r="AW35" s="100">
        <f>'Appndx 6.8.II.1'!AW28</f>
        <v>81.400000000000006</v>
      </c>
      <c r="AX35" s="100">
        <f>'Appndx 6.8.II.1'!AX28</f>
        <v>84.6</v>
      </c>
      <c r="AY35" s="100">
        <f>'Appndx 6.8.II.1'!AY28</f>
        <v>96.2</v>
      </c>
      <c r="AZ35" s="100">
        <f>'Appndx 6.8.II.1'!AZ28</f>
        <v>114.8</v>
      </c>
      <c r="BA35" s="100">
        <f>'Appndx 6.8.II.1'!BA28</f>
        <v>131.19999999999999</v>
      </c>
      <c r="BB35" s="100">
        <f>'Appndx 6.8.II.1'!BB28</f>
        <v>134</v>
      </c>
      <c r="BC35" s="100">
        <f>'Appndx 6.8.II.1'!BC28</f>
        <v>148.6</v>
      </c>
      <c r="BD35" s="100">
        <f>'Appndx 6.8.II.1'!BD28</f>
        <v>177.4</v>
      </c>
      <c r="BE35" s="100">
        <f>'Appndx 6.8.II.1'!BE28</f>
        <v>218.2</v>
      </c>
      <c r="BF35" s="100">
        <f>'Appndx 6.8.II.1'!BF28</f>
        <v>259.5</v>
      </c>
      <c r="BG35" s="100">
        <f>'Appndx 6.8.II.1'!BG28</f>
        <v>284.60000000000002</v>
      </c>
      <c r="BH35" s="100">
        <f>'Appndx 6.8.II.1'!BH28</f>
        <v>324.39999999999998</v>
      </c>
      <c r="BI35" s="100">
        <f>'Appndx 6.8.II.1'!BI28</f>
        <v>327.10000000000002</v>
      </c>
      <c r="BJ35" s="100">
        <f>'Appndx 6.8.II.1'!BJ28</f>
        <v>323.7</v>
      </c>
      <c r="BK35" s="100">
        <f>'Appndx 6.8.II.1'!BK28</f>
        <v>383.6</v>
      </c>
      <c r="BL35" s="100">
        <f>'Appndx 6.8.II.1'!BL28</f>
        <v>412.5</v>
      </c>
      <c r="BM35" s="100">
        <f>'Appndx 6.8.II.1'!BM28</f>
        <v>402.3</v>
      </c>
      <c r="BN35" s="100">
        <f>'Appndx 6.8.II.1'!BN28</f>
        <v>403.3</v>
      </c>
      <c r="BO35" s="100">
        <f>'Appndx 6.8.II.1'!BO28</f>
        <v>433.2</v>
      </c>
      <c r="BP35" s="100">
        <f>'Appndx 6.8.II.1'!BP28</f>
        <v>471.5</v>
      </c>
      <c r="BQ35" s="100">
        <f>'Appndx 6.8.II.1'!BQ28</f>
        <v>502.1</v>
      </c>
      <c r="BR35" s="100">
        <f>'Appndx 6.8.II.1'!BR28</f>
        <v>482.4</v>
      </c>
      <c r="BS35" s="100">
        <f>'Appndx 6.8.II.1'!BS28</f>
        <v>495.3</v>
      </c>
      <c r="BT35" s="100">
        <f>'Appndx 6.8.II.1'!BT28</f>
        <v>545.4</v>
      </c>
      <c r="BU35" s="100">
        <f>'Appndx 6.8.II.1'!BU28</f>
        <v>600.70000000000005</v>
      </c>
      <c r="BV35" s="100">
        <f>'Appndx 6.8.II.1'!BV28</f>
        <v>674.8</v>
      </c>
      <c r="BW35" s="100">
        <f>'Appndx 6.8.II.1'!BW28</f>
        <v>735.2</v>
      </c>
      <c r="BX35" s="100">
        <f>'Appndx 6.8.II.1'!BX28</f>
        <v>800</v>
      </c>
      <c r="BY35" s="100">
        <f>'Appndx 6.8.II.1'!BY28</f>
        <v>871</v>
      </c>
      <c r="BZ35" s="100">
        <f>'Appndx 6.8.II.1'!BZ28</f>
        <v>946.3</v>
      </c>
      <c r="CA35" s="100">
        <f>'Appndx 6.8.II.1'!CA28</f>
        <v>1037.8</v>
      </c>
      <c r="CB35" s="100">
        <f>'Appndx 6.8.II.1'!CB28</f>
        <v>991.7</v>
      </c>
      <c r="CC35" s="100">
        <f>'Appndx 6.8.II.1'!CC28</f>
        <v>885.1</v>
      </c>
      <c r="CD35" s="100">
        <f>'Appndx 6.8.II.1'!CD28</f>
        <v>891.8</v>
      </c>
      <c r="CE35" s="100">
        <f>'Appndx 6.8.II.1'!CE28</f>
        <v>960</v>
      </c>
      <c r="CF35" s="100">
        <f>'Appndx 6.8.II.1'!CF28</f>
        <v>1065.2</v>
      </c>
      <c r="CG35" s="100">
        <f>'Appndx 6.8.II.1'!CG28</f>
        <v>1193</v>
      </c>
      <c r="CH35" s="100">
        <f>'Appndx 6.8.II.1'!CH28</f>
        <v>1295.3</v>
      </c>
      <c r="CI35" s="100">
        <f>'Appndx 6.8.II.1'!CI28</f>
        <v>1311.5</v>
      </c>
      <c r="CJ35" s="100">
        <f>'Appndx 6.8.II.1'!CJ28</f>
        <v>1049.8</v>
      </c>
      <c r="CK35" s="100">
        <f>'Appndx 6.8.II.1'!CK28</f>
        <v>1063.9000000000001</v>
      </c>
      <c r="CL35" s="100">
        <f>'Appndx 6.8.II.1'!CL28</f>
        <v>1182.4000000000001</v>
      </c>
    </row>
    <row r="36" spans="1:91" s="90" customFormat="1" ht="26" customHeight="1" x14ac:dyDescent="0.3">
      <c r="A36" s="42" t="s">
        <v>297</v>
      </c>
      <c r="B36" s="44" t="s">
        <v>357</v>
      </c>
      <c r="C36" s="103" t="s">
        <v>298</v>
      </c>
      <c r="D36" s="90">
        <f>'Appndx 6.8.II.1'!D19</f>
        <v>98.1</v>
      </c>
      <c r="E36" s="156">
        <f t="shared" ref="E36:AJ36" si="2">E35+(1-E33)*(E34/D34)*D36</f>
        <v>99.217858195936429</v>
      </c>
      <c r="F36" s="156">
        <f t="shared" si="2"/>
        <v>99.019627296985533</v>
      </c>
      <c r="G36" s="156">
        <f t="shared" si="2"/>
        <v>99.616512529043263</v>
      </c>
      <c r="H36" s="156">
        <f t="shared" si="2"/>
        <v>97.143306198933473</v>
      </c>
      <c r="I36" s="156">
        <f t="shared" si="2"/>
        <v>91.014948588541444</v>
      </c>
      <c r="J36" s="156">
        <f t="shared" si="2"/>
        <v>80.269853676411216</v>
      </c>
      <c r="K36" s="156">
        <f t="shared" si="2"/>
        <v>73.396430554841146</v>
      </c>
      <c r="L36" s="156">
        <f t="shared" si="2"/>
        <v>72.711645021547469</v>
      </c>
      <c r="M36" s="156">
        <f t="shared" si="2"/>
        <v>72.131287345782155</v>
      </c>
      <c r="N36" s="156">
        <f t="shared" si="2"/>
        <v>70.477870924469187</v>
      </c>
      <c r="O36" s="156">
        <f t="shared" si="2"/>
        <v>76.124545364773908</v>
      </c>
      <c r="P36" s="156">
        <f t="shared" si="2"/>
        <v>77.667357737124263</v>
      </c>
      <c r="Q36" s="156">
        <f t="shared" si="2"/>
        <v>75.337612010267563</v>
      </c>
      <c r="R36" s="156">
        <f t="shared" si="2"/>
        <v>74.592945052020639</v>
      </c>
      <c r="S36" s="156">
        <f t="shared" si="2"/>
        <v>78.21624970067333</v>
      </c>
      <c r="T36" s="156">
        <f t="shared" si="2"/>
        <v>86.709115931619351</v>
      </c>
      <c r="U36" s="156">
        <f t="shared" si="2"/>
        <v>90.677724954009676</v>
      </c>
      <c r="V36" s="156">
        <f t="shared" si="2"/>
        <v>89.630187375613019</v>
      </c>
      <c r="W36" s="156">
        <f t="shared" si="2"/>
        <v>89.339388351482427</v>
      </c>
      <c r="X36" s="156">
        <f t="shared" si="2"/>
        <v>97.117881838007477</v>
      </c>
      <c r="Y36" s="156">
        <f t="shared" si="2"/>
        <v>117.58667447330498</v>
      </c>
      <c r="Z36" s="156">
        <f t="shared" si="2"/>
        <v>140.69647873779036</v>
      </c>
      <c r="AA36" s="156">
        <f t="shared" si="2"/>
        <v>154.87566462906798</v>
      </c>
      <c r="AB36" s="156">
        <f t="shared" si="2"/>
        <v>158.65755876192284</v>
      </c>
      <c r="AC36" s="156">
        <f t="shared" si="2"/>
        <v>178.27987389261469</v>
      </c>
      <c r="AD36" s="156">
        <f t="shared" si="2"/>
        <v>194.54713301645211</v>
      </c>
      <c r="AE36" s="156">
        <f t="shared" si="2"/>
        <v>206.57021645538194</v>
      </c>
      <c r="AF36" s="156">
        <f t="shared" si="2"/>
        <v>217.72103683250782</v>
      </c>
      <c r="AG36" s="156">
        <f t="shared" si="2"/>
        <v>224.7083169767935</v>
      </c>
      <c r="AH36" s="156">
        <f t="shared" si="2"/>
        <v>247.64937746986703</v>
      </c>
      <c r="AI36" s="156">
        <f t="shared" si="2"/>
        <v>275.83503582089088</v>
      </c>
      <c r="AJ36" s="156">
        <f t="shared" si="2"/>
        <v>297.13117321445196</v>
      </c>
      <c r="AK36" s="156">
        <f t="shared" ref="AK36:BP36" si="3">AK35+(1-AK33)*(AK34/AJ34)*AJ36</f>
        <v>303.47003604050599</v>
      </c>
      <c r="AL36" s="156">
        <f t="shared" si="3"/>
        <v>317.35417634019149</v>
      </c>
      <c r="AM36" s="156">
        <f t="shared" si="3"/>
        <v>324.37039656524973</v>
      </c>
      <c r="AN36" s="156">
        <f t="shared" si="3"/>
        <v>332.70373477863131</v>
      </c>
      <c r="AO36" s="156">
        <f t="shared" si="3"/>
        <v>344.24820522851928</v>
      </c>
      <c r="AP36" s="156">
        <f t="shared" si="3"/>
        <v>356.43979064551581</v>
      </c>
      <c r="AQ36" s="156">
        <f t="shared" si="3"/>
        <v>378.26705429792287</v>
      </c>
      <c r="AR36" s="156">
        <f t="shared" si="3"/>
        <v>407.92451710566718</v>
      </c>
      <c r="AS36" s="156">
        <f t="shared" si="3"/>
        <v>448.52673565370759</v>
      </c>
      <c r="AT36" s="156">
        <f t="shared" si="3"/>
        <v>489.76500986934911</v>
      </c>
      <c r="AU36" s="156">
        <f t="shared" si="3"/>
        <v>542.5755977050926</v>
      </c>
      <c r="AV36" s="156">
        <f t="shared" si="3"/>
        <v>601.97123839362325</v>
      </c>
      <c r="AW36" s="156">
        <f t="shared" si="3"/>
        <v>666.38316885386689</v>
      </c>
      <c r="AX36" s="156">
        <f t="shared" si="3"/>
        <v>734.27126512481334</v>
      </c>
      <c r="AY36" s="156">
        <f t="shared" si="3"/>
        <v>801.5509317069542</v>
      </c>
      <c r="AZ36" s="156">
        <f t="shared" si="3"/>
        <v>911.07810442664447</v>
      </c>
      <c r="BA36" s="156">
        <f t="shared" si="3"/>
        <v>1119.4002091383829</v>
      </c>
      <c r="BB36" s="156">
        <f t="shared" si="3"/>
        <v>1246.3350626177721</v>
      </c>
      <c r="BC36" s="156">
        <f t="shared" si="3"/>
        <v>1371.7945796442411</v>
      </c>
      <c r="BD36" s="156">
        <f t="shared" si="3"/>
        <v>1530.7610776651879</v>
      </c>
      <c r="BE36" s="156">
        <f t="shared" si="3"/>
        <v>1745.534123388127</v>
      </c>
      <c r="BF36" s="156">
        <f t="shared" si="3"/>
        <v>2016.6909991822536</v>
      </c>
      <c r="BG36" s="156">
        <f t="shared" si="3"/>
        <v>2324.3107808387954</v>
      </c>
      <c r="BH36" s="156">
        <f t="shared" si="3"/>
        <v>2632.6642857672027</v>
      </c>
      <c r="BI36" s="156">
        <f t="shared" si="3"/>
        <v>2796.4476801585879</v>
      </c>
      <c r="BJ36" s="156">
        <f t="shared" si="3"/>
        <v>2879.1425462791017</v>
      </c>
      <c r="BK36" s="156">
        <f t="shared" si="3"/>
        <v>3055.9556510066691</v>
      </c>
      <c r="BL36" s="156">
        <f t="shared" si="3"/>
        <v>3234.3925764121927</v>
      </c>
      <c r="BM36" s="156">
        <f t="shared" si="3"/>
        <v>3385.930564230764</v>
      </c>
      <c r="BN36" s="156">
        <f t="shared" si="3"/>
        <v>3566.3208582436987</v>
      </c>
      <c r="BO36" s="156">
        <f t="shared" si="3"/>
        <v>3797.8640814398691</v>
      </c>
      <c r="BP36" s="156">
        <f t="shared" si="3"/>
        <v>4029.5617163650886</v>
      </c>
      <c r="BQ36" s="156">
        <f t="shared" ref="BQ36:CL36" si="4">BQ35+(1-BQ33)*(BQ34/BP34)*BP36</f>
        <v>4270.7199937880623</v>
      </c>
      <c r="BR36" s="156">
        <f t="shared" si="4"/>
        <v>4381.8501341100437</v>
      </c>
      <c r="BS36" s="156">
        <f t="shared" si="4"/>
        <v>4539.7942040172484</v>
      </c>
      <c r="BT36" s="156">
        <f t="shared" si="4"/>
        <v>4765.4850593252513</v>
      </c>
      <c r="BU36" s="156">
        <f t="shared" si="4"/>
        <v>5044.0508583870978</v>
      </c>
      <c r="BV36" s="156">
        <f t="shared" si="4"/>
        <v>5356.5962667691019</v>
      </c>
      <c r="BW36" s="156">
        <f t="shared" si="4"/>
        <v>5662.0359922931439</v>
      </c>
      <c r="BX36" s="156">
        <f t="shared" si="4"/>
        <v>6014.6533336805433</v>
      </c>
      <c r="BY36" s="156">
        <f t="shared" si="4"/>
        <v>6396.5038121419111</v>
      </c>
      <c r="BZ36" s="156">
        <f t="shared" si="4"/>
        <v>6824.093381728645</v>
      </c>
      <c r="CA36" s="156">
        <f t="shared" si="4"/>
        <v>7361.5138565113502</v>
      </c>
      <c r="CB36" s="156">
        <f t="shared" si="4"/>
        <v>7792.8080402407068</v>
      </c>
      <c r="CC36" s="156">
        <f t="shared" si="4"/>
        <v>8082.4599303635523</v>
      </c>
      <c r="CD36" s="156">
        <f t="shared" si="4"/>
        <v>8330.5633259191945</v>
      </c>
      <c r="CE36" s="156">
        <f t="shared" si="4"/>
        <v>8960.7362777544949</v>
      </c>
      <c r="CF36" s="156">
        <f t="shared" si="4"/>
        <v>9710.6624352242743</v>
      </c>
      <c r="CG36" s="156">
        <f t="shared" si="4"/>
        <v>10480.62144776589</v>
      </c>
      <c r="CH36" s="156">
        <f t="shared" si="4"/>
        <v>11017.509730425731</v>
      </c>
      <c r="CI36" s="156">
        <f t="shared" si="4"/>
        <v>11696.432675412227</v>
      </c>
      <c r="CJ36" s="156">
        <f t="shared" si="4"/>
        <v>11240.112971330878</v>
      </c>
      <c r="CK36" s="156">
        <f t="shared" si="4"/>
        <v>11408.403152251991</v>
      </c>
      <c r="CL36" s="156">
        <f t="shared" si="4"/>
        <v>11799.351856005873</v>
      </c>
    </row>
    <row r="37" spans="1:91" s="83" customFormat="1" ht="6.5" customHeight="1" x14ac:dyDescent="0.3">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row>
    <row r="38" spans="1:91" x14ac:dyDescent="0.3">
      <c r="A38" s="101" t="s">
        <v>299</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row>
    <row r="39" spans="1:91" x14ac:dyDescent="0.3">
      <c r="A39" s="54" t="s">
        <v>300</v>
      </c>
      <c r="B39" s="54" t="s">
        <v>284</v>
      </c>
      <c r="C39" s="54" t="s">
        <v>301</v>
      </c>
      <c r="D39" s="81">
        <v>141.91900000000001</v>
      </c>
      <c r="E39" s="81">
        <v>145.696</v>
      </c>
      <c r="F39" s="81">
        <v>148.34800000000001</v>
      </c>
      <c r="G39" s="81">
        <v>150.07400000000001</v>
      </c>
      <c r="H39" s="81">
        <v>149.63200000000001</v>
      </c>
      <c r="I39" s="81">
        <v>141.97800000000001</v>
      </c>
      <c r="J39" s="81">
        <v>129.18199999999999</v>
      </c>
      <c r="K39" s="81">
        <v>120.679</v>
      </c>
      <c r="L39" s="81">
        <v>122.035</v>
      </c>
      <c r="M39" s="81">
        <v>124.88</v>
      </c>
      <c r="N39" s="81">
        <v>126.869</v>
      </c>
      <c r="O39" s="81">
        <v>133.76499999999999</v>
      </c>
      <c r="P39" s="81">
        <v>140.48400000000001</v>
      </c>
      <c r="Q39" s="81">
        <v>139.42699999999999</v>
      </c>
      <c r="R39" s="81">
        <v>140.596</v>
      </c>
      <c r="S39" s="81">
        <v>147.74100000000001</v>
      </c>
      <c r="T39" s="81">
        <v>160.42500000000001</v>
      </c>
      <c r="U39" s="81">
        <v>170.762</v>
      </c>
      <c r="V39" s="81">
        <v>174.90799999999999</v>
      </c>
      <c r="W39" s="81">
        <v>178.37899999999999</v>
      </c>
      <c r="X39" s="81">
        <v>194.58199999999999</v>
      </c>
      <c r="Y39" s="81">
        <v>231.34299999999999</v>
      </c>
      <c r="Z39" s="81">
        <v>270.887</v>
      </c>
      <c r="AA39" s="81">
        <v>294.76799999999997</v>
      </c>
      <c r="AB39" s="81">
        <v>306.80700000000002</v>
      </c>
      <c r="AC39" s="81">
        <v>334.33300000000003</v>
      </c>
      <c r="AD39" s="81">
        <v>364.49</v>
      </c>
      <c r="AE39" s="81">
        <v>384.13799999999998</v>
      </c>
      <c r="AF39" s="81">
        <v>400.577</v>
      </c>
      <c r="AG39" s="81">
        <v>415.99200000000002</v>
      </c>
      <c r="AH39" s="81">
        <v>449.71899999999999</v>
      </c>
      <c r="AI39" s="81">
        <v>496.142</v>
      </c>
      <c r="AJ39" s="81">
        <v>528.46400000000006</v>
      </c>
      <c r="AK39" s="81">
        <v>545.673</v>
      </c>
      <c r="AL39" s="81">
        <v>567.65300000000002</v>
      </c>
      <c r="AM39" s="81">
        <v>582.19799999999998</v>
      </c>
      <c r="AN39" s="81">
        <v>596.76300000000003</v>
      </c>
      <c r="AO39" s="81">
        <v>616.77499999999998</v>
      </c>
      <c r="AP39" s="81">
        <v>638.34199999999998</v>
      </c>
      <c r="AQ39" s="81">
        <v>669.61</v>
      </c>
      <c r="AR39" s="81">
        <v>715.00699999999995</v>
      </c>
      <c r="AS39" s="81">
        <v>778.03899999999999</v>
      </c>
      <c r="AT39" s="81">
        <v>840.995</v>
      </c>
      <c r="AU39" s="81">
        <v>926.971</v>
      </c>
      <c r="AV39" s="81">
        <v>1017.831</v>
      </c>
      <c r="AW39" s="81">
        <v>1121.2159999999999</v>
      </c>
      <c r="AX39" s="81">
        <v>1233.5360000000001</v>
      </c>
      <c r="AY39" s="81">
        <v>1367.6320000000001</v>
      </c>
      <c r="AZ39" s="81">
        <v>1548.3789999999999</v>
      </c>
      <c r="BA39" s="81">
        <v>1861.7639999999999</v>
      </c>
      <c r="BB39" s="81">
        <v>2119.8150000000001</v>
      </c>
      <c r="BC39" s="81">
        <v>2332.9650000000001</v>
      </c>
      <c r="BD39" s="81">
        <v>2602.04</v>
      </c>
      <c r="BE39" s="81">
        <v>2952.598</v>
      </c>
      <c r="BF39" s="81">
        <v>3381.143</v>
      </c>
      <c r="BG39" s="81">
        <v>3904.797</v>
      </c>
      <c r="BH39" s="81">
        <v>4435.3379999999997</v>
      </c>
      <c r="BI39" s="81">
        <v>4768.5010000000002</v>
      </c>
      <c r="BJ39" s="81">
        <v>4954.9319999999998</v>
      </c>
      <c r="BK39" s="81">
        <v>5215.7629999999999</v>
      </c>
      <c r="BL39" s="81">
        <v>5497.0309999999999</v>
      </c>
      <c r="BM39" s="81">
        <v>5795.7920000000004</v>
      </c>
      <c r="BN39" s="81">
        <v>6082.2960000000003</v>
      </c>
      <c r="BO39" s="81">
        <v>6510.1760000000004</v>
      </c>
      <c r="BP39" s="81">
        <v>6909.8980000000001</v>
      </c>
    </row>
    <row r="40" spans="1:91" x14ac:dyDescent="0.3">
      <c r="A40" s="54" t="s">
        <v>302</v>
      </c>
      <c r="B40" s="54" t="s">
        <v>287</v>
      </c>
      <c r="C40" s="54" t="s">
        <v>303</v>
      </c>
      <c r="D40" s="81">
        <v>1503.79</v>
      </c>
      <c r="E40" s="81">
        <v>1541.3889999999999</v>
      </c>
      <c r="F40" s="81">
        <v>1572.329</v>
      </c>
      <c r="G40" s="81">
        <v>1601.8109999999999</v>
      </c>
      <c r="H40" s="81">
        <v>1639.396</v>
      </c>
      <c r="I40" s="81">
        <v>1663.0319999999999</v>
      </c>
      <c r="J40" s="81">
        <v>1662.3330000000001</v>
      </c>
      <c r="K40" s="81">
        <v>1644.989</v>
      </c>
      <c r="L40" s="81">
        <v>1623.9780000000001</v>
      </c>
      <c r="M40" s="81">
        <v>1606.5319999999999</v>
      </c>
      <c r="N40" s="81">
        <v>1591.2739999999999</v>
      </c>
      <c r="O40" s="81">
        <v>1586.1289999999999</v>
      </c>
      <c r="P40" s="81">
        <v>1588.1579999999999</v>
      </c>
      <c r="Q40" s="81">
        <v>1575.011</v>
      </c>
      <c r="R40" s="81">
        <v>1563.6510000000001</v>
      </c>
      <c r="S40" s="81">
        <v>1561.845</v>
      </c>
      <c r="T40" s="81">
        <v>1567.567</v>
      </c>
      <c r="U40" s="81">
        <v>1555.5909999999999</v>
      </c>
      <c r="V40" s="81">
        <v>1535.9690000000001</v>
      </c>
      <c r="W40" s="81">
        <v>1525.874</v>
      </c>
      <c r="X40" s="81">
        <v>1534.5889999999999</v>
      </c>
      <c r="Y40" s="81">
        <v>1565.9059999999999</v>
      </c>
      <c r="Z40" s="81">
        <v>1602.502</v>
      </c>
      <c r="AA40" s="81">
        <v>1642.425</v>
      </c>
      <c r="AB40" s="81">
        <v>1670.5119999999999</v>
      </c>
      <c r="AC40" s="81">
        <v>1705.8779999999999</v>
      </c>
      <c r="AD40" s="81">
        <v>1750.068</v>
      </c>
      <c r="AE40" s="81">
        <v>1797.4860000000001</v>
      </c>
      <c r="AF40" s="81">
        <v>1850.221</v>
      </c>
      <c r="AG40" s="81">
        <v>1896.847</v>
      </c>
      <c r="AH40" s="81">
        <v>1949.0820000000001</v>
      </c>
      <c r="AI40" s="81">
        <v>2014.866</v>
      </c>
      <c r="AJ40" s="81">
        <v>2079.4459999999999</v>
      </c>
      <c r="AK40" s="81">
        <v>2119.7269999999999</v>
      </c>
      <c r="AL40" s="81">
        <v>2167.9119999999998</v>
      </c>
      <c r="AM40" s="81">
        <v>2222.9119999999998</v>
      </c>
      <c r="AN40" s="81">
        <v>2275.4879999999998</v>
      </c>
      <c r="AO40" s="81">
        <v>2334.4870000000001</v>
      </c>
      <c r="AP40" s="81">
        <v>2398.9319999999998</v>
      </c>
      <c r="AQ40" s="81">
        <v>2479.2040000000002</v>
      </c>
      <c r="AR40" s="81">
        <v>2584.5720000000001</v>
      </c>
      <c r="AS40" s="81">
        <v>2706.5920000000001</v>
      </c>
      <c r="AT40" s="81">
        <v>2823.7150000000001</v>
      </c>
      <c r="AU40" s="81">
        <v>2952.5970000000002</v>
      </c>
      <c r="AV40" s="81">
        <v>3092.5160000000001</v>
      </c>
      <c r="AW40" s="81">
        <v>3223.1350000000002</v>
      </c>
      <c r="AX40" s="81">
        <v>3346.056</v>
      </c>
      <c r="AY40" s="81">
        <v>3471.6190000000001</v>
      </c>
      <c r="AZ40" s="81">
        <v>3631.866</v>
      </c>
      <c r="BA40" s="81">
        <v>3797.5050000000001</v>
      </c>
      <c r="BB40" s="81">
        <v>3926.3249999999998</v>
      </c>
      <c r="BC40" s="81">
        <v>4054.95</v>
      </c>
      <c r="BD40" s="81">
        <v>4202.7939999999999</v>
      </c>
      <c r="BE40" s="81">
        <v>4381.0820000000003</v>
      </c>
      <c r="BF40" s="81">
        <v>4579.1840000000002</v>
      </c>
      <c r="BG40" s="81">
        <v>4769.8879999999999</v>
      </c>
      <c r="BH40" s="81">
        <v>4962.4579999999996</v>
      </c>
      <c r="BI40" s="81">
        <v>5124.66</v>
      </c>
      <c r="BJ40" s="81">
        <v>5266.7020000000002</v>
      </c>
      <c r="BK40" s="81">
        <v>5451.5609999999997</v>
      </c>
      <c r="BL40" s="81">
        <v>5660.9449999999997</v>
      </c>
      <c r="BM40" s="81">
        <v>5840.8680000000004</v>
      </c>
      <c r="BN40" s="81">
        <v>6002.2560000000003</v>
      </c>
      <c r="BO40" s="81">
        <v>6171.3239999999996</v>
      </c>
      <c r="BP40" s="81">
        <v>6346.12</v>
      </c>
    </row>
    <row r="41" spans="1:91" x14ac:dyDescent="0.3">
      <c r="A41" s="80" t="s">
        <v>304</v>
      </c>
      <c r="B41" s="80" t="s">
        <v>358</v>
      </c>
      <c r="C41" s="54" t="s">
        <v>305</v>
      </c>
      <c r="D41" s="100">
        <f>D39*100/D40</f>
        <v>9.4374214484735255</v>
      </c>
      <c r="E41" s="100">
        <f t="shared" ref="E41:K41" si="5">E39*100/E40</f>
        <v>9.4522537788968268</v>
      </c>
      <c r="F41" s="100">
        <f t="shared" si="5"/>
        <v>9.4349210629581979</v>
      </c>
      <c r="G41" s="100">
        <f t="shared" si="5"/>
        <v>9.3690204399894874</v>
      </c>
      <c r="H41" s="100">
        <f t="shared" si="5"/>
        <v>9.1272639435499414</v>
      </c>
      <c r="I41" s="100">
        <f t="shared" si="5"/>
        <v>8.5372981397832408</v>
      </c>
      <c r="J41" s="100">
        <f t="shared" si="5"/>
        <v>7.7711264830813072</v>
      </c>
      <c r="K41" s="100">
        <f t="shared" si="5"/>
        <v>7.3361584788712868</v>
      </c>
      <c r="L41" s="100">
        <f t="shared" ref="L41:AQ41" si="6">L39*100/L40</f>
        <v>7.514572241742191</v>
      </c>
      <c r="M41" s="100">
        <f t="shared" si="6"/>
        <v>7.7732656430124019</v>
      </c>
      <c r="N41" s="100">
        <f t="shared" si="6"/>
        <v>7.9727941259644792</v>
      </c>
      <c r="O41" s="100">
        <f t="shared" si="6"/>
        <v>8.4334250240680291</v>
      </c>
      <c r="P41" s="100">
        <f t="shared" si="6"/>
        <v>8.8457193805654111</v>
      </c>
      <c r="Q41" s="100">
        <f t="shared" si="6"/>
        <v>8.8524461099001837</v>
      </c>
      <c r="R41" s="100">
        <f t="shared" si="6"/>
        <v>8.9915204863489357</v>
      </c>
      <c r="S41" s="100">
        <f t="shared" si="6"/>
        <v>9.4593893760264312</v>
      </c>
      <c r="T41" s="100">
        <f t="shared" si="6"/>
        <v>10.234012326107912</v>
      </c>
      <c r="U41" s="100">
        <f t="shared" si="6"/>
        <v>10.977307017075827</v>
      </c>
      <c r="V41" s="100">
        <f t="shared" si="6"/>
        <v>11.387469408562282</v>
      </c>
      <c r="W41" s="100">
        <f t="shared" si="6"/>
        <v>11.6902837324707</v>
      </c>
      <c r="X41" s="100">
        <f t="shared" si="6"/>
        <v>12.679746824719844</v>
      </c>
      <c r="Y41" s="100">
        <f t="shared" si="6"/>
        <v>14.773747594044599</v>
      </c>
      <c r="Z41" s="100">
        <f t="shared" si="6"/>
        <v>16.904003863957737</v>
      </c>
      <c r="AA41" s="100">
        <f t="shared" si="6"/>
        <v>17.947120873099227</v>
      </c>
      <c r="AB41" s="100">
        <f t="shared" si="6"/>
        <v>18.366045858994131</v>
      </c>
      <c r="AC41" s="100">
        <f t="shared" si="6"/>
        <v>19.598881045420601</v>
      </c>
      <c r="AD41" s="100">
        <f t="shared" si="6"/>
        <v>20.82719071487508</v>
      </c>
      <c r="AE41" s="100">
        <f t="shared" si="6"/>
        <v>21.37084795097152</v>
      </c>
      <c r="AF41" s="100">
        <f t="shared" si="6"/>
        <v>21.650224486696452</v>
      </c>
      <c r="AG41" s="100">
        <f t="shared" si="6"/>
        <v>21.930709224307499</v>
      </c>
      <c r="AH41" s="100">
        <f t="shared" si="6"/>
        <v>23.073375055538968</v>
      </c>
      <c r="AI41" s="100">
        <f t="shared" si="6"/>
        <v>24.624069292945535</v>
      </c>
      <c r="AJ41" s="100">
        <f t="shared" si="6"/>
        <v>25.413691916019946</v>
      </c>
      <c r="AK41" s="100">
        <f t="shared" si="6"/>
        <v>25.74260742067257</v>
      </c>
      <c r="AL41" s="100">
        <f t="shared" si="6"/>
        <v>26.184319289712871</v>
      </c>
      <c r="AM41" s="100">
        <f t="shared" si="6"/>
        <v>26.1907803817695</v>
      </c>
      <c r="AN41" s="100">
        <f t="shared" si="6"/>
        <v>26.225715099354517</v>
      </c>
      <c r="AO41" s="100">
        <f t="shared" si="6"/>
        <v>26.420151407996702</v>
      </c>
      <c r="AP41" s="100">
        <f t="shared" si="6"/>
        <v>26.60942452724796</v>
      </c>
      <c r="AQ41" s="100">
        <f t="shared" si="6"/>
        <v>27.009072266743679</v>
      </c>
      <c r="AR41" s="100">
        <f t="shared" ref="AR41:BP41" si="7">AR39*100/AR40</f>
        <v>27.664425676669094</v>
      </c>
      <c r="AS41" s="100">
        <f t="shared" si="7"/>
        <v>28.746076246438321</v>
      </c>
      <c r="AT41" s="100">
        <f t="shared" si="7"/>
        <v>29.78328195302996</v>
      </c>
      <c r="AU41" s="100">
        <f t="shared" si="7"/>
        <v>31.395107425767893</v>
      </c>
      <c r="AV41" s="100">
        <f t="shared" si="7"/>
        <v>32.912715730492586</v>
      </c>
      <c r="AW41" s="100">
        <f t="shared" si="7"/>
        <v>34.786504443655005</v>
      </c>
      <c r="AX41" s="100">
        <f t="shared" si="7"/>
        <v>36.865372247206864</v>
      </c>
      <c r="AY41" s="100">
        <f t="shared" si="7"/>
        <v>39.394645552982631</v>
      </c>
      <c r="AZ41" s="100">
        <f t="shared" si="7"/>
        <v>42.633153315678499</v>
      </c>
      <c r="BA41" s="100">
        <f t="shared" si="7"/>
        <v>49.025978899303617</v>
      </c>
      <c r="BB41" s="100">
        <f t="shared" si="7"/>
        <v>53.989799621783732</v>
      </c>
      <c r="BC41" s="100">
        <f t="shared" si="7"/>
        <v>57.533755040136136</v>
      </c>
      <c r="BD41" s="100">
        <f t="shared" si="7"/>
        <v>61.912147014581251</v>
      </c>
      <c r="BE41" s="100">
        <f t="shared" si="7"/>
        <v>67.394264704472533</v>
      </c>
      <c r="BF41" s="100">
        <f t="shared" si="7"/>
        <v>73.837238250308346</v>
      </c>
      <c r="BG41" s="100">
        <f t="shared" si="7"/>
        <v>81.863494488759486</v>
      </c>
      <c r="BH41" s="100">
        <f t="shared" si="7"/>
        <v>89.377844608458147</v>
      </c>
      <c r="BI41" s="100">
        <f t="shared" si="7"/>
        <v>93.050095030694735</v>
      </c>
      <c r="BJ41" s="100">
        <f t="shared" si="7"/>
        <v>94.080356169762396</v>
      </c>
      <c r="BK41" s="100">
        <f t="shared" si="7"/>
        <v>95.674670062391314</v>
      </c>
      <c r="BL41" s="100">
        <f t="shared" si="7"/>
        <v>97.104476372761084</v>
      </c>
      <c r="BM41" s="100">
        <f t="shared" si="7"/>
        <v>99.228265387952618</v>
      </c>
      <c r="BN41" s="100">
        <f t="shared" si="7"/>
        <v>101.33349860452469</v>
      </c>
      <c r="BO41" s="100">
        <f t="shared" si="7"/>
        <v>105.49075044512331</v>
      </c>
      <c r="BP41" s="100">
        <f t="shared" si="7"/>
        <v>108.88382192583816</v>
      </c>
      <c r="BQ41" s="104"/>
    </row>
    <row r="42" spans="1:91" x14ac:dyDescent="0.3">
      <c r="A42" s="80" t="s">
        <v>306</v>
      </c>
      <c r="B42" s="80" t="s">
        <v>284</v>
      </c>
      <c r="C42" s="54" t="s">
        <v>307</v>
      </c>
      <c r="D42" s="100">
        <v>2.9620000000000002</v>
      </c>
      <c r="E42" s="100">
        <v>3.09</v>
      </c>
      <c r="F42" s="100">
        <v>3.3769999999999998</v>
      </c>
      <c r="G42" s="100">
        <v>3.4350000000000001</v>
      </c>
      <c r="H42" s="100">
        <v>3.484</v>
      </c>
      <c r="I42" s="100">
        <v>3.51</v>
      </c>
      <c r="J42" s="100">
        <v>3.4060000000000001</v>
      </c>
      <c r="K42" s="100">
        <v>3.1880000000000002</v>
      </c>
      <c r="L42" s="100">
        <v>3.2770000000000001</v>
      </c>
      <c r="M42" s="100">
        <v>3.5369999999999999</v>
      </c>
      <c r="N42" s="100">
        <v>3.7690000000000001</v>
      </c>
      <c r="O42" s="100">
        <v>3.8769999999999998</v>
      </c>
      <c r="P42" s="100">
        <v>4.3849999999999998</v>
      </c>
      <c r="Q42" s="100">
        <v>4.5819999999999999</v>
      </c>
      <c r="R42" s="100">
        <v>4.6269999999999998</v>
      </c>
      <c r="S42" s="100">
        <v>4.7670000000000003</v>
      </c>
      <c r="T42" s="100">
        <v>5.181</v>
      </c>
      <c r="U42" s="100">
        <v>5.7190000000000003</v>
      </c>
      <c r="V42" s="100">
        <v>6</v>
      </c>
      <c r="W42" s="100">
        <v>6.2279999999999998</v>
      </c>
      <c r="X42" s="100">
        <v>6.5140000000000002</v>
      </c>
      <c r="Y42" s="100">
        <v>7.2439999999999998</v>
      </c>
      <c r="Z42" s="100">
        <v>8.5530000000000008</v>
      </c>
      <c r="AA42" s="100">
        <v>9.6869999999999994</v>
      </c>
      <c r="AB42" s="100">
        <v>10.077</v>
      </c>
      <c r="AC42" s="100">
        <v>10.33</v>
      </c>
      <c r="AD42" s="100">
        <v>11.647</v>
      </c>
      <c r="AE42" s="100">
        <v>11.965999999999999</v>
      </c>
      <c r="AF42" s="100">
        <v>12.574</v>
      </c>
      <c r="AG42" s="100">
        <v>13.407999999999999</v>
      </c>
      <c r="AH42" s="100">
        <v>14.06</v>
      </c>
      <c r="AI42" s="100">
        <v>15.769</v>
      </c>
      <c r="AJ42" s="100">
        <v>17.222000000000001</v>
      </c>
      <c r="AK42" s="100">
        <v>17.756</v>
      </c>
      <c r="AL42" s="100">
        <v>18.654</v>
      </c>
      <c r="AM42" s="100">
        <v>19.55</v>
      </c>
      <c r="AN42" s="100">
        <v>20.047000000000001</v>
      </c>
      <c r="AO42" s="100">
        <v>20.77</v>
      </c>
      <c r="AP42" s="100">
        <v>21.545000000000002</v>
      </c>
      <c r="AQ42" s="100">
        <v>22.707000000000001</v>
      </c>
      <c r="AR42" s="100">
        <v>23.933</v>
      </c>
      <c r="AS42" s="100">
        <v>25.593</v>
      </c>
      <c r="AT42" s="100">
        <v>27.094999999999999</v>
      </c>
      <c r="AU42" s="100">
        <v>29.425999999999998</v>
      </c>
      <c r="AV42" s="100">
        <v>31.43</v>
      </c>
      <c r="AW42" s="100">
        <v>33.436999999999998</v>
      </c>
      <c r="AX42" s="100">
        <v>36.045999999999999</v>
      </c>
      <c r="AY42" s="100">
        <v>41.076999999999998</v>
      </c>
      <c r="AZ42" s="100">
        <v>43.136000000000003</v>
      </c>
      <c r="BA42" s="100">
        <v>49.835999999999999</v>
      </c>
      <c r="BB42" s="100">
        <v>60.503999999999998</v>
      </c>
      <c r="BC42" s="100">
        <v>67.388999999999996</v>
      </c>
      <c r="BD42" s="100">
        <v>76.393000000000001</v>
      </c>
      <c r="BE42" s="100">
        <v>86.116</v>
      </c>
      <c r="BF42" s="100">
        <v>100.625</v>
      </c>
      <c r="BG42" s="100">
        <v>115.714</v>
      </c>
      <c r="BH42" s="100">
        <v>135.809</v>
      </c>
      <c r="BI42" s="100">
        <v>155.672</v>
      </c>
      <c r="BJ42" s="100">
        <v>164.233</v>
      </c>
      <c r="BK42" s="100">
        <v>173.46100000000001</v>
      </c>
      <c r="BL42" s="100">
        <v>185.16</v>
      </c>
      <c r="BM42" s="100">
        <v>197.971</v>
      </c>
      <c r="BN42" s="100">
        <v>209.399</v>
      </c>
      <c r="BO42" s="100">
        <v>225.60499999999999</v>
      </c>
      <c r="BP42" s="100">
        <v>248.01</v>
      </c>
      <c r="CK42" s="102"/>
    </row>
    <row r="43" spans="1:91" x14ac:dyDescent="0.3">
      <c r="A43" s="159" t="s">
        <v>308</v>
      </c>
      <c r="B43" s="80" t="s">
        <v>309</v>
      </c>
      <c r="C43" s="80" t="s">
        <v>368</v>
      </c>
      <c r="D43" s="102"/>
      <c r="E43" s="118">
        <f>E42*100/(E41*D40)</f>
        <v>2.173881735212212E-2</v>
      </c>
      <c r="F43" s="118">
        <f t="shared" ref="F43:BP43" si="8">F42*100/(F41*E40)</f>
        <v>2.3220979458267146E-2</v>
      </c>
      <c r="G43" s="118">
        <f t="shared" si="8"/>
        <v>2.3317883617391191E-2</v>
      </c>
      <c r="H43" s="118">
        <f t="shared" si="8"/>
        <v>2.3830121952977092E-2</v>
      </c>
      <c r="I43" s="118">
        <f t="shared" si="8"/>
        <v>2.5078571627239674E-2</v>
      </c>
      <c r="J43" s="118">
        <f t="shared" si="8"/>
        <v>2.6354820343160387E-2</v>
      </c>
      <c r="K43" s="118">
        <f t="shared" si="8"/>
        <v>2.6141564884613135E-2</v>
      </c>
      <c r="L43" s="118">
        <f t="shared" si="8"/>
        <v>2.6509966521794392E-2</v>
      </c>
      <c r="M43" s="118">
        <f t="shared" si="8"/>
        <v>2.8018921130113263E-2</v>
      </c>
      <c r="N43" s="118">
        <f t="shared" si="8"/>
        <v>2.9425659624302238E-2</v>
      </c>
      <c r="O43" s="118">
        <f t="shared" si="8"/>
        <v>2.888995370425354E-2</v>
      </c>
      <c r="P43" s="118">
        <f t="shared" si="8"/>
        <v>3.125344777875666E-2</v>
      </c>
      <c r="Q43" s="118">
        <f t="shared" si="8"/>
        <v>3.2591030044232208E-2</v>
      </c>
      <c r="R43" s="118">
        <f t="shared" si="8"/>
        <v>3.2672530353105154E-2</v>
      </c>
      <c r="S43" s="118">
        <f t="shared" si="8"/>
        <v>3.2228658033566594E-2</v>
      </c>
      <c r="T43" s="118">
        <f t="shared" si="8"/>
        <v>3.2413783346711994E-2</v>
      </c>
      <c r="U43" s="118">
        <f t="shared" si="8"/>
        <v>3.3235190575232942E-2</v>
      </c>
      <c r="V43" s="118">
        <f t="shared" si="8"/>
        <v>3.3871045734622657E-2</v>
      </c>
      <c r="W43" s="118">
        <f t="shared" si="8"/>
        <v>3.4684952284561782E-2</v>
      </c>
      <c r="X43" s="118">
        <f t="shared" si="8"/>
        <v>3.3668091527991981E-2</v>
      </c>
      <c r="Y43" s="118">
        <f t="shared" si="8"/>
        <v>3.1951826248717799E-2</v>
      </c>
      <c r="Z43" s="118">
        <f t="shared" si="8"/>
        <v>3.2311952411090195E-2</v>
      </c>
      <c r="AA43" s="118">
        <f t="shared" si="8"/>
        <v>3.368184955999165E-2</v>
      </c>
      <c r="AB43" s="118">
        <f t="shared" si="8"/>
        <v>3.3406428479668848E-2</v>
      </c>
      <c r="AC43" s="118">
        <f t="shared" si="8"/>
        <v>3.1551458867176814E-2</v>
      </c>
      <c r="AD43" s="118">
        <f t="shared" si="8"/>
        <v>3.2781997532363195E-2</v>
      </c>
      <c r="AE43" s="118">
        <f t="shared" si="8"/>
        <v>3.19942784567252E-2</v>
      </c>
      <c r="AF43" s="118">
        <f t="shared" si="8"/>
        <v>3.2310638155613532E-2</v>
      </c>
      <c r="AG43" s="118">
        <f t="shared" si="8"/>
        <v>3.3043627574278277E-2</v>
      </c>
      <c r="AH43" s="118">
        <f t="shared" si="8"/>
        <v>3.2124908037106208E-2</v>
      </c>
      <c r="AI43" s="118">
        <f t="shared" si="8"/>
        <v>3.2855964289669519E-2</v>
      </c>
      <c r="AJ43" s="118">
        <f t="shared" si="8"/>
        <v>3.3633313524109754E-2</v>
      </c>
      <c r="AK43" s="118">
        <f t="shared" si="8"/>
        <v>3.3169960610180772E-2</v>
      </c>
      <c r="AL43" s="118">
        <f t="shared" si="8"/>
        <v>3.360862559915373E-2</v>
      </c>
      <c r="AM43" s="118">
        <f t="shared" si="8"/>
        <v>3.4431557913868427E-2</v>
      </c>
      <c r="AN43" s="118">
        <f t="shared" si="8"/>
        <v>3.4387434888909711E-2</v>
      </c>
      <c r="AO43" s="118">
        <f t="shared" si="8"/>
        <v>3.4548297033788804E-2</v>
      </c>
      <c r="AP43" s="118">
        <f t="shared" si="8"/>
        <v>3.4683231626111054E-2</v>
      </c>
      <c r="AQ43" s="118">
        <f t="shared" si="8"/>
        <v>3.5045491519169955E-2</v>
      </c>
      <c r="AR43" s="118">
        <f t="shared" si="8"/>
        <v>3.4895001259998983E-2</v>
      </c>
      <c r="AS43" s="118">
        <f t="shared" si="8"/>
        <v>3.4447204906748317E-2</v>
      </c>
      <c r="AT43" s="118">
        <f t="shared" si="8"/>
        <v>3.3611957723605194E-2</v>
      </c>
      <c r="AU43" s="118">
        <f t="shared" si="8"/>
        <v>3.3193144482118749E-2</v>
      </c>
      <c r="AV43" s="118">
        <f t="shared" si="8"/>
        <v>3.2342716063355675E-2</v>
      </c>
      <c r="AW43" s="118">
        <f t="shared" si="8"/>
        <v>3.1081685341950202E-2</v>
      </c>
      <c r="AX43" s="118">
        <f t="shared" si="8"/>
        <v>3.0336114764955509E-2</v>
      </c>
      <c r="AY43" s="118">
        <f t="shared" si="8"/>
        <v>3.1162214710801099E-2</v>
      </c>
      <c r="AZ43" s="118">
        <f t="shared" si="8"/>
        <v>2.9144751586026415E-2</v>
      </c>
      <c r="BA43" s="118">
        <f t="shared" si="8"/>
        <v>2.7988980955260499E-2</v>
      </c>
      <c r="BB43" s="118">
        <f t="shared" si="8"/>
        <v>2.9510326695687955E-2</v>
      </c>
      <c r="BC43" s="118">
        <f t="shared" si="8"/>
        <v>2.9831840379571574E-2</v>
      </c>
      <c r="BD43" s="118">
        <f t="shared" si="8"/>
        <v>3.0429316472086812E-2</v>
      </c>
      <c r="BE43" s="118">
        <f t="shared" si="8"/>
        <v>3.0403445703022801E-2</v>
      </c>
      <c r="BF43" s="118">
        <f t="shared" si="8"/>
        <v>3.1106350926664632E-2</v>
      </c>
      <c r="BG43" s="118">
        <f t="shared" si="8"/>
        <v>3.0867931837313945E-2</v>
      </c>
      <c r="BH43" s="118">
        <f t="shared" si="8"/>
        <v>3.1855944974915153E-2</v>
      </c>
      <c r="BI43" s="118">
        <f t="shared" si="8"/>
        <v>3.3712956480541435E-2</v>
      </c>
      <c r="BJ43" s="118">
        <f t="shared" si="8"/>
        <v>3.4064060557756001E-2</v>
      </c>
      <c r="BK43" s="118">
        <f t="shared" si="8"/>
        <v>3.442437996475111E-2</v>
      </c>
      <c r="BL43" s="118">
        <f t="shared" si="8"/>
        <v>3.497736148805488E-2</v>
      </c>
      <c r="BM43" s="118">
        <f t="shared" si="8"/>
        <v>3.5243354788499333E-2</v>
      </c>
      <c r="BN43" s="118">
        <f t="shared" si="8"/>
        <v>3.5378887687871126E-2</v>
      </c>
      <c r="BO43" s="118">
        <f t="shared" si="8"/>
        <v>3.563032832287049E-2</v>
      </c>
      <c r="BP43" s="118">
        <f t="shared" si="8"/>
        <v>3.6908592846382801E-2</v>
      </c>
      <c r="BQ43" s="118">
        <v>3.495169836130585E-2</v>
      </c>
      <c r="BR43" s="118">
        <v>3.505443442475778E-2</v>
      </c>
      <c r="BS43" s="118">
        <v>3.5157170488209738E-2</v>
      </c>
      <c r="BT43" s="118">
        <v>3.5259906551661696E-2</v>
      </c>
      <c r="BU43" s="118">
        <v>3.5362642615113626E-2</v>
      </c>
      <c r="BV43" s="118">
        <v>3.5465378678565584E-2</v>
      </c>
      <c r="BW43" s="118">
        <v>3.5568114742017543E-2</v>
      </c>
      <c r="BX43" s="118">
        <v>3.5670850805469473E-2</v>
      </c>
      <c r="BY43" s="118">
        <v>3.5773586868921431E-2</v>
      </c>
      <c r="BZ43" s="118">
        <v>3.5876322932373389E-2</v>
      </c>
      <c r="CA43" s="118">
        <v>3.5979058995825319E-2</v>
      </c>
      <c r="CB43" s="118">
        <v>3.6081795059277277E-2</v>
      </c>
      <c r="CC43" s="118">
        <v>3.6184531122729208E-2</v>
      </c>
      <c r="CD43" s="118">
        <v>3.6287267186181166E-2</v>
      </c>
      <c r="CE43" s="118">
        <v>3.6390003249633124E-2</v>
      </c>
      <c r="CF43" s="118">
        <v>3.6492739313085054E-2</v>
      </c>
      <c r="CG43" s="118">
        <v>3.6595475376537012E-2</v>
      </c>
      <c r="CH43" s="118">
        <v>3.669821143998897E-2</v>
      </c>
      <c r="CI43" s="118">
        <v>3.6800947503440901E-2</v>
      </c>
      <c r="CJ43" s="118">
        <v>3.6903683566892859E-2</v>
      </c>
      <c r="CK43" s="118">
        <v>3.7006419630344817E-2</v>
      </c>
      <c r="CL43" s="118">
        <v>3.7109155693796747E-2</v>
      </c>
      <c r="CM43" s="102"/>
    </row>
    <row r="44" spans="1:91" s="7" customFormat="1" ht="21.65" customHeight="1" x14ac:dyDescent="0.7">
      <c r="A44" s="160" t="s">
        <v>310</v>
      </c>
      <c r="B44" s="30" t="s">
        <v>359</v>
      </c>
      <c r="C44" s="10" t="s">
        <v>311</v>
      </c>
      <c r="D44" s="7">
        <f>D36</f>
        <v>98.1</v>
      </c>
      <c r="E44" s="7">
        <f t="shared" ref="E44:AJ44" si="9">E35+(1-E43)*(E34/D34)*D44</f>
        <v>103.57888634048325</v>
      </c>
      <c r="F44" s="7">
        <f t="shared" si="9"/>
        <v>107.45447964918465</v>
      </c>
      <c r="G44" s="7">
        <f t="shared" si="9"/>
        <v>112.14905682068812</v>
      </c>
      <c r="H44" s="7">
        <f t="shared" si="9"/>
        <v>113.23068259542862</v>
      </c>
      <c r="I44" s="7">
        <f t="shared" si="9"/>
        <v>109.75912023967132</v>
      </c>
      <c r="J44" s="7">
        <f t="shared" si="9"/>
        <v>100.41991283187753</v>
      </c>
      <c r="K44" s="7">
        <f t="shared" si="9"/>
        <v>95.313486597636384</v>
      </c>
      <c r="L44" s="7">
        <f t="shared" si="9"/>
        <v>97.762536722701824</v>
      </c>
      <c r="M44" s="7">
        <f t="shared" si="9"/>
        <v>100.18479698993251</v>
      </c>
      <c r="N44" s="7">
        <f t="shared" si="9"/>
        <v>100.74204665214876</v>
      </c>
      <c r="O44" s="7">
        <f t="shared" si="9"/>
        <v>111.41167890536339</v>
      </c>
      <c r="P44" s="7">
        <f t="shared" si="9"/>
        <v>115.90617095297895</v>
      </c>
      <c r="Q44" s="7">
        <f t="shared" si="9"/>
        <v>115.15781883209442</v>
      </c>
      <c r="R44" s="7">
        <f t="shared" si="9"/>
        <v>116.39665875055979</v>
      </c>
      <c r="S44" s="7">
        <f t="shared" si="9"/>
        <v>123.89808519809283</v>
      </c>
      <c r="T44" s="7">
        <f t="shared" si="9"/>
        <v>138.97914700396248</v>
      </c>
      <c r="U44" s="7">
        <f t="shared" si="9"/>
        <v>148.38334434956755</v>
      </c>
      <c r="V44" s="7">
        <f t="shared" si="9"/>
        <v>150.01578974825117</v>
      </c>
      <c r="W44" s="7">
        <f t="shared" si="9"/>
        <v>151.91646815507062</v>
      </c>
      <c r="X44" s="7">
        <f t="shared" si="9"/>
        <v>165.8662435600788</v>
      </c>
      <c r="Y44" s="7">
        <f t="shared" si="9"/>
        <v>200.11143392440735</v>
      </c>
      <c r="Z44" s="7">
        <f t="shared" si="9"/>
        <v>237.88039792077836</v>
      </c>
      <c r="AA44" s="7">
        <f t="shared" si="9"/>
        <v>260.28335749358502</v>
      </c>
      <c r="AB44" s="7">
        <f t="shared" si="9"/>
        <v>266.73537553463984</v>
      </c>
      <c r="AC44" s="7">
        <f t="shared" si="9"/>
        <v>300.08624575034855</v>
      </c>
      <c r="AD44" s="7">
        <f t="shared" si="9"/>
        <v>326.92719075812226</v>
      </c>
      <c r="AE44" s="7">
        <f t="shared" si="9"/>
        <v>347.30547256703608</v>
      </c>
      <c r="AF44" s="7">
        <f t="shared" si="9"/>
        <v>365.8337780451572</v>
      </c>
      <c r="AG44" s="7">
        <f t="shared" si="9"/>
        <v>378.33650358434903</v>
      </c>
      <c r="AH44" s="7">
        <f t="shared" si="9"/>
        <v>417.27273423603208</v>
      </c>
      <c r="AI44" s="7">
        <f t="shared" si="9"/>
        <v>463.4592103751736</v>
      </c>
      <c r="AJ44" s="7">
        <f t="shared" si="9"/>
        <v>498.16847553344473</v>
      </c>
      <c r="AK44" s="7">
        <f t="shared" ref="AK44:BP44" si="10">AK35+(1-AK43)*(AK34/AJ34)*AJ44</f>
        <v>511.79031555819751</v>
      </c>
      <c r="AL44" s="7">
        <f t="shared" si="10"/>
        <v>537.50730465597451</v>
      </c>
      <c r="AM44" s="7">
        <f t="shared" si="10"/>
        <v>550.29093197993814</v>
      </c>
      <c r="AN44" s="7">
        <f t="shared" si="10"/>
        <v>566.364665405496</v>
      </c>
      <c r="AO44" s="7">
        <f t="shared" si="10"/>
        <v>586.51453749537325</v>
      </c>
      <c r="AP44" s="7">
        <f t="shared" si="10"/>
        <v>607.47283456323885</v>
      </c>
      <c r="AQ44" s="7">
        <f t="shared" si="10"/>
        <v>642.36893247503258</v>
      </c>
      <c r="AR44" s="7">
        <f t="shared" si="10"/>
        <v>686.47413076543762</v>
      </c>
      <c r="AS44" s="7">
        <f t="shared" si="10"/>
        <v>745.93956380455052</v>
      </c>
      <c r="AT44" s="7">
        <f t="shared" si="10"/>
        <v>809.85721587579587</v>
      </c>
      <c r="AU44" s="7">
        <f t="shared" si="10"/>
        <v>893.24175799915008</v>
      </c>
      <c r="AV44" s="7">
        <f t="shared" si="10"/>
        <v>986.62820727459837</v>
      </c>
      <c r="AW44" s="7">
        <f t="shared" si="10"/>
        <v>1092.1376336457031</v>
      </c>
      <c r="AX44" s="7">
        <f t="shared" si="10"/>
        <v>1207.2518478232798</v>
      </c>
      <c r="AY44" s="7">
        <f t="shared" si="10"/>
        <v>1318.4761572915809</v>
      </c>
      <c r="AZ44" s="7">
        <f t="shared" si="10"/>
        <v>1494.6111201780454</v>
      </c>
      <c r="BA44" s="7">
        <f t="shared" si="10"/>
        <v>1837.8704097417888</v>
      </c>
      <c r="BB44" s="7">
        <f t="shared" si="10"/>
        <v>2060.920662518738</v>
      </c>
      <c r="BC44" s="7">
        <f t="shared" si="10"/>
        <v>2285.7213574476286</v>
      </c>
      <c r="BD44" s="7">
        <f t="shared" si="10"/>
        <v>2562.0779353140197</v>
      </c>
      <c r="BE44" s="7">
        <f t="shared" si="10"/>
        <v>2924.8440665358517</v>
      </c>
      <c r="BF44" s="7">
        <f t="shared" si="10"/>
        <v>3378.8771902393978</v>
      </c>
      <c r="BG44" s="7">
        <f t="shared" si="10"/>
        <v>3901.6938305492677</v>
      </c>
      <c r="BH44" s="7">
        <f t="shared" si="10"/>
        <v>4434.0223244620893</v>
      </c>
      <c r="BI44" s="7">
        <f t="shared" si="10"/>
        <v>4745.6219650864896</v>
      </c>
      <c r="BJ44" s="7">
        <f t="shared" si="10"/>
        <v>4926.120654737414</v>
      </c>
      <c r="BK44" s="7">
        <f t="shared" si="10"/>
        <v>5238.9308486310838</v>
      </c>
      <c r="BL44" s="7">
        <f t="shared" si="10"/>
        <v>5550.7332424766573</v>
      </c>
      <c r="BM44" s="7">
        <f t="shared" si="10"/>
        <v>5837.6344139645826</v>
      </c>
      <c r="BN44" s="7">
        <f t="shared" si="10"/>
        <v>6189.2497521983096</v>
      </c>
      <c r="BO44" s="7">
        <f t="shared" si="10"/>
        <v>6628.2775811120755</v>
      </c>
      <c r="BP44" s="7">
        <f t="shared" si="10"/>
        <v>7063.8882251810937</v>
      </c>
      <c r="BQ44" s="7">
        <f t="shared" ref="BQ44:CL44" si="11">BQ35+(1-BQ43)*(BQ34/BP34)*BP44</f>
        <v>7512.709526494662</v>
      </c>
      <c r="BR44" s="7">
        <f t="shared" si="11"/>
        <v>7763.7511046242798</v>
      </c>
      <c r="BS44" s="7">
        <f t="shared" si="11"/>
        <v>8104.1171292335221</v>
      </c>
      <c r="BT44" s="7">
        <f t="shared" si="11"/>
        <v>8546.605005696425</v>
      </c>
      <c r="BU44" s="7">
        <f t="shared" si="11"/>
        <v>9066.8829048279858</v>
      </c>
      <c r="BV44" s="7">
        <f t="shared" si="11"/>
        <v>9618.3000068525398</v>
      </c>
      <c r="BW44" s="7">
        <f t="shared" si="11"/>
        <v>10139.358840857944</v>
      </c>
      <c r="BX44" s="7">
        <f t="shared" si="11"/>
        <v>10729.601375992072</v>
      </c>
      <c r="BY44" s="7">
        <f t="shared" si="11"/>
        <v>11355.301358675688</v>
      </c>
      <c r="BZ44" s="7">
        <f t="shared" si="11"/>
        <v>12048.04196614783</v>
      </c>
      <c r="CA44" s="7">
        <f t="shared" si="11"/>
        <v>12919.833757105986</v>
      </c>
      <c r="CB44" s="7">
        <f t="shared" si="11"/>
        <v>13698.694432673914</v>
      </c>
      <c r="CC44" s="7">
        <f t="shared" si="11"/>
        <v>14357.909595323243</v>
      </c>
      <c r="CD44" s="7">
        <f t="shared" si="11"/>
        <v>14967.64858230883</v>
      </c>
      <c r="CE44" s="7">
        <f t="shared" si="11"/>
        <v>16276.581924738161</v>
      </c>
      <c r="CF44" s="7">
        <f t="shared" si="11"/>
        <v>17802.561780235526</v>
      </c>
      <c r="CG44" s="7">
        <f t="shared" si="11"/>
        <v>19345.817633501916</v>
      </c>
      <c r="CH44" s="7">
        <f t="shared" si="11"/>
        <v>20433.34760866933</v>
      </c>
      <c r="CI44" s="7">
        <f t="shared" si="11"/>
        <v>21857.113597314688</v>
      </c>
      <c r="CJ44" s="7">
        <f t="shared" si="11"/>
        <v>21369.302972332294</v>
      </c>
      <c r="CK44" s="7">
        <f t="shared" si="11"/>
        <v>22055.347086788079</v>
      </c>
      <c r="CL44" s="7">
        <f t="shared" si="11"/>
        <v>23096.765403907255</v>
      </c>
      <c r="CM44" s="105"/>
    </row>
    <row r="45" spans="1:91" s="83" customFormat="1" ht="6.5" customHeight="1" x14ac:dyDescent="0.3">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106"/>
      <c r="BR45" s="106"/>
      <c r="BS45" s="106"/>
      <c r="BT45" s="106"/>
      <c r="BU45" s="106"/>
      <c r="BV45" s="106"/>
      <c r="BW45" s="106"/>
      <c r="BX45" s="106"/>
      <c r="BY45" s="106"/>
      <c r="BZ45" s="106"/>
      <c r="CA45" s="106"/>
      <c r="CB45" s="106"/>
      <c r="CC45" s="106"/>
      <c r="CD45" s="106"/>
      <c r="CE45" s="106"/>
      <c r="CF45" s="106"/>
      <c r="CG45" s="106"/>
      <c r="CH45" s="106"/>
      <c r="CI45" s="106"/>
      <c r="CJ45" s="106"/>
    </row>
    <row r="46" spans="1:91" x14ac:dyDescent="0.3">
      <c r="A46" s="80" t="s">
        <v>312</v>
      </c>
      <c r="C46" s="54" t="s">
        <v>313</v>
      </c>
      <c r="D46" s="104">
        <f>D36/'Appndx 6.8.II.1'!D19</f>
        <v>1</v>
      </c>
      <c r="E46" s="104">
        <f>E36/'Appndx 6.8.II.1'!E19</f>
        <v>0.98235503164293492</v>
      </c>
      <c r="F46" s="104">
        <f>F36/'Appndx 6.8.II.1'!F19</f>
        <v>0.96698854782212429</v>
      </c>
      <c r="G46" s="104">
        <f>G36/'Appndx 6.8.II.1'!G19</f>
        <v>0.95144711107013624</v>
      </c>
      <c r="H46" s="104">
        <f>H36/'Appndx 6.8.II.1'!H19</f>
        <v>0.93767670076190612</v>
      </c>
      <c r="I46" s="104">
        <f>I36/'Appndx 6.8.II.1'!I19</f>
        <v>0.9240096303405223</v>
      </c>
      <c r="J46" s="104">
        <f>J36/'Appndx 6.8.II.1'!J19</f>
        <v>0.90803001896392777</v>
      </c>
      <c r="K46" s="104">
        <f>K36/'Appndx 6.8.II.1'!K19</f>
        <v>0.8907333805199168</v>
      </c>
      <c r="L46" s="104">
        <f>L36/'Appndx 6.8.II.1'!L19</f>
        <v>0.87393804112436857</v>
      </c>
      <c r="M46" s="104">
        <f>M36/'Appndx 6.8.II.1'!M19</f>
        <v>0.85666612049622515</v>
      </c>
      <c r="N46" s="104">
        <f>N36/'Appndx 6.8.II.1'!N19</f>
        <v>0.84202952120034869</v>
      </c>
      <c r="O46" s="104">
        <f>O36/'Appndx 6.8.II.1'!O19</f>
        <v>0.82744071048667289</v>
      </c>
      <c r="P46" s="104">
        <f>P36/'Appndx 6.8.II.1'!P19</f>
        <v>0.81583358967567499</v>
      </c>
      <c r="Q46" s="104">
        <f>Q36/'Appndx 6.8.II.1'!Q19</f>
        <v>0.80231748679731163</v>
      </c>
      <c r="R46" s="104">
        <f>R36/'Appndx 6.8.II.1'!R19</f>
        <v>0.79017950266971015</v>
      </c>
      <c r="S46" s="104">
        <f>S36/'Appndx 6.8.II.1'!S19</f>
        <v>0.78138111589084247</v>
      </c>
      <c r="T46" s="104">
        <f>T36/'Appndx 6.8.II.1'!T19</f>
        <v>0.7734979119680585</v>
      </c>
      <c r="U46" s="104">
        <f>U36/'Appndx 6.8.II.1'!U19</f>
        <v>0.76263856142985431</v>
      </c>
      <c r="V46" s="104">
        <f>V36/'Appndx 6.8.II.1'!V19</f>
        <v>0.75130081622475287</v>
      </c>
      <c r="W46" s="104">
        <f>W36/'Appndx 6.8.II.1'!W19</f>
        <v>0.74325614269120155</v>
      </c>
      <c r="X46" s="104">
        <f>X36/'Appndx 6.8.II.1'!X19</f>
        <v>0.74022775791164241</v>
      </c>
      <c r="Y46" s="104">
        <f>Y36/'Appndx 6.8.II.1'!Y19</f>
        <v>0.73768302680868869</v>
      </c>
      <c r="Z46" s="104">
        <f>Z36/'Appndx 6.8.II.1'!Z19</f>
        <v>0.74011824691104877</v>
      </c>
      <c r="AA46" s="104">
        <f>AA36/'Appndx 6.8.II.1'!AA19</f>
        <v>0.74423673536313306</v>
      </c>
      <c r="AB46" s="104">
        <f>AB36/'Appndx 6.8.II.1'!AB19</f>
        <v>0.74767935326071089</v>
      </c>
      <c r="AC46" s="104">
        <f>AC36/'Appndx 6.8.II.1'!AC19</f>
        <v>0.74876049513907894</v>
      </c>
      <c r="AD46" s="104">
        <f>AD36/'Appndx 6.8.II.1'!AD19</f>
        <v>0.75260012772321894</v>
      </c>
      <c r="AE46" s="104">
        <f>AE36/'Appndx 6.8.II.1'!AE19</f>
        <v>0.75528415522991565</v>
      </c>
      <c r="AF46" s="104">
        <f>AF36/'Appndx 6.8.II.1'!AF19</f>
        <v>0.75860988443382515</v>
      </c>
      <c r="AG46" s="104">
        <f>AG36/'Appndx 6.8.II.1'!AG19</f>
        <v>0.7609492616891077</v>
      </c>
      <c r="AH46" s="104">
        <f>AH36/'Appndx 6.8.II.1'!AH19</f>
        <v>0.76199808452266782</v>
      </c>
      <c r="AI46" s="104">
        <f>AI36/'Appndx 6.8.II.1'!AI19</f>
        <v>0.7647214744133376</v>
      </c>
      <c r="AJ46" s="104">
        <f>AJ36/'Appndx 6.8.II.1'!AJ19</f>
        <v>0.76797925359124319</v>
      </c>
      <c r="AK46" s="104">
        <f>AK36/'Appndx 6.8.II.1'!AK19</f>
        <v>0.76944735304387935</v>
      </c>
      <c r="AL46" s="104">
        <f>AL36/'Appndx 6.8.II.1'!AL19</f>
        <v>0.7710256956758782</v>
      </c>
      <c r="AM46" s="104">
        <f>AM36/'Appndx 6.8.II.1'!AM19</f>
        <v>0.77249439524946362</v>
      </c>
      <c r="AN46" s="104">
        <f>AN36/'Appndx 6.8.II.1'!AN19</f>
        <v>0.77319018075443013</v>
      </c>
      <c r="AO46" s="104">
        <f>AO36/'Appndx 6.8.II.1'!AO19</f>
        <v>0.77498470335101144</v>
      </c>
      <c r="AP46" s="104">
        <f>AP36/'Appndx 6.8.II.1'!AP19</f>
        <v>0.77774337910869695</v>
      </c>
      <c r="AQ46" s="104">
        <f>AQ36/'Appndx 6.8.II.1'!AQ19</f>
        <v>0.78170500991511238</v>
      </c>
      <c r="AR46" s="104">
        <f>AR36/'Appndx 6.8.II.1'!AR19</f>
        <v>0.78841228663638807</v>
      </c>
      <c r="AS46" s="104">
        <f>AS36/'Appndx 6.8.II.1'!AS19</f>
        <v>0.79610709203710972</v>
      </c>
      <c r="AT46" s="104">
        <f>AT36/'Appndx 6.8.II.1'!AT19</f>
        <v>0.80184186291641968</v>
      </c>
      <c r="AU46" s="104">
        <f>AU36/'Appndx 6.8.II.1'!AU19</f>
        <v>0.80668390976076809</v>
      </c>
      <c r="AV46" s="104">
        <f>AV36/'Appndx 6.8.II.1'!AV19</f>
        <v>0.81226722222861047</v>
      </c>
      <c r="AW46" s="104">
        <f>AW36/'Appndx 6.8.II.1'!AW19</f>
        <v>0.81694638819892962</v>
      </c>
      <c r="AX46" s="104">
        <f>AX36/'Appndx 6.8.II.1'!AX19</f>
        <v>0.82023152940662791</v>
      </c>
      <c r="AY46" s="104">
        <f>AY36/'Appndx 6.8.II.1'!AY19</f>
        <v>0.8244712319553118</v>
      </c>
      <c r="AZ46" s="104">
        <f>AZ36/'Appndx 6.8.II.1'!AZ19</f>
        <v>0.83021514892167336</v>
      </c>
      <c r="BA46" s="104">
        <f>BA36/'Appndx 6.8.II.1'!BA19</f>
        <v>0.83140241320438413</v>
      </c>
      <c r="BB46" s="104">
        <f>BB36/'Appndx 6.8.II.1'!BB19</f>
        <v>0.83344594263593152</v>
      </c>
      <c r="BC46" s="104">
        <f>BC36/'Appndx 6.8.II.1'!BC19</f>
        <v>0.83452645069001163</v>
      </c>
      <c r="BD46" s="104">
        <f>BD36/'Appndx 6.8.II.1'!BD19</f>
        <v>0.83652717507251095</v>
      </c>
      <c r="BE46" s="104">
        <f>BE36/'Appndx 6.8.II.1'!BE19</f>
        <v>0.83859434224747875</v>
      </c>
      <c r="BF46" s="104">
        <f>BF36/'Appndx 6.8.II.1'!BF19</f>
        <v>0.8403929654466199</v>
      </c>
      <c r="BG46" s="104">
        <f>BG36/'Appndx 6.8.II.1'!BG19</f>
        <v>0.84177559787005485</v>
      </c>
      <c r="BH46" s="104">
        <f>BH36/'Appndx 6.8.II.1'!BH19</f>
        <v>0.8423717037619437</v>
      </c>
      <c r="BI46" s="104">
        <f>BI36/'Appndx 6.8.II.1'!BI19</f>
        <v>0.84265885619194481</v>
      </c>
      <c r="BJ46" s="104">
        <f>BJ36/'Appndx 6.8.II.1'!BJ19</f>
        <v>0.84301307243261248</v>
      </c>
      <c r="BK46" s="104">
        <f>BK36/'Appndx 6.8.II.1'!BK19</f>
        <v>0.84455993008143626</v>
      </c>
      <c r="BL46" s="104">
        <f>BL36/'Appndx 6.8.II.1'!BL19</f>
        <v>0.84685481015164887</v>
      </c>
      <c r="BM46" s="104">
        <f>BM36/'Appndx 6.8.II.1'!BM19</f>
        <v>0.84866796105741393</v>
      </c>
      <c r="BN46" s="104">
        <f>BN36/'Appndx 6.8.II.1'!BN19</f>
        <v>0.84960950501326915</v>
      </c>
      <c r="BO46" s="104">
        <f>BO36/'Appndx 6.8.II.1'!BO19</f>
        <v>0.85098570020387398</v>
      </c>
      <c r="BP46" s="104">
        <f>BP36/'Appndx 6.8.II.1'!BP19</f>
        <v>0.85224011597755778</v>
      </c>
      <c r="BQ46" s="104">
        <f>BQ36/'Appndx 6.8.II.1'!BQ19</f>
        <v>0.85532434635558308</v>
      </c>
      <c r="BR46" s="104">
        <f>BR36/'Appndx 6.8.II.1'!BR19</f>
        <v>0.85832797283305784</v>
      </c>
      <c r="BS46" s="104">
        <f>BS36/'Appndx 6.8.II.1'!BS19</f>
        <v>0.86052661384814011</v>
      </c>
      <c r="BT46" s="104">
        <f>BT36/'Appndx 6.8.II.1'!BT19</f>
        <v>0.86270299232883496</v>
      </c>
      <c r="BU46" s="104">
        <f>BU36/'Appndx 6.8.II.1'!BU19</f>
        <v>0.86609503226138806</v>
      </c>
      <c r="BV46" s="104">
        <f>BV36/'Appndx 6.8.II.1'!BV19</f>
        <v>0.87039684553136099</v>
      </c>
      <c r="BW46" s="104">
        <f>BW36/'Appndx 6.8.II.1'!BW19</f>
        <v>0.87513500862349403</v>
      </c>
      <c r="BX46" s="104">
        <f>BX36/'Appndx 6.8.II.1'!BX19</f>
        <v>0.88055828031338013</v>
      </c>
      <c r="BY46" s="104">
        <f>BY36/'Appndx 6.8.II.1'!BY19</f>
        <v>0.8862369502524261</v>
      </c>
      <c r="BZ46" s="104">
        <f>BZ36/'Appndx 6.8.II.1'!BZ19</f>
        <v>0.89301892034765551</v>
      </c>
      <c r="CA46" s="104">
        <f>CA36/'Appndx 6.8.II.1'!CA19</f>
        <v>0.90044693305665169</v>
      </c>
      <c r="CB46" s="104">
        <f>CB36/'Appndx 6.8.II.1'!CB19</f>
        <v>0.90660431386298879</v>
      </c>
      <c r="CC46" s="104">
        <f>CC36/'Appndx 6.8.II.1'!CC19</f>
        <v>0.9073565488693548</v>
      </c>
      <c r="CD46" s="104">
        <f>CD36/'Appndx 6.8.II.1'!CD19</f>
        <v>0.90689578761993461</v>
      </c>
      <c r="CE46" s="104">
        <f>CE36/'Appndx 6.8.II.1'!CE19</f>
        <v>0.90425715502845705</v>
      </c>
      <c r="CF46" s="104">
        <f>CF36/'Appndx 6.8.II.1'!CF19</f>
        <v>0.90178230874179532</v>
      </c>
      <c r="CG46" s="104">
        <f>CG36/'Appndx 6.8.II.1'!CG19</f>
        <v>0.89732116266114359</v>
      </c>
      <c r="CH46" s="104">
        <f>CH36/'Appndx 6.8.II.1'!CH19</f>
        <v>0.89443810830064874</v>
      </c>
      <c r="CI46" s="104">
        <f>CI36/'Appndx 6.8.II.1'!CI19</f>
        <v>0.89027497909972797</v>
      </c>
      <c r="CJ46" s="104">
        <f>CJ36/'Appndx 6.8.II.1'!CJ19</f>
        <v>0.88492981028766837</v>
      </c>
      <c r="CK46" s="104">
        <f>CK36/'Appndx 6.8.II.1'!CK19</f>
        <v>0.87793415359087545</v>
      </c>
      <c r="CL46" s="104">
        <f>CL36/'Appndx 6.8.II.1'!CL19</f>
        <v>0.87203652821753874</v>
      </c>
    </row>
    <row r="47" spans="1:91" x14ac:dyDescent="0.3">
      <c r="A47" s="80" t="s">
        <v>312</v>
      </c>
      <c r="C47" s="54" t="s">
        <v>314</v>
      </c>
      <c r="D47" s="104">
        <f>D44/'Appndx 6.8.II.1'!D19</f>
        <v>1</v>
      </c>
      <c r="E47" s="104">
        <f>E44/'Appndx 6.8.II.1'!E19</f>
        <v>1.0255335281235964</v>
      </c>
      <c r="F47" s="104">
        <f>F44/'Appndx 6.8.II.1'!F19</f>
        <v>1.0493601528240688</v>
      </c>
      <c r="G47" s="104">
        <f>G44/'Appndx 6.8.II.1'!G19</f>
        <v>1.0711466745051397</v>
      </c>
      <c r="H47" s="104">
        <f>H44/'Appndx 6.8.II.1'!H19</f>
        <v>1.0929602567126315</v>
      </c>
      <c r="I47" s="104">
        <f>I44/'Appndx 6.8.II.1'!I19</f>
        <v>1.1143057892352417</v>
      </c>
      <c r="J47" s="104">
        <f>J44/'Appndx 6.8.II.1'!J19</f>
        <v>1.1359718646139991</v>
      </c>
      <c r="K47" s="104">
        <f>K44/'Appndx 6.8.II.1'!K19</f>
        <v>1.1567170703596648</v>
      </c>
      <c r="L47" s="104">
        <f>L44/'Appndx 6.8.II.1'!L19</f>
        <v>1.1750304894555508</v>
      </c>
      <c r="M47" s="104">
        <f>M44/'Appndx 6.8.II.1'!M19</f>
        <v>1.1898431946547803</v>
      </c>
      <c r="N47" s="104">
        <f>N44/'Appndx 6.8.II.1'!N19</f>
        <v>1.2036086816266278</v>
      </c>
      <c r="O47" s="104">
        <f>O44/'Appndx 6.8.II.1'!O19</f>
        <v>1.2109965098409063</v>
      </c>
      <c r="P47" s="104">
        <f>P44/'Appndx 6.8.II.1'!P19</f>
        <v>1.2175017957245688</v>
      </c>
      <c r="Q47" s="104">
        <f>Q44/'Appndx 6.8.II.1'!Q19</f>
        <v>1.226387846987161</v>
      </c>
      <c r="R47" s="104">
        <f>R44/'Appndx 6.8.II.1'!R19</f>
        <v>1.2330154528660995</v>
      </c>
      <c r="S47" s="104">
        <f>S44/'Appndx 6.8.II.1'!S19</f>
        <v>1.2377431088720563</v>
      </c>
      <c r="T47" s="104">
        <f>T44/'Appndx 6.8.II.1'!T19</f>
        <v>1.239778296199487</v>
      </c>
      <c r="U47" s="104">
        <f>U44/'Appndx 6.8.II.1'!U19</f>
        <v>1.2479675723260517</v>
      </c>
      <c r="V47" s="104">
        <f>V44/'Appndx 6.8.II.1'!V19</f>
        <v>1.2574668042602781</v>
      </c>
      <c r="W47" s="104">
        <f>W44/'Appndx 6.8.II.1'!W19</f>
        <v>1.2638641277460119</v>
      </c>
      <c r="X47" s="104">
        <f>X44/'Appndx 6.8.II.1'!X19</f>
        <v>1.2642244173786494</v>
      </c>
      <c r="Y47" s="104">
        <f>Y44/'Appndx 6.8.II.1'!Y19</f>
        <v>1.2554042278821038</v>
      </c>
      <c r="Z47" s="104">
        <f>Z44/'Appndx 6.8.II.1'!Z19</f>
        <v>1.2513434924817379</v>
      </c>
      <c r="AA47" s="104">
        <f>AA44/'Appndx 6.8.II.1'!AA19</f>
        <v>1.2507609682536522</v>
      </c>
      <c r="AB47" s="104">
        <f>AB44/'Appndx 6.8.II.1'!AB19</f>
        <v>1.2569998847061257</v>
      </c>
      <c r="AC47" s="104">
        <f>AC44/'Appndx 6.8.II.1'!AC19</f>
        <v>1.2603370254109558</v>
      </c>
      <c r="AD47" s="104">
        <f>AD44/'Appndx 6.8.II.1'!AD19</f>
        <v>1.2647086683099507</v>
      </c>
      <c r="AE47" s="104">
        <f>AE44/'Appndx 6.8.II.1'!AE19</f>
        <v>1.2698554755650313</v>
      </c>
      <c r="AF47" s="104">
        <f>AF44/'Appndx 6.8.II.1'!AF19</f>
        <v>1.2746821534674466</v>
      </c>
      <c r="AG47" s="104">
        <f>AG44/'Appndx 6.8.II.1'!AG19</f>
        <v>1.2811937134586828</v>
      </c>
      <c r="AH47" s="104">
        <f>AH44/'Appndx 6.8.II.1'!AH19</f>
        <v>1.2839161053416372</v>
      </c>
      <c r="AI47" s="104">
        <f>AI44/'Appndx 6.8.II.1'!AI19</f>
        <v>1.2848883015668799</v>
      </c>
      <c r="AJ47" s="104">
        <f>AJ44/'Appndx 6.8.II.1'!AJ19</f>
        <v>1.2875897532526357</v>
      </c>
      <c r="AK47" s="104">
        <f>AK44/'Appndx 6.8.II.1'!AK19</f>
        <v>1.2976427879264643</v>
      </c>
      <c r="AL47" s="104">
        <f>AL44/'Appndx 6.8.II.1'!AL19</f>
        <v>1.3058972416325911</v>
      </c>
      <c r="AM47" s="104">
        <f>AM44/'Appndx 6.8.II.1'!AM19</f>
        <v>1.3105285353177856</v>
      </c>
      <c r="AN47" s="104">
        <f>AN44/'Appndx 6.8.II.1'!AN19</f>
        <v>1.3162088436102626</v>
      </c>
      <c r="AO47" s="104">
        <f>AO44/'Appndx 6.8.II.1'!AO19</f>
        <v>1.3203839205208763</v>
      </c>
      <c r="AP47" s="104">
        <f>AP44/'Appndx 6.8.II.1'!AP19</f>
        <v>1.3254916748052341</v>
      </c>
      <c r="AQ47" s="104">
        <f>AQ44/'Appndx 6.8.II.1'!AQ19</f>
        <v>1.3274828114797119</v>
      </c>
      <c r="AR47" s="104">
        <f>AR44/'Appndx 6.8.II.1'!AR19</f>
        <v>1.3267764413711589</v>
      </c>
      <c r="AS47" s="104">
        <f>AS44/'Appndx 6.8.II.1'!AS19</f>
        <v>1.3239963858795714</v>
      </c>
      <c r="AT47" s="104">
        <f>AT44/'Appndx 6.8.II.1'!AT19</f>
        <v>1.3258959002550688</v>
      </c>
      <c r="AU47" s="104">
        <f>AU44/'Appndx 6.8.II.1'!AU19</f>
        <v>1.3280430538197294</v>
      </c>
      <c r="AV47" s="104">
        <f>AV44/'Appndx 6.8.II.1'!AV19</f>
        <v>1.3313023981576013</v>
      </c>
      <c r="AW47" s="104">
        <f>AW44/'Appndx 6.8.II.1'!AW19</f>
        <v>1.3388962040525967</v>
      </c>
      <c r="AX47" s="104">
        <f>AX44/'Appndx 6.8.II.1'!AX19</f>
        <v>1.3485833867552277</v>
      </c>
      <c r="AY47" s="104">
        <f>AY44/'Appndx 6.8.II.1'!AY19</f>
        <v>1.3561779029948373</v>
      </c>
      <c r="AZ47" s="104">
        <f>AZ44/'Appndx 6.8.II.1'!AZ19</f>
        <v>1.3619565520120698</v>
      </c>
      <c r="BA47" s="104">
        <f>BA44/'Appndx 6.8.II.1'!BA19</f>
        <v>1.3650255568492191</v>
      </c>
      <c r="BB47" s="104">
        <f>BB44/'Appndx 6.8.II.1'!BB19</f>
        <v>1.3781735071009349</v>
      </c>
      <c r="BC47" s="104">
        <f>BC44/'Appndx 6.8.II.1'!BC19</f>
        <v>1.3905106201774113</v>
      </c>
      <c r="BD47" s="104">
        <f>BD44/'Appndx 6.8.II.1'!BD19</f>
        <v>1.400119096843554</v>
      </c>
      <c r="BE47" s="104">
        <f>BE44/'Appndx 6.8.II.1'!BE19</f>
        <v>1.4051616942281295</v>
      </c>
      <c r="BF47" s="104">
        <f>BF44/'Appndx 6.8.II.1'!BF19</f>
        <v>1.4080415011207226</v>
      </c>
      <c r="BG47" s="104">
        <f>BG44/'Appndx 6.8.II.1'!BG19</f>
        <v>1.4130428185387758</v>
      </c>
      <c r="BH47" s="104">
        <f>BH44/'Appndx 6.8.II.1'!BH19</f>
        <v>1.4187509437372696</v>
      </c>
      <c r="BI47" s="104">
        <f>BI44/'Appndx 6.8.II.1'!BI19</f>
        <v>1.4300072214447326</v>
      </c>
      <c r="BJ47" s="104">
        <f>BJ44/'Appndx 6.8.II.1'!BJ19</f>
        <v>1.442368358486052</v>
      </c>
      <c r="BK47" s="104">
        <f>BK44/'Appndx 6.8.II.1'!BK19</f>
        <v>1.4478584038887585</v>
      </c>
      <c r="BL47" s="104">
        <f>BL44/'Appndx 6.8.II.1'!BL19</f>
        <v>1.4533378478979544</v>
      </c>
      <c r="BM47" s="104">
        <f>BM44/'Appndx 6.8.II.1'!BM19</f>
        <v>1.4631762824183729</v>
      </c>
      <c r="BN47" s="104">
        <f>BN44/'Appndx 6.8.II.1'!BN19</f>
        <v>1.4744734496374854</v>
      </c>
      <c r="BO47" s="104">
        <f>BO44/'Appndx 6.8.II.1'!BO19</f>
        <v>1.4851951827538319</v>
      </c>
      <c r="BP47" s="104">
        <f>BP44/'Appndx 6.8.II.1'!BP19</f>
        <v>1.4939909955545649</v>
      </c>
      <c r="BQ47" s="104">
        <f>BQ44/'Appndx 6.8.II.1'!BQ19</f>
        <v>1.5046182785232944</v>
      </c>
      <c r="BR47" s="104">
        <f>BR44/'Appndx 6.8.II.1'!BR19</f>
        <v>1.5207833548068166</v>
      </c>
      <c r="BS47" s="104">
        <f>BS44/'Appndx 6.8.II.1'!BS19</f>
        <v>1.5361507940771706</v>
      </c>
      <c r="BT47" s="104">
        <f>BT44/'Appndx 6.8.II.1'!BT19</f>
        <v>1.547204874399686</v>
      </c>
      <c r="BU47" s="104">
        <f>BU44/'Appndx 6.8.II.1'!BU19</f>
        <v>1.5568404170449333</v>
      </c>
      <c r="BV47" s="104">
        <f>BV44/'Appndx 6.8.II.1'!BV19</f>
        <v>1.5628838852901337</v>
      </c>
      <c r="BW47" s="104">
        <f>BW44/'Appndx 6.8.II.1'!BW19</f>
        <v>1.5671585095376968</v>
      </c>
      <c r="BX47" s="104">
        <f>BX44/'Appndx 6.8.II.1'!BX19</f>
        <v>1.5708368898312088</v>
      </c>
      <c r="BY47" s="104">
        <f>BY44/'Appndx 6.8.II.1'!BY19</f>
        <v>1.5732793946291963</v>
      </c>
      <c r="BZ47" s="104">
        <f>BZ44/'Appndx 6.8.II.1'!BZ19</f>
        <v>1.5766386576303169</v>
      </c>
      <c r="CA47" s="104">
        <f>CA44/'Appndx 6.8.II.1'!CA19</f>
        <v>1.5803304739958883</v>
      </c>
      <c r="CB47" s="104">
        <f>CB44/'Appndx 6.8.II.1'!CB19</f>
        <v>1.59368682031201</v>
      </c>
      <c r="CC47" s="104">
        <f>CC44/'Appndx 6.8.II.1'!CC19</f>
        <v>1.6118537439881497</v>
      </c>
      <c r="CD47" s="104">
        <f>CD44/'Appndx 6.8.II.1'!CD19</f>
        <v>1.6294333190695236</v>
      </c>
      <c r="CE47" s="104">
        <f>CE44/'Appndx 6.8.II.1'!CE19</f>
        <v>1.6425230258578294</v>
      </c>
      <c r="CF47" s="104">
        <f>CF44/'Appndx 6.8.II.1'!CF19</f>
        <v>1.6532379094411864</v>
      </c>
      <c r="CG47" s="104">
        <f>CG44/'Appndx 6.8.II.1'!CG19</f>
        <v>1.6563341838116694</v>
      </c>
      <c r="CH47" s="104">
        <f>CH44/'Appndx 6.8.II.1'!CH19</f>
        <v>1.6588471649701515</v>
      </c>
      <c r="CI47" s="104">
        <f>CI44/'Appndx 6.8.II.1'!CI19</f>
        <v>1.6636560813909795</v>
      </c>
      <c r="CJ47" s="104">
        <f>CJ44/'Appndx 6.8.II.1'!CJ19</f>
        <v>1.6823970785274642</v>
      </c>
      <c r="CK47" s="104">
        <f>CK44/'Appndx 6.8.II.1'!CK19</f>
        <v>1.6972701804432671</v>
      </c>
      <c r="CL47" s="104">
        <f>CL44/'Appndx 6.8.II.1'!CL19</f>
        <v>1.7069770748150335</v>
      </c>
    </row>
    <row r="48" spans="1:91" s="83" customFormat="1" ht="6.5" customHeight="1" x14ac:dyDescent="0.3"/>
    <row r="49" spans="1:90" x14ac:dyDescent="0.3">
      <c r="A49" s="159" t="s">
        <v>361</v>
      </c>
      <c r="B49" s="158">
        <f>AVERAGE(E33:CL33)</f>
        <v>8.2847753804476815E-2</v>
      </c>
      <c r="C49" s="80"/>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c r="CC49" s="104"/>
      <c r="CD49" s="104"/>
      <c r="CE49" s="104"/>
      <c r="CF49" s="104"/>
      <c r="CG49" s="104"/>
      <c r="CH49" s="104"/>
      <c r="CI49" s="104"/>
      <c r="CJ49" s="104"/>
      <c r="CK49" s="104"/>
      <c r="CL49" s="104"/>
    </row>
    <row r="50" spans="1:90" x14ac:dyDescent="0.3">
      <c r="A50" s="159" t="s">
        <v>360</v>
      </c>
      <c r="B50" s="158">
        <f>AVERAGE(E43:CL43)</f>
        <v>3.2742872997088938E-2</v>
      </c>
      <c r="C50" s="80"/>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4"/>
      <c r="CB50" s="104"/>
      <c r="CC50" s="104"/>
      <c r="CD50" s="104"/>
      <c r="CE50" s="104"/>
      <c r="CF50" s="104"/>
      <c r="CG50" s="104"/>
      <c r="CH50" s="104"/>
      <c r="CI50" s="104"/>
      <c r="CJ50" s="104"/>
      <c r="CK50" s="104"/>
      <c r="CL50" s="104"/>
    </row>
    <row r="51" spans="1:90" x14ac:dyDescent="0.3">
      <c r="A51" s="101"/>
    </row>
    <row r="52" spans="1:90" x14ac:dyDescent="0.3">
      <c r="A52" s="101"/>
      <c r="B52" s="153"/>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4098" r:id="rId4">
          <objectPr defaultSize="0" r:id="rId5">
            <anchor moveWithCells="1">
              <from>
                <xdr:col>0</xdr:col>
                <xdr:colOff>82550</xdr:colOff>
                <xdr:row>5</xdr:row>
                <xdr:rowOff>12700</xdr:rowOff>
              </from>
              <to>
                <xdr:col>1</xdr:col>
                <xdr:colOff>2673350</xdr:colOff>
                <xdr:row>25</xdr:row>
                <xdr:rowOff>139700</xdr:rowOff>
              </to>
            </anchor>
          </objectPr>
        </oleObject>
      </mc:Choice>
      <mc:Fallback>
        <oleObject progId="Word.Document.12" shapeId="4098"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20:CL31"/>
  <sheetViews>
    <sheetView topLeftCell="A13" workbookViewId="0">
      <selection activeCell="D22" sqref="D22"/>
    </sheetView>
  </sheetViews>
  <sheetFormatPr defaultColWidth="8.81640625" defaultRowHeight="14.5" x14ac:dyDescent="0.35"/>
  <cols>
    <col min="1" max="1" width="26.81640625" customWidth="1"/>
    <col min="2" max="2" width="16.6328125" bestFit="1" customWidth="1"/>
    <col min="3" max="3" width="14.36328125" customWidth="1"/>
    <col min="4" max="5" width="7.54296875" customWidth="1"/>
    <col min="6" max="14" width="8.54296875" customWidth="1"/>
    <col min="15" max="15" width="7.54296875" customWidth="1"/>
    <col min="16" max="16" width="8.54296875" customWidth="1"/>
    <col min="17" max="17" width="7.54296875" customWidth="1"/>
    <col min="18" max="20" width="8.54296875" customWidth="1"/>
    <col min="21" max="24" width="7.54296875" customWidth="1"/>
    <col min="25" max="49" width="8.54296875" customWidth="1"/>
    <col min="50" max="52" width="6.453125" bestFit="1" customWidth="1"/>
    <col min="53" max="82" width="6.6328125" bestFit="1" customWidth="1"/>
    <col min="83" max="90" width="7.54296875" bestFit="1" customWidth="1"/>
  </cols>
  <sheetData>
    <row r="20" spans="1:90" x14ac:dyDescent="0.35">
      <c r="A20" s="101" t="s">
        <v>282</v>
      </c>
      <c r="B20" s="54"/>
      <c r="C20" s="54"/>
      <c r="D20" s="85">
        <v>1925</v>
      </c>
      <c r="E20" s="85">
        <v>1926</v>
      </c>
      <c r="F20" s="85">
        <v>1927</v>
      </c>
      <c r="G20" s="85">
        <v>1928</v>
      </c>
      <c r="H20" s="85">
        <v>1929</v>
      </c>
      <c r="I20" s="85">
        <v>1930</v>
      </c>
      <c r="J20" s="85">
        <v>1931</v>
      </c>
      <c r="K20" s="85">
        <v>1932</v>
      </c>
      <c r="L20" s="85">
        <v>1933</v>
      </c>
      <c r="M20" s="85">
        <v>1934</v>
      </c>
      <c r="N20" s="85">
        <v>1935</v>
      </c>
      <c r="O20" s="85">
        <v>1936</v>
      </c>
      <c r="P20" s="85">
        <v>1937</v>
      </c>
      <c r="Q20" s="85">
        <v>1938</v>
      </c>
      <c r="R20" s="85">
        <v>1939</v>
      </c>
      <c r="S20" s="85">
        <v>1940</v>
      </c>
      <c r="T20" s="85">
        <v>1941</v>
      </c>
      <c r="U20" s="85">
        <v>1942</v>
      </c>
      <c r="V20" s="85">
        <v>1943</v>
      </c>
      <c r="W20" s="85">
        <v>1944</v>
      </c>
      <c r="X20" s="85">
        <v>1945</v>
      </c>
      <c r="Y20" s="85">
        <v>1946</v>
      </c>
      <c r="Z20" s="85">
        <v>1947</v>
      </c>
      <c r="AA20" s="85">
        <v>1948</v>
      </c>
      <c r="AB20" s="85">
        <v>1949</v>
      </c>
      <c r="AC20" s="85">
        <v>1950</v>
      </c>
      <c r="AD20" s="85">
        <v>1951</v>
      </c>
      <c r="AE20" s="85">
        <v>1952</v>
      </c>
      <c r="AF20" s="85">
        <v>1953</v>
      </c>
      <c r="AG20" s="85">
        <v>1954</v>
      </c>
      <c r="AH20" s="85">
        <v>1955</v>
      </c>
      <c r="AI20" s="85">
        <v>1956</v>
      </c>
      <c r="AJ20" s="85">
        <v>1957</v>
      </c>
      <c r="AK20" s="85">
        <v>1958</v>
      </c>
      <c r="AL20" s="85">
        <v>1959</v>
      </c>
      <c r="AM20" s="85">
        <v>1960</v>
      </c>
      <c r="AN20" s="85">
        <v>1961</v>
      </c>
      <c r="AO20" s="85">
        <v>1962</v>
      </c>
      <c r="AP20" s="85">
        <v>1963</v>
      </c>
      <c r="AQ20" s="85">
        <v>1964</v>
      </c>
      <c r="AR20" s="85">
        <v>1965</v>
      </c>
      <c r="AS20" s="85">
        <v>1966</v>
      </c>
      <c r="AT20" s="85">
        <v>1967</v>
      </c>
      <c r="AU20" s="85">
        <v>1968</v>
      </c>
      <c r="AV20" s="85">
        <v>1969</v>
      </c>
      <c r="AW20" s="85">
        <v>1970</v>
      </c>
      <c r="AX20" s="85">
        <v>1971</v>
      </c>
      <c r="AY20" s="85">
        <v>1972</v>
      </c>
      <c r="AZ20" s="85">
        <v>1973</v>
      </c>
      <c r="BA20" s="85">
        <v>1974</v>
      </c>
      <c r="BB20" s="85">
        <v>1975</v>
      </c>
      <c r="BC20" s="85">
        <v>1976</v>
      </c>
      <c r="BD20" s="85">
        <v>1977</v>
      </c>
      <c r="BE20" s="85">
        <v>1978</v>
      </c>
      <c r="BF20" s="85">
        <v>1979</v>
      </c>
      <c r="BG20" s="85">
        <v>1980</v>
      </c>
      <c r="BH20" s="85">
        <v>1981</v>
      </c>
      <c r="BI20" s="85">
        <v>1982</v>
      </c>
      <c r="BJ20" s="85">
        <v>1983</v>
      </c>
      <c r="BK20" s="85">
        <v>1984</v>
      </c>
      <c r="BL20" s="85">
        <v>1985</v>
      </c>
      <c r="BM20" s="85">
        <v>1986</v>
      </c>
      <c r="BN20" s="85">
        <v>1987</v>
      </c>
      <c r="BO20" s="85">
        <v>1988</v>
      </c>
      <c r="BP20" s="85">
        <v>1989</v>
      </c>
      <c r="BQ20" s="85">
        <v>1990</v>
      </c>
      <c r="BR20" s="85">
        <v>1991</v>
      </c>
      <c r="BS20" s="85">
        <v>1992</v>
      </c>
      <c r="BT20" s="85">
        <v>1993</v>
      </c>
      <c r="BU20" s="85">
        <v>1994</v>
      </c>
      <c r="BV20" s="85">
        <v>1995</v>
      </c>
      <c r="BW20" s="85">
        <v>1996</v>
      </c>
      <c r="BX20" s="85">
        <v>1997</v>
      </c>
      <c r="BY20" s="85">
        <v>1998</v>
      </c>
      <c r="BZ20" s="85">
        <v>1999</v>
      </c>
      <c r="CA20" s="85">
        <v>2000</v>
      </c>
      <c r="CB20" s="85">
        <v>2001</v>
      </c>
      <c r="CC20" s="85">
        <v>2002</v>
      </c>
      <c r="CD20" s="85">
        <v>2003</v>
      </c>
      <c r="CE20" s="85">
        <v>2004</v>
      </c>
      <c r="CF20" s="85">
        <v>2005</v>
      </c>
      <c r="CG20" s="85">
        <v>2006</v>
      </c>
      <c r="CH20" s="85">
        <v>2007</v>
      </c>
      <c r="CI20" s="85">
        <v>2008</v>
      </c>
      <c r="CJ20" s="85">
        <v>2009</v>
      </c>
      <c r="CK20" s="85">
        <v>2010</v>
      </c>
      <c r="CL20" s="85">
        <v>2011</v>
      </c>
    </row>
    <row r="21" spans="1:90" x14ac:dyDescent="0.35">
      <c r="A21" s="57" t="s">
        <v>0</v>
      </c>
      <c r="B21" s="97" t="s">
        <v>1</v>
      </c>
      <c r="C21" s="57" t="s">
        <v>2</v>
      </c>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row>
    <row r="22" spans="1:90" s="8" customFormat="1" ht="24" x14ac:dyDescent="0.3">
      <c r="A22" s="8" t="s">
        <v>477</v>
      </c>
      <c r="B22" s="9" t="s">
        <v>315</v>
      </c>
      <c r="C22" s="8" t="s">
        <v>450</v>
      </c>
      <c r="D22" s="161">
        <v>93341.515905947439</v>
      </c>
      <c r="E22" s="162">
        <v>97523</v>
      </c>
      <c r="F22" s="163">
        <v>104945</v>
      </c>
      <c r="G22" s="163">
        <v>109931</v>
      </c>
      <c r="H22" s="163">
        <v>116446</v>
      </c>
      <c r="I22" s="163">
        <v>120994</v>
      </c>
      <c r="J22" s="163">
        <v>114303</v>
      </c>
      <c r="K22" s="163">
        <v>108553</v>
      </c>
      <c r="L22" s="163">
        <v>104958</v>
      </c>
      <c r="M22" s="163">
        <v>102751</v>
      </c>
      <c r="N22" s="163">
        <v>100480</v>
      </c>
      <c r="O22" s="163">
        <v>97873</v>
      </c>
      <c r="P22" s="163">
        <v>100320</v>
      </c>
      <c r="Q22" s="163">
        <v>99299</v>
      </c>
      <c r="R22" s="163">
        <v>100226</v>
      </c>
      <c r="S22" s="163">
        <v>100214</v>
      </c>
      <c r="T22" s="163">
        <v>100698</v>
      </c>
      <c r="U22" s="163">
        <v>99772</v>
      </c>
      <c r="V22" s="163">
        <v>97728</v>
      </c>
      <c r="W22" s="163">
        <v>95128</v>
      </c>
      <c r="X22" s="163">
        <v>92057</v>
      </c>
      <c r="Y22" s="163">
        <v>100329</v>
      </c>
      <c r="Z22" s="163">
        <v>112194</v>
      </c>
      <c r="AA22" s="163">
        <v>125650</v>
      </c>
      <c r="AB22" s="163">
        <v>135617</v>
      </c>
      <c r="AC22" s="163">
        <v>144691</v>
      </c>
      <c r="AD22" s="163">
        <v>159325</v>
      </c>
      <c r="AE22" s="163">
        <v>169546</v>
      </c>
      <c r="AF22" s="163">
        <v>180612</v>
      </c>
      <c r="AG22" s="163">
        <v>191437</v>
      </c>
      <c r="AH22" s="163">
        <v>206388</v>
      </c>
      <c r="AI22" s="163">
        <v>225862</v>
      </c>
      <c r="AJ22" s="163">
        <v>244463</v>
      </c>
      <c r="AK22" s="163">
        <v>259613</v>
      </c>
      <c r="AL22" s="163">
        <v>275772</v>
      </c>
      <c r="AM22" s="163">
        <v>293215</v>
      </c>
      <c r="AN22" s="163">
        <v>310266</v>
      </c>
      <c r="AO22" s="163">
        <v>333992.45281330362</v>
      </c>
      <c r="AP22" s="163">
        <v>342026</v>
      </c>
      <c r="AQ22" s="163">
        <v>365551</v>
      </c>
      <c r="AR22" s="163">
        <v>395297</v>
      </c>
      <c r="AS22" s="163">
        <v>432034</v>
      </c>
      <c r="AT22" s="163">
        <v>467446</v>
      </c>
      <c r="AU22" s="163">
        <v>504865</v>
      </c>
      <c r="AV22" s="163">
        <v>561306</v>
      </c>
      <c r="AW22" s="163">
        <v>599465</v>
      </c>
    </row>
    <row r="23" spans="1:90" s="54" customFormat="1" ht="12" x14ac:dyDescent="0.3">
      <c r="A23" s="80" t="s">
        <v>476</v>
      </c>
      <c r="B23" s="80"/>
      <c r="C23" s="80" t="s">
        <v>475</v>
      </c>
      <c r="D23" s="165">
        <f t="shared" ref="D23:AW23" si="0">D22/$D$22</f>
        <v>1</v>
      </c>
      <c r="E23" s="165">
        <f t="shared" si="0"/>
        <v>1.0447976878612717</v>
      </c>
      <c r="F23" s="165">
        <f t="shared" si="0"/>
        <v>1.124312145366746</v>
      </c>
      <c r="G23" s="165">
        <f t="shared" si="0"/>
        <v>1.1777288908696149</v>
      </c>
      <c r="H23" s="165">
        <f t="shared" si="0"/>
        <v>1.2475263431261716</v>
      </c>
      <c r="I23" s="165">
        <f t="shared" si="0"/>
        <v>1.2962506428748779</v>
      </c>
      <c r="J23" s="165">
        <f t="shared" si="0"/>
        <v>1.2245676416394793</v>
      </c>
      <c r="K23" s="165">
        <f t="shared" si="0"/>
        <v>1.1629658994330017</v>
      </c>
      <c r="L23" s="165">
        <f t="shared" si="0"/>
        <v>1.124451418870865</v>
      </c>
      <c r="M23" s="165">
        <f t="shared" si="0"/>
        <v>1.1008070632100482</v>
      </c>
      <c r="N23" s="165">
        <f t="shared" si="0"/>
        <v>1.0764770533751071</v>
      </c>
      <c r="O23" s="165">
        <f t="shared" si="0"/>
        <v>1.0485473591260137</v>
      </c>
      <c r="P23" s="165">
        <f t="shared" si="0"/>
        <v>1.0747629179397966</v>
      </c>
      <c r="Q23" s="165">
        <f t="shared" si="0"/>
        <v>1.0638245911932203</v>
      </c>
      <c r="R23" s="165">
        <f t="shared" si="0"/>
        <v>1.0737558633715516</v>
      </c>
      <c r="S23" s="165">
        <f t="shared" si="0"/>
        <v>1.0736273032139032</v>
      </c>
      <c r="T23" s="165">
        <f t="shared" si="0"/>
        <v>1.0788125629057179</v>
      </c>
      <c r="U23" s="165">
        <f t="shared" si="0"/>
        <v>1.0688920040738574</v>
      </c>
      <c r="V23" s="165">
        <f t="shared" si="0"/>
        <v>1.0469939238877635</v>
      </c>
      <c r="W23" s="165">
        <f t="shared" si="0"/>
        <v>1.0191392230639649</v>
      </c>
      <c r="X23" s="165">
        <f t="shared" si="0"/>
        <v>0.98623853605247058</v>
      </c>
      <c r="Y23" s="165">
        <f t="shared" si="0"/>
        <v>1.0748593380580327</v>
      </c>
      <c r="Z23" s="165">
        <f t="shared" si="0"/>
        <v>1.2019731939327905</v>
      </c>
      <c r="AA23" s="165">
        <f t="shared" si="0"/>
        <v>1.3461319840424186</v>
      </c>
      <c r="AB23" s="165">
        <f t="shared" si="0"/>
        <v>1.4529119083158033</v>
      </c>
      <c r="AC23" s="165">
        <f t="shared" si="0"/>
        <v>1.5501248141908603</v>
      </c>
      <c r="AD23" s="165">
        <f t="shared" si="0"/>
        <v>1.7069039264429633</v>
      </c>
      <c r="AE23" s="165">
        <f t="shared" si="0"/>
        <v>1.8164050407199037</v>
      </c>
      <c r="AF23" s="165">
        <f t="shared" si="0"/>
        <v>1.9349589327645786</v>
      </c>
      <c r="AG23" s="165">
        <f t="shared" si="0"/>
        <v>2.0509309083098168</v>
      </c>
      <c r="AH23" s="165">
        <f t="shared" si="0"/>
        <v>2.2111061513931292</v>
      </c>
      <c r="AI23" s="165">
        <f t="shared" si="0"/>
        <v>2.4197378605633806</v>
      </c>
      <c r="AJ23" s="165">
        <f t="shared" si="0"/>
        <v>2.6190168182647175</v>
      </c>
      <c r="AK23" s="165">
        <f t="shared" si="0"/>
        <v>2.7813240172956979</v>
      </c>
      <c r="AL23" s="165">
        <f t="shared" si="0"/>
        <v>2.9544409829156058</v>
      </c>
      <c r="AM23" s="165">
        <f t="shared" si="0"/>
        <v>3.141313885403882</v>
      </c>
      <c r="AN23" s="165">
        <f t="shared" si="0"/>
        <v>3.3239871560756469</v>
      </c>
      <c r="AO23" s="165">
        <f t="shared" si="0"/>
        <v>3.5781768655850876</v>
      </c>
      <c r="AP23" s="165">
        <f t="shared" si="0"/>
        <v>3.6642430399848172</v>
      </c>
      <c r="AQ23" s="165">
        <f t="shared" si="0"/>
        <v>3.9162745157078405</v>
      </c>
      <c r="AR23" s="165">
        <f t="shared" si="0"/>
        <v>4.2349537198250378</v>
      </c>
      <c r="AS23" s="165">
        <f t="shared" si="0"/>
        <v>4.62852992911884</v>
      </c>
      <c r="AT23" s="165">
        <f t="shared" si="0"/>
        <v>5.0079109543389766</v>
      </c>
      <c r="AU23" s="165">
        <f t="shared" si="0"/>
        <v>5.4087936659257911</v>
      </c>
      <c r="AV23" s="165">
        <f t="shared" si="0"/>
        <v>6.0134656540781046</v>
      </c>
      <c r="AW23" s="165">
        <f t="shared" si="0"/>
        <v>6.4222762420532309</v>
      </c>
      <c r="AX23" s="165"/>
      <c r="AY23" s="165"/>
      <c r="AZ23" s="165"/>
      <c r="BA23" s="165"/>
      <c r="BB23" s="165"/>
      <c r="BC23" s="165"/>
      <c r="BD23" s="165"/>
      <c r="BE23" s="165"/>
      <c r="BF23" s="165"/>
      <c r="BG23" s="165"/>
      <c r="BH23" s="165"/>
      <c r="BI23" s="165"/>
      <c r="BJ23" s="165"/>
      <c r="BK23" s="165"/>
      <c r="BL23" s="165"/>
      <c r="BM23" s="165"/>
      <c r="BN23" s="165"/>
      <c r="BO23" s="165"/>
      <c r="BP23" s="165"/>
      <c r="BQ23" s="165"/>
      <c r="BR23" s="165"/>
      <c r="BS23" s="165"/>
      <c r="BT23" s="165"/>
      <c r="BU23" s="165"/>
      <c r="BV23" s="165"/>
      <c r="BW23" s="165"/>
      <c r="BX23" s="165"/>
      <c r="BY23" s="165"/>
      <c r="BZ23" s="165"/>
      <c r="CA23" s="165"/>
      <c r="CB23" s="165"/>
      <c r="CC23" s="165"/>
      <c r="CD23" s="165"/>
      <c r="CE23" s="165"/>
      <c r="CF23" s="165"/>
      <c r="CG23" s="165"/>
      <c r="CH23" s="165"/>
      <c r="CI23" s="165"/>
      <c r="CJ23" s="165"/>
      <c r="CK23" s="165"/>
      <c r="CL23" s="165"/>
    </row>
    <row r="24" spans="1:90" s="54" customFormat="1" ht="12" x14ac:dyDescent="0.3">
      <c r="A24" s="80" t="s">
        <v>316</v>
      </c>
      <c r="B24" s="80" t="s">
        <v>345</v>
      </c>
      <c r="C24" s="80" t="s">
        <v>317</v>
      </c>
      <c r="D24" s="165">
        <f>'Appndx 6.8.II.1'!D35/'Appndx 6.8.II.1'!$D$35</f>
        <v>1</v>
      </c>
      <c r="E24" s="165">
        <f>'Appndx 6.8.II.1'!E35/'Appndx 6.8.II.1'!$D$35</f>
        <v>1.0447976878612717</v>
      </c>
      <c r="F24" s="165">
        <f>'Appndx 6.8.II.1'!F35/'Appndx 6.8.II.1'!$D$35</f>
        <v>1.0823699421965316</v>
      </c>
      <c r="G24" s="165">
        <f>'Appndx 6.8.II.1'!G35/'Appndx 6.8.II.1'!$D$35</f>
        <v>1.121387283236994</v>
      </c>
      <c r="H24" s="165">
        <f>'Appndx 6.8.II.1'!H35/'Appndx 6.8.II.1'!$D$35</f>
        <v>1.1690751445086704</v>
      </c>
      <c r="I24" s="165">
        <f>'Appndx 6.8.II.1'!I35/'Appndx 6.8.II.1'!$D$35</f>
        <v>1.1965317919075145</v>
      </c>
      <c r="J24" s="165">
        <f>'Appndx 6.8.II.1'!J35/'Appndx 6.8.II.1'!$D$35</f>
        <v>1.1907514450867049</v>
      </c>
      <c r="K24" s="165">
        <f>'Appndx 6.8.II.1'!K35/'Appndx 6.8.II.1'!$D$35</f>
        <v>1.1647398843930634</v>
      </c>
      <c r="L24" s="165">
        <f>'Appndx 6.8.II.1'!L35/'Appndx 6.8.II.1'!$D$35</f>
        <v>1.1387283236994219</v>
      </c>
      <c r="M24" s="165">
        <f>'Appndx 6.8.II.1'!M35/'Appndx 6.8.II.1'!$D$35</f>
        <v>1.121387283236994</v>
      </c>
      <c r="N24" s="165">
        <f>'Appndx 6.8.II.1'!N35/'Appndx 6.8.II.1'!$D$35</f>
        <v>1.1127167630057804</v>
      </c>
      <c r="O24" s="165">
        <f>'Appndx 6.8.II.1'!O35/'Appndx 6.8.II.1'!$D$35</f>
        <v>1.1170520231213872</v>
      </c>
      <c r="P24" s="165">
        <f>'Appndx 6.8.II.1'!P35/'Appndx 6.8.II.1'!$D$35</f>
        <v>1.1372832369942196</v>
      </c>
      <c r="Q24" s="165">
        <f>'Appndx 6.8.II.1'!Q35/'Appndx 6.8.II.1'!$D$35</f>
        <v>1.1387283236994219</v>
      </c>
      <c r="R24" s="165">
        <f>'Appndx 6.8.II.1'!R35/'Appndx 6.8.II.1'!$D$35</f>
        <v>1.1445086705202312</v>
      </c>
      <c r="S24" s="165">
        <f>'Appndx 6.8.II.1'!S35/'Appndx 6.8.II.1'!$D$35</f>
        <v>1.1661849710982659</v>
      </c>
      <c r="T24" s="165">
        <f>'Appndx 6.8.II.1'!T35/'Appndx 6.8.II.1'!$D$35</f>
        <v>1.2023121387283238</v>
      </c>
      <c r="U24" s="165">
        <f>'Appndx 6.8.II.1'!U35/'Appndx 6.8.II.1'!$D$35</f>
        <v>1.2138728323699421</v>
      </c>
      <c r="V24" s="165">
        <f>'Appndx 6.8.II.1'!V35/'Appndx 6.8.II.1'!$D$35</f>
        <v>1.2153179190751444</v>
      </c>
      <c r="W24" s="165">
        <f>'Appndx 6.8.II.1'!W35/'Appndx 6.8.II.1'!$D$35</f>
        <v>1.2341040462427744</v>
      </c>
      <c r="X24" s="165">
        <f>'Appndx 6.8.II.1'!X35/'Appndx 6.8.II.1'!$D$35</f>
        <v>1.2832369942196531</v>
      </c>
      <c r="Y24" s="165">
        <f>'Appndx 6.8.II.1'!Y35/'Appndx 6.8.II.1'!$D$35</f>
        <v>1.3815028901734103</v>
      </c>
      <c r="Z24" s="165">
        <f>'Appndx 6.8.II.1'!Z35/'Appndx 6.8.II.1'!$D$35</f>
        <v>1.5216763005780345</v>
      </c>
      <c r="AA24" s="165">
        <f>'Appndx 6.8.II.1'!AA35/'Appndx 6.8.II.1'!$D$35</f>
        <v>1.6791907514450868</v>
      </c>
      <c r="AB24" s="165">
        <f>'Appndx 6.8.II.1'!AB35/'Appndx 6.8.II.1'!$D$35</f>
        <v>1.8020231213872833</v>
      </c>
      <c r="AC24" s="165">
        <f>'Appndx 6.8.II.1'!AC35/'Appndx 6.8.II.1'!$D$35</f>
        <v>1.9364161849710981</v>
      </c>
      <c r="AD24" s="165">
        <f>'Appndx 6.8.II.1'!AD35/'Appndx 6.8.II.1'!$D$35</f>
        <v>2.1156069364161851</v>
      </c>
      <c r="AE24" s="165">
        <f>'Appndx 6.8.II.1'!AE35/'Appndx 6.8.II.1'!$D$35</f>
        <v>2.297687861271676</v>
      </c>
      <c r="AF24" s="165">
        <f>'Appndx 6.8.II.1'!AF35/'Appndx 6.8.II.1'!$D$35</f>
        <v>2.495664739884393</v>
      </c>
      <c r="AG24" s="165">
        <f>'Appndx 6.8.II.1'!AG35/'Appndx 6.8.II.1'!$D$35</f>
        <v>2.6690751445086702</v>
      </c>
      <c r="AH24" s="165">
        <f>'Appndx 6.8.II.1'!AH35/'Appndx 6.8.II.1'!$D$35</f>
        <v>2.8656069364161847</v>
      </c>
      <c r="AI24" s="165">
        <f>'Appndx 6.8.II.1'!AI35/'Appndx 6.8.II.1'!$D$35</f>
        <v>3.1257225433526008</v>
      </c>
      <c r="AJ24" s="165">
        <f>'Appndx 6.8.II.1'!AJ35/'Appndx 6.8.II.1'!$D$35</f>
        <v>3.4060693641618496</v>
      </c>
      <c r="AK24" s="165">
        <f>'Appndx 6.8.II.1'!AK35/'Appndx 6.8.II.1'!$D$35</f>
        <v>3.5968208092485545</v>
      </c>
      <c r="AL24" s="165">
        <f>'Appndx 6.8.II.1'!AL35/'Appndx 6.8.II.1'!$D$35</f>
        <v>3.8121387283236987</v>
      </c>
      <c r="AM24" s="165">
        <f>'Appndx 6.8.II.1'!AM35/'Appndx 6.8.II.1'!$D$35</f>
        <v>4.0592485549132942</v>
      </c>
      <c r="AN24" s="165">
        <f>'Appndx 6.8.II.1'!AN35/'Appndx 6.8.II.1'!$D$35</f>
        <v>4.2846820809248554</v>
      </c>
      <c r="AO24" s="165">
        <f>'Appndx 6.8.II.1'!AO35/'Appndx 6.8.II.1'!$D$35</f>
        <v>4.5375722543352603</v>
      </c>
      <c r="AP24" s="165">
        <f>'Appndx 6.8.II.1'!AP35/'Appndx 6.8.II.1'!$D$35</f>
        <v>4.800578034682081</v>
      </c>
      <c r="AQ24" s="165">
        <f>'Appndx 6.8.II.1'!AQ35/'Appndx 6.8.II.1'!$D$35</f>
        <v>5.1228323699421967</v>
      </c>
      <c r="AR24" s="165">
        <f>'Appndx 6.8.II.1'!AR35/'Appndx 6.8.II.1'!$D$35</f>
        <v>5.5433526011560694</v>
      </c>
      <c r="AS24" s="165">
        <f>'Appndx 6.8.II.1'!AS35/'Appndx 6.8.II.1'!$D$35</f>
        <v>6.050578034682081</v>
      </c>
      <c r="AT24" s="165">
        <f>'Appndx 6.8.II.1'!AT35/'Appndx 6.8.II.1'!$D$35</f>
        <v>6.5332369942196529</v>
      </c>
      <c r="AU24" s="165">
        <f>'Appndx 6.8.II.1'!AU35/'Appndx 6.8.II.1'!$D$35</f>
        <v>7.0621387283237</v>
      </c>
      <c r="AV24" s="165">
        <f>'Appndx 6.8.II.1'!AV35/'Appndx 6.8.II.1'!$D$35</f>
        <v>7.6618497109826595</v>
      </c>
      <c r="AW24" s="165">
        <f>'Appndx 6.8.II.1'!AW35/'Appndx 6.8.II.1'!$D$35</f>
        <v>8.24421965317919</v>
      </c>
      <c r="AX24" s="165">
        <f>'Appndx 6.8.II.1'!AX35/'Appndx 6.8.II.1'!$D$35</f>
        <v>8.8265895953757223</v>
      </c>
      <c r="AY24" s="165">
        <f>'Appndx 6.8.II.1'!AY35/'Appndx 6.8.II.1'!$D$35</f>
        <v>9.518786127167628</v>
      </c>
      <c r="AZ24" s="165">
        <f>'Appndx 6.8.II.1'!AZ35/'Appndx 6.8.II.1'!$D$35</f>
        <v>10.40028901734104</v>
      </c>
      <c r="BA24" s="165">
        <f>'Appndx 6.8.II.1'!BA35/'Appndx 6.8.II.1'!$D$35</f>
        <v>11.433526011560692</v>
      </c>
      <c r="BB24" s="165">
        <f>'Appndx 6.8.II.1'!BB35/'Appndx 6.8.II.1'!$D$35</f>
        <v>12.420520231213871</v>
      </c>
      <c r="BC24" s="165">
        <f>'Appndx 6.8.II.1'!BC35/'Appndx 6.8.II.1'!$D$35</f>
        <v>13.521676300578031</v>
      </c>
      <c r="BD24" s="165">
        <f>'Appndx 6.8.II.1'!BD35/'Appndx 6.8.II.1'!$D$35</f>
        <v>14.911849710982656</v>
      </c>
      <c r="BE24" s="165">
        <f>'Appndx 6.8.II.1'!BE35/'Appndx 6.8.II.1'!$D$35</f>
        <v>16.73121387283237</v>
      </c>
      <c r="BF24" s="165">
        <f>'Appndx 6.8.II.1'!BF35/'Appndx 6.8.II.1'!$D$35</f>
        <v>18.952312138728324</v>
      </c>
      <c r="BG24" s="165">
        <f>'Appndx 6.8.II.1'!BG35/'Appndx 6.8.II.1'!$D$35</f>
        <v>21.323699421965316</v>
      </c>
      <c r="BH24" s="165">
        <f>'Appndx 6.8.II.1'!BH35/'Appndx 6.8.II.1'!$D$35</f>
        <v>24.037572254335256</v>
      </c>
      <c r="BI24" s="165">
        <f>'Appndx 6.8.II.1'!BI35/'Appndx 6.8.II.1'!$D$35</f>
        <v>26.527456647398839</v>
      </c>
      <c r="BJ24" s="165">
        <f>'Appndx 6.8.II.1'!BJ35/'Appndx 6.8.II.1'!$D$35</f>
        <v>28.73410404624277</v>
      </c>
      <c r="BK24" s="165">
        <f>'Appndx 6.8.II.1'!BK35/'Appndx 6.8.II.1'!$D$35</f>
        <v>31.547687861271672</v>
      </c>
      <c r="BL24" s="165">
        <f>'Appndx 6.8.II.1'!BL35/'Appndx 6.8.II.1'!$D$35</f>
        <v>34.46531791907514</v>
      </c>
      <c r="BM24" s="165">
        <f>'Appndx 6.8.II.1'!BM35/'Appndx 6.8.II.1'!$D$35</f>
        <v>36.963872832369944</v>
      </c>
      <c r="BN24" s="165">
        <f>'Appndx 6.8.II.1'!BN35/'Appndx 6.8.II.1'!$D$35</f>
        <v>39.218208092485547</v>
      </c>
      <c r="BO24" s="165">
        <f>'Appndx 6.8.II.1'!BO35/'Appndx 6.8.II.1'!$D$35</f>
        <v>41.656069364161844</v>
      </c>
      <c r="BP24" s="165">
        <f>'Appndx 6.8.II.1'!BP35/'Appndx 6.8.II.1'!$D$35</f>
        <v>44.375722543352595</v>
      </c>
      <c r="BQ24" s="165">
        <f>'Appndx 6.8.II.1'!BQ35/'Appndx 6.8.II.1'!$D$35</f>
        <v>47.258670520231206</v>
      </c>
      <c r="BR24" s="165">
        <f>'Appndx 6.8.II.1'!BR35/'Appndx 6.8.II.1'!$D$35</f>
        <v>49.612716763005778</v>
      </c>
      <c r="BS24" s="165">
        <f>'Appndx 6.8.II.1'!BS35/'Appndx 6.8.II.1'!$D$35</f>
        <v>51.932080924855484</v>
      </c>
      <c r="BT24" s="165">
        <f>'Appndx 6.8.II.1'!BT35/'Appndx 6.8.II.1'!$D$35</f>
        <v>54.695086705202307</v>
      </c>
      <c r="BU24" s="165">
        <f>'Appndx 6.8.II.1'!BU35/'Appndx 6.8.II.1'!$D$35</f>
        <v>57.897398843930624</v>
      </c>
      <c r="BV24" s="165">
        <f>'Appndx 6.8.II.1'!BV35/'Appndx 6.8.II.1'!$D$35</f>
        <v>61.741329479768773</v>
      </c>
      <c r="BW24" s="165">
        <f>'Appndx 6.8.II.1'!BW35/'Appndx 6.8.II.1'!$D$35</f>
        <v>65.96387283236993</v>
      </c>
      <c r="BX24" s="165">
        <f>'Appndx 6.8.II.1'!BX35/'Appndx 6.8.II.1'!$D$35</f>
        <v>70.553468208092468</v>
      </c>
      <c r="BY24" s="165">
        <f>'Appndx 6.8.II.1'!BY35/'Appndx 6.8.II.1'!$D$35</f>
        <v>75.528901734104039</v>
      </c>
      <c r="BZ24" s="165">
        <f>'Appndx 6.8.II.1'!BZ35/'Appndx 6.8.II.1'!$D$35</f>
        <v>80.890173410404614</v>
      </c>
      <c r="CA24" s="165">
        <f>'Appndx 6.8.II.1'!CA35/'Appndx 6.8.II.1'!$D$35</f>
        <v>86.820809248554895</v>
      </c>
      <c r="CB24" s="165">
        <f>'Appndx 6.8.II.1'!CB35/'Appndx 6.8.II.1'!$D$35</f>
        <v>91.488439306358359</v>
      </c>
      <c r="CC24" s="165">
        <f>'Appndx 6.8.II.1'!CC35/'Appndx 6.8.II.1'!$D$35</f>
        <v>94.281791907514432</v>
      </c>
      <c r="CD24" s="165">
        <f>'Appndx 6.8.II.1'!CD35/'Appndx 6.8.II.1'!$D$35</f>
        <v>96.950867052023099</v>
      </c>
      <c r="CE24" s="165">
        <f>'Appndx 6.8.II.1'!CE35/'Appndx 6.8.II.1'!$D$35</f>
        <v>100.30491329479767</v>
      </c>
      <c r="CF24" s="165">
        <f>'Appndx 6.8.II.1'!CF35/'Appndx 6.8.II.1'!$D$35</f>
        <v>104.79624277456647</v>
      </c>
      <c r="CG24" s="165">
        <f>'Appndx 6.8.II.1'!CG35/'Appndx 6.8.II.1'!$D$35</f>
        <v>110.63872832369941</v>
      </c>
      <c r="CH24" s="165">
        <f>'Appndx 6.8.II.1'!CH35/'Appndx 6.8.II.1'!$D$35</f>
        <v>117.33526011560693</v>
      </c>
      <c r="CI24" s="165">
        <f>'Appndx 6.8.II.1'!CI35/'Appndx 6.8.II.1'!$D$35</f>
        <v>123.73988439306356</v>
      </c>
      <c r="CJ24" s="165">
        <f>'Appndx 6.8.II.1'!CJ35/'Appndx 6.8.II.1'!$D$35</f>
        <v>126.12572254335259</v>
      </c>
      <c r="CK24" s="165">
        <f>'Appndx 6.8.II.1'!CK35/'Appndx 6.8.II.1'!$D$35</f>
        <v>128.65751445086704</v>
      </c>
      <c r="CL24" s="165">
        <f>'Appndx 6.8.II.1'!CL35/'Appndx 6.8.II.1'!$D$35</f>
        <v>132.61416184971097</v>
      </c>
    </row>
    <row r="25" spans="1:90" s="16" customFormat="1" ht="7.25" customHeight="1" x14ac:dyDescent="0.35"/>
    <row r="26" spans="1:90" x14ac:dyDescent="0.35">
      <c r="A26" s="54" t="s">
        <v>318</v>
      </c>
      <c r="B26" s="80" t="s">
        <v>362</v>
      </c>
      <c r="C26" s="54" t="s">
        <v>319</v>
      </c>
      <c r="D26" s="211">
        <f>'Appndx 6.8.II.1'!D19*D23</f>
        <v>98.1</v>
      </c>
      <c r="E26" s="164">
        <f>$D$26*E23</f>
        <v>102.49465317919075</v>
      </c>
      <c r="F26" s="164">
        <f t="shared" ref="F26:R26" si="1">$D$26*F23</f>
        <v>110.29502146047777</v>
      </c>
      <c r="G26" s="164">
        <f t="shared" si="1"/>
        <v>115.53520419430922</v>
      </c>
      <c r="H26" s="164">
        <f t="shared" si="1"/>
        <v>122.38233426067742</v>
      </c>
      <c r="I26" s="164">
        <f t="shared" si="1"/>
        <v>127.16218806602552</v>
      </c>
      <c r="J26" s="164">
        <f t="shared" si="1"/>
        <v>120.13008564483292</v>
      </c>
      <c r="K26" s="164">
        <f t="shared" si="1"/>
        <v>114.08695473437746</v>
      </c>
      <c r="L26" s="164">
        <f t="shared" si="1"/>
        <v>110.30868419123185</v>
      </c>
      <c r="M26" s="164">
        <f t="shared" si="1"/>
        <v>107.98917290090571</v>
      </c>
      <c r="N26" s="164">
        <f t="shared" si="1"/>
        <v>105.602398936098</v>
      </c>
      <c r="O26" s="164">
        <f t="shared" si="1"/>
        <v>102.86249593026194</v>
      </c>
      <c r="P26" s="164">
        <f t="shared" si="1"/>
        <v>105.43424224989404</v>
      </c>
      <c r="Q26" s="164">
        <f t="shared" si="1"/>
        <v>104.3611923960549</v>
      </c>
      <c r="R26" s="164">
        <f t="shared" si="1"/>
        <v>105.33545019674921</v>
      </c>
      <c r="S26" s="164">
        <f>$D$26*S23</f>
        <v>105.32283844528389</v>
      </c>
      <c r="T26" s="164">
        <f t="shared" ref="T26:Z26" si="2">$D$26*T23</f>
        <v>105.83151242105092</v>
      </c>
      <c r="U26" s="164">
        <f t="shared" si="2"/>
        <v>104.8583055996454</v>
      </c>
      <c r="V26" s="164">
        <f t="shared" si="2"/>
        <v>102.71010393338959</v>
      </c>
      <c r="W26" s="164">
        <f t="shared" si="2"/>
        <v>99.977557782574948</v>
      </c>
      <c r="X26" s="164">
        <f t="shared" si="2"/>
        <v>96.750000386747359</v>
      </c>
      <c r="Y26" s="164">
        <f t="shared" si="2"/>
        <v>105.44370106349299</v>
      </c>
      <c r="Z26" s="164">
        <f t="shared" si="2"/>
        <v>117.91357032480674</v>
      </c>
      <c r="AA26" s="164">
        <f>'Appndx 6.8.II.3'!AA35+(1-'Appndx 6.8.II.3'!AA33)*('Appndx 6.8.II.3'!AA34/'Appndx 6.8.II.3'!Z34)*'Appndx 6.8.II.4'!Z26</f>
        <v>132.67907278178319</v>
      </c>
      <c r="AB26" s="164">
        <f>'Appndx 6.8.II.3'!AB35+(1-'Appndx 6.8.II.3'!AB33)*('Appndx 6.8.II.3'!AB34/'Appndx 6.8.II.3'!AA34)*'Appndx 6.8.II.4'!AA26</f>
        <v>138.24071474080273</v>
      </c>
      <c r="AC26" s="164">
        <f>'Appndx 6.8.II.3'!AC35+(1-'Appndx 6.8.II.3'!AC33)*('Appndx 6.8.II.3'!AC34/'Appndx 6.8.II.3'!AB34)*'Appndx 6.8.II.4'!AB26</f>
        <v>157.62852529401968</v>
      </c>
      <c r="AD26" s="164">
        <f>'Appndx 6.8.II.3'!AD35+(1-'Appndx 6.8.II.3'!AD33)*('Appndx 6.8.II.3'!AD34/'Appndx 6.8.II.3'!AC34)*'Appndx 6.8.II.4'!AC26</f>
        <v>174.52509508108457</v>
      </c>
      <c r="AE26" s="164">
        <f>'Appndx 6.8.II.3'!AE35+(1-'Appndx 6.8.II.3'!AE33)*('Appndx 6.8.II.3'!AE34/'Appndx 6.8.II.3'!AD34)*'Appndx 6.8.II.4'!AD26</f>
        <v>187.64700544747379</v>
      </c>
      <c r="AF26" s="164">
        <f>'Appndx 6.8.II.3'!AF35+(1-'Appndx 6.8.II.3'!AF33)*('Appndx 6.8.II.3'!AF34/'Appndx 6.8.II.3'!AE34)*'Appndx 6.8.II.4'!AE26</f>
        <v>200.04818180776377</v>
      </c>
      <c r="AG26" s="164">
        <f>'Appndx 6.8.II.3'!AG35+(1-'Appndx 6.8.II.3'!AG33)*('Appndx 6.8.II.3'!AG34/'Appndx 6.8.II.3'!AF34)*'Appndx 6.8.II.4'!AF26</f>
        <v>208.42453588578124</v>
      </c>
      <c r="AH26" s="164">
        <f>'Appndx 6.8.II.3'!AH35+(1-'Appndx 6.8.II.3'!AH33)*('Appndx 6.8.II.3'!AH34/'Appndx 6.8.II.3'!AG34)*'Appndx 6.8.II.4'!AG26</f>
        <v>231.63074619955412</v>
      </c>
      <c r="AI26" s="164">
        <f>'Appndx 6.8.II.3'!AI35+(1-'Appndx 6.8.II.3'!AI33)*('Appndx 6.8.II.3'!AI34/'Appndx 6.8.II.3'!AH34)*'Appndx 6.8.II.4'!AH26</f>
        <v>260.07606302145717</v>
      </c>
      <c r="AJ26" s="164">
        <f>'Appndx 6.8.II.3'!AJ35+(1-'Appndx 6.8.II.3'!AJ33)*('Appndx 6.8.II.3'!AJ34/'Appndx 6.8.II.3'!AI34)*'Appndx 6.8.II.4'!AI26</f>
        <v>282.14941459357283</v>
      </c>
      <c r="AK26" s="164">
        <f>'Appndx 6.8.II.3'!AK35+(1-'Appndx 6.8.II.3'!AK33)*('Appndx 6.8.II.3'!AK34/'Appndx 6.8.II.3'!AJ34)*'Appndx 6.8.II.4'!AJ26</f>
        <v>289.69138846883925</v>
      </c>
      <c r="AL26" s="164">
        <f>'Appndx 6.8.II.3'!AL35+(1-'Appndx 6.8.II.3'!AL33)*('Appndx 6.8.II.3'!AL34/'Appndx 6.8.II.3'!AK34)*'Appndx 6.8.II.4'!AK26</f>
        <v>304.42983749353493</v>
      </c>
      <c r="AM26" s="164">
        <f>'Appndx 6.8.II.3'!AM35+(1-'Appndx 6.8.II.3'!AM33)*('Appndx 6.8.II.3'!AM34/'Appndx 6.8.II.3'!AL34)*'Appndx 6.8.II.4'!AL26</f>
        <v>312.61014025750876</v>
      </c>
      <c r="AN26" s="164">
        <f>'Appndx 6.8.II.3'!AN35+(1-'Appndx 6.8.II.3'!AN33)*('Appndx 6.8.II.3'!AN34/'Appndx 6.8.II.3'!AM34)*'Appndx 6.8.II.4'!AM26</f>
        <v>321.91754648723742</v>
      </c>
      <c r="AO26" s="164">
        <f>'Appndx 6.8.II.3'!AO35+(1-'Appndx 6.8.II.3'!AO33)*('Appndx 6.8.II.3'!AO34/'Appndx 6.8.II.3'!AN34)*'Appndx 6.8.II.4'!AN26</f>
        <v>334.3294258339792</v>
      </c>
      <c r="AP26" s="164">
        <f>'Appndx 6.8.II.3'!AP35+(1-'Appndx 6.8.II.3'!AP33)*('Appndx 6.8.II.3'!AP34/'Appndx 6.8.II.3'!AO34)*'Appndx 6.8.II.4'!AO26</f>
        <v>347.33377668321032</v>
      </c>
      <c r="AQ26" s="164">
        <f>'Appndx 6.8.II.3'!AQ35+(1-'Appndx 6.8.II.3'!AQ33)*('Appndx 6.8.II.3'!AQ34/'Appndx 6.8.II.3'!AP34)*'Appndx 6.8.II.4'!AP26</f>
        <v>369.78113910653252</v>
      </c>
      <c r="AR26" s="164">
        <f>'Appndx 6.8.II.3'!AR35+(1-'Appndx 6.8.II.3'!AR33)*('Appndx 6.8.II.3'!AR34/'Appndx 6.8.II.3'!AQ34)*'Appndx 6.8.II.4'!AQ26</f>
        <v>400.00937119067601</v>
      </c>
      <c r="AS26" s="164">
        <f>'Appndx 6.8.II.3'!AS35+(1-'Appndx 6.8.II.3'!AS33)*('Appndx 6.8.II.3'!AS34/'Appndx 6.8.II.3'!AR34)*'Appndx 6.8.II.4'!AR26</f>
        <v>441.06170689862415</v>
      </c>
      <c r="AT26" s="164">
        <f>'Appndx 6.8.II.3'!AT35+(1-'Appndx 6.8.II.3'!AT33)*('Appndx 6.8.II.3'!AT34/'Appndx 6.8.II.3'!AS34)*'Appndx 6.8.II.4'!AS26</f>
        <v>482.69379367733995</v>
      </c>
      <c r="AU26" s="164">
        <f>'Appndx 6.8.II.3'!AU35+(1-'Appndx 6.8.II.3'!AU33)*('Appndx 6.8.II.3'!AU34/'Appndx 6.8.II.3'!AT34)*'Appndx 6.8.II.4'!AT26</f>
        <v>535.76699983662047</v>
      </c>
      <c r="AV26" s="164">
        <f>'Appndx 6.8.II.3'!AV35+(1-'Appndx 6.8.II.3'!AV33)*('Appndx 6.8.II.3'!AV34/'Appndx 6.8.II.3'!AU34)*'Appndx 6.8.II.4'!AU26</f>
        <v>595.41115873932233</v>
      </c>
      <c r="AW26" s="164">
        <f>'Appndx 6.8.II.3'!AW35+(1-'Appndx 6.8.II.3'!AW33)*('Appndx 6.8.II.3'!AW34/'Appndx 6.8.II.3'!AV34)*'Appndx 6.8.II.4'!AV26</f>
        <v>660.00821945537518</v>
      </c>
      <c r="AX26" s="164">
        <f>'Appndx 6.8.II.3'!AX35+(1-'Appndx 6.8.II.3'!AX33)*('Appndx 6.8.II.3'!AX34/'Appndx 6.8.II.3'!AW34)*'Appndx 6.8.II.4'!AW26</f>
        <v>728.05619002327967</v>
      </c>
      <c r="AY26" s="164">
        <f>'Appndx 6.8.II.3'!AY35+(1-'Appndx 6.8.II.3'!AY33)*('Appndx 6.8.II.3'!AY34/'Appndx 6.8.II.3'!AX34)*'Appndx 6.8.II.4'!AX26</f>
        <v>795.58064630738829</v>
      </c>
      <c r="AZ26" s="164">
        <f>'Appndx 6.8.II.3'!AZ35+(1-'Appndx 6.8.II.3'!AZ33)*('Appndx 6.8.II.3'!AZ34/'Appndx 6.8.II.3'!AY34)*'Appndx 6.8.II.4'!AY26</f>
        <v>905.14709324220428</v>
      </c>
      <c r="BA26" s="164">
        <f>'Appndx 6.8.II.3'!BA35+(1-'Appndx 6.8.II.3'!BA33)*('Appndx 6.8.II.3'!BA34/'Appndx 6.8.II.3'!AZ34)*'Appndx 6.8.II.4'!AZ26</f>
        <v>1112.9671421330527</v>
      </c>
      <c r="BB26" s="164">
        <f>'Appndx 6.8.II.3'!BB35+(1-'Appndx 6.8.II.3'!BB33)*('Appndx 6.8.II.3'!BB34/'Appndx 6.8.II.3'!BA34)*'Appndx 6.8.II.4'!BA26</f>
        <v>1239.9425982142625</v>
      </c>
      <c r="BC26" s="164">
        <f>'Appndx 6.8.II.3'!BC35+(1-'Appndx 6.8.II.3'!BC33)*('Appndx 6.8.II.3'!BC34/'Appndx 6.8.II.3'!BB34)*'Appndx 6.8.II.4'!BB26</f>
        <v>1365.5208029982416</v>
      </c>
      <c r="BD26" s="164">
        <f>'Appndx 6.8.II.3'!BD35+(1-'Appndx 6.8.II.3'!BD33)*('Appndx 6.8.II.3'!BD34/'Appndx 6.8.II.3'!BC34)*'Appndx 6.8.II.4'!BC26</f>
        <v>1524.5716049491909</v>
      </c>
      <c r="BE26" s="164">
        <f>'Appndx 6.8.II.3'!BE35+(1-'Appndx 6.8.II.3'!BE33)*('Appndx 6.8.II.3'!BE34/'Appndx 6.8.II.3'!BD34)*'Appndx 6.8.II.4'!BD26</f>
        <v>1739.3585072042213</v>
      </c>
      <c r="BF26" s="164">
        <f>'Appndx 6.8.II.3'!BF35+(1-'Appndx 6.8.II.3'!BF33)*('Appndx 6.8.II.3'!BF34/'Appndx 6.8.II.3'!BE34)*'Appndx 6.8.II.4'!BE26</f>
        <v>2010.4741415297087</v>
      </c>
      <c r="BG26" s="164">
        <f>'Appndx 6.8.II.3'!BG35+(1-'Appndx 6.8.II.3'!BG33)*('Appndx 6.8.II.3'!BG34/'Appndx 6.8.II.3'!BF34)*'Appndx 6.8.II.4'!BF26</f>
        <v>2318.0229600561483</v>
      </c>
      <c r="BH26" s="164">
        <f>'Appndx 6.8.II.3'!BH35+(1-'Appndx 6.8.II.3'!BH33)*('Appndx 6.8.II.3'!BH34/'Appndx 6.8.II.3'!BG34)*'Appndx 6.8.II.4'!BG26</f>
        <v>2626.4198746206644</v>
      </c>
      <c r="BI26" s="164">
        <f>'Appndx 6.8.II.3'!BI35+(1-'Appndx 6.8.II.3'!BI33)*('Appndx 6.8.II.3'!BI34/'Appndx 6.8.II.3'!BH34)*'Appndx 6.8.II.4'!BH26</f>
        <v>2790.5906393417913</v>
      </c>
      <c r="BJ26" s="164">
        <f>'Appndx 6.8.II.3'!BJ35+(1-'Appndx 6.8.II.3'!BJ33)*('Appndx 6.8.II.3'!BJ34/'Appndx 6.8.II.3'!BI34)*'Appndx 6.8.II.4'!BI26</f>
        <v>2873.7902804724745</v>
      </c>
      <c r="BK26" s="164">
        <f>'Appndx 6.8.II.3'!BK35+(1-'Appndx 6.8.II.3'!BK33)*('Appndx 6.8.II.3'!BK34/'Appndx 6.8.II.3'!BJ34)*'Appndx 6.8.II.4'!BJ26</f>
        <v>3050.9877977155857</v>
      </c>
      <c r="BL26" s="164">
        <f>'Appndx 6.8.II.3'!BL35+(1-'Appndx 6.8.II.3'!BL33)*('Appndx 6.8.II.3'!BL34/'Appndx 6.8.II.3'!BK34)*'Appndx 6.8.II.4'!BK26</f>
        <v>3229.8052230851918</v>
      </c>
      <c r="BM26" s="164">
        <f>'Appndx 6.8.II.3'!BM35+(1-'Appndx 6.8.II.3'!BM33)*('Appndx 6.8.II.3'!BM34/'Appndx 6.8.II.3'!BL34)*'Appndx 6.8.II.4'!BL26</f>
        <v>3381.6988677770983</v>
      </c>
      <c r="BN26" s="164">
        <f>'Appndx 6.8.II.3'!BN35+(1-'Appndx 6.8.II.3'!BN33)*('Appndx 6.8.II.3'!BN34/'Appndx 6.8.II.3'!BM34)*'Appndx 6.8.II.4'!BM26</f>
        <v>3562.3677517358155</v>
      </c>
      <c r="BO26" s="164">
        <f>'Appndx 6.8.II.3'!BO35+(1-'Appndx 6.8.II.3'!BO33)*('Appndx 6.8.II.3'!BO34/'Appndx 6.8.II.3'!BN34)*'Appndx 6.8.II.4'!BN26</f>
        <v>3794.1345024126667</v>
      </c>
      <c r="BP26" s="164">
        <f>'Appndx 6.8.II.3'!BP35+(1-'Appndx 6.8.II.3'!BP33)*('Appndx 6.8.II.3'!BP34/'Appndx 6.8.II.3'!BO34)*'Appndx 6.8.II.4'!BO26</f>
        <v>4026.0676280906564</v>
      </c>
      <c r="BQ26" s="164">
        <f>'Appndx 6.8.II.3'!BQ35+(1-'Appndx 6.8.II.3'!BQ33)*('Appndx 6.8.II.3'!BQ34/'Appndx 6.8.II.3'!BP34)*'Appndx 6.8.II.4'!BP26</f>
        <v>4267.4521716629888</v>
      </c>
      <c r="BR26" s="164">
        <f>'Appndx 6.8.II.3'!BR35+(1-'Appndx 6.8.II.3'!BR33)*('Appndx 6.8.II.3'!BR34/'Appndx 6.8.II.3'!BQ34)*'Appndx 6.8.II.4'!BQ26</f>
        <v>4378.8663961355569</v>
      </c>
      <c r="BS26" s="164">
        <f>'Appndx 6.8.II.3'!BS35+(1-'Appndx 6.8.II.3'!BS33)*('Appndx 6.8.II.3'!BS34/'Appndx 6.8.II.3'!BR34)*'Appndx 6.8.II.4'!BR26</f>
        <v>4537.0401821829146</v>
      </c>
      <c r="BT26" s="164">
        <f>'Appndx 6.8.II.3'!BT35+(1-'Appndx 6.8.II.3'!BT33)*('Appndx 6.8.II.3'!BT34/'Appndx 6.8.II.3'!BS34)*'Appndx 6.8.II.4'!BS26</f>
        <v>4762.9249859223992</v>
      </c>
      <c r="BU26" s="164">
        <f>'Appndx 6.8.II.3'!BU35+(1-'Appndx 6.8.II.3'!BU33)*('Appndx 6.8.II.3'!BU34/'Appndx 6.8.II.3'!BT34)*'Appndx 6.8.II.4'!BT26</f>
        <v>5041.6638391832839</v>
      </c>
      <c r="BV26" s="164">
        <f>'Appndx 6.8.II.3'!BV35+(1-'Appndx 6.8.II.3'!BV33)*('Appndx 6.8.II.3'!BV34/'Appndx 6.8.II.3'!BU34)*'Appndx 6.8.II.4'!BU26</f>
        <v>5354.3806789586542</v>
      </c>
      <c r="BW26" s="164">
        <f>'Appndx 6.8.II.3'!BW35+(1-'Appndx 6.8.II.3'!BW33)*('Appndx 6.8.II.3'!BW34/'Appndx 6.8.II.3'!BV34)*'Appndx 6.8.II.4'!BV26</f>
        <v>5659.9981613226983</v>
      </c>
      <c r="BX26" s="164">
        <f>'Appndx 6.8.II.3'!BX35+(1-'Appndx 6.8.II.3'!BX33)*('Appndx 6.8.II.3'!BX34/'Appndx 6.8.II.3'!BW34)*'Appndx 6.8.II.4'!BW26</f>
        <v>6012.7765208029887</v>
      </c>
      <c r="BY26" s="164">
        <f>'Appndx 6.8.II.3'!BY35+(1-'Appndx 6.8.II.3'!BY33)*('Appndx 6.8.II.3'!BY34/'Appndx 6.8.II.3'!BX34)*'Appndx 6.8.II.4'!BX26</f>
        <v>6394.7796335177609</v>
      </c>
      <c r="BZ26" s="164">
        <f>'Appndx 6.8.II.3'!BZ35+(1-'Appndx 6.8.II.3'!BZ33)*('Appndx 6.8.II.3'!BZ34/'Appndx 6.8.II.3'!BY34)*'Appndx 6.8.II.4'!BY26</f>
        <v>6822.5090215838563</v>
      </c>
      <c r="CA26" s="164">
        <f>'Appndx 6.8.II.3'!CA35+(1-'Appndx 6.8.II.3'!CA33)*('Appndx 6.8.II.3'!CA34/'Appndx 6.8.II.3'!BZ34)*'Appndx 6.8.II.4'!BZ26</f>
        <v>7360.045670242368</v>
      </c>
      <c r="CB26" s="164">
        <f>'Appndx 6.8.II.3'!CB35+(1-'Appndx 6.8.II.3'!CB33)*('Appndx 6.8.II.3'!CB34/'Appndx 6.8.II.3'!CA34)*'Appndx 6.8.II.4'!CA26</f>
        <v>7791.4516217603268</v>
      </c>
      <c r="CC26" s="164">
        <f>'Appndx 6.8.II.3'!CC35+(1-'Appndx 6.8.II.3'!CC33)*('Appndx 6.8.II.3'!CC34/'Appndx 6.8.II.3'!CB34)*'Appndx 6.8.II.4'!CB26</f>
        <v>8081.2071557579065</v>
      </c>
      <c r="CD26" s="164">
        <f>'Appndx 6.8.II.3'!CD35+(1-'Appndx 6.8.II.3'!CD33)*('Appndx 6.8.II.3'!CD34/'Appndx 6.8.II.3'!CC34)*'Appndx 6.8.II.4'!CC26</f>
        <v>8329.4103237549516</v>
      </c>
      <c r="CE26" s="164">
        <f>'Appndx 6.8.II.3'!CE35+(1-'Appndx 6.8.II.3'!CE33)*('Appndx 6.8.II.3'!CE34/'Appndx 6.8.II.3'!CD34)*'Appndx 6.8.II.4'!CD26</f>
        <v>8959.6289257204371</v>
      </c>
      <c r="CF26" s="164">
        <f>'Appndx 6.8.II.3'!CF35+(1-'Appndx 6.8.II.3'!CF33)*('Appndx 6.8.II.3'!CF34/'Appndx 6.8.II.3'!CE34)*'Appndx 6.8.II.4'!CE26</f>
        <v>9709.5940441773491</v>
      </c>
      <c r="CG26" s="164">
        <f>'Appndx 6.8.II.3'!CG35+(1-'Appndx 6.8.II.3'!CG33)*('Appndx 6.8.II.3'!CG34/'Appndx 6.8.II.3'!CF34)*'Appndx 6.8.II.4'!CF26</f>
        <v>10479.599600732467</v>
      </c>
      <c r="CH26" s="164">
        <f>'Appndx 6.8.II.3'!CH35+(1-'Appndx 6.8.II.3'!CH33)*('Appndx 6.8.II.3'!CH34/'Appndx 6.8.II.3'!CG34)*'Appndx 6.8.II.4'!CG26</f>
        <v>11016.561827553665</v>
      </c>
      <c r="CI26" s="164">
        <f>'Appndx 6.8.II.3'!CI35+(1-'Appndx 6.8.II.3'!CI33)*('Appndx 6.8.II.3'!CI34/'Appndx 6.8.II.3'!CH34)*'Appndx 6.8.II.4'!CH26</f>
        <v>11695.539196962915</v>
      </c>
      <c r="CJ26" s="164">
        <f>'Appndx 6.8.II.3'!CJ35+(1-'Appndx 6.8.II.3'!CJ33)*('Appndx 6.8.II.3'!CJ34/'Appndx 6.8.II.3'!CI34)*'Appndx 6.8.II.4'!CI26</f>
        <v>11239.334543815045</v>
      </c>
      <c r="CK26" s="164">
        <f>'Appndx 6.8.II.3'!CK35+(1-'Appndx 6.8.II.3'!CK33)*('Appndx 6.8.II.3'!CK34/'Appndx 6.8.II.3'!CJ34)*'Appndx 6.8.II.4'!CJ26</f>
        <v>11407.68674967562</v>
      </c>
      <c r="CL26" s="164">
        <f>'Appndx 6.8.II.3'!CL35+(1-'Appndx 6.8.II.3'!CL33)*('Appndx 6.8.II.3'!CL34/'Appndx 6.8.II.3'!CK34)*'Appndx 6.8.II.4'!CK26</f>
        <v>11798.685153439235</v>
      </c>
    </row>
    <row r="27" spans="1:90" x14ac:dyDescent="0.35">
      <c r="A27" s="54" t="s">
        <v>320</v>
      </c>
      <c r="B27" s="80" t="s">
        <v>362</v>
      </c>
      <c r="C27" s="54" t="s">
        <v>321</v>
      </c>
      <c r="D27" s="211">
        <f>'Appndx 6.8.II.1'!D21*D23</f>
        <v>1403.9709539999999</v>
      </c>
      <c r="E27" s="164">
        <f>$D$27*E23</f>
        <v>1466.8656065635837</v>
      </c>
      <c r="F27" s="164">
        <f t="shared" ref="F27:R27" si="3">$D$27*F23</f>
        <v>1578.5015953243369</v>
      </c>
      <c r="G27" s="164">
        <f t="shared" si="3"/>
        <v>1653.497154467575</v>
      </c>
      <c r="H27" s="164">
        <f t="shared" si="3"/>
        <v>1751.4907500989823</v>
      </c>
      <c r="I27" s="164">
        <f t="shared" si="3"/>
        <v>1819.8982517001555</v>
      </c>
      <c r="J27" s="164">
        <f t="shared" si="3"/>
        <v>1719.2574000701097</v>
      </c>
      <c r="K27" s="164">
        <f t="shared" si="3"/>
        <v>1632.7703432964192</v>
      </c>
      <c r="L27" s="164">
        <f t="shared" si="3"/>
        <v>1578.6971312787819</v>
      </c>
      <c r="M27" s="164">
        <f t="shared" si="3"/>
        <v>1545.5011427049494</v>
      </c>
      <c r="N27" s="164">
        <f t="shared" si="3"/>
        <v>1511.342515586158</v>
      </c>
      <c r="O27" s="164">
        <f t="shared" si="3"/>
        <v>1472.13003610633</v>
      </c>
      <c r="P27" s="164">
        <f t="shared" si="3"/>
        <v>1508.9359192237598</v>
      </c>
      <c r="Q27" s="164">
        <f t="shared" si="3"/>
        <v>1493.5788261862053</v>
      </c>
      <c r="R27" s="164">
        <f t="shared" si="3"/>
        <v>1507.5220438608508</v>
      </c>
      <c r="S27" s="164">
        <f t="shared" ref="S27:Z27" si="4">$D$27*S23</f>
        <v>1507.3415491336709</v>
      </c>
      <c r="T27" s="164">
        <f t="shared" si="4"/>
        <v>1514.6215031299257</v>
      </c>
      <c r="U27" s="164">
        <f t="shared" si="4"/>
        <v>1500.6933266825454</v>
      </c>
      <c r="V27" s="164">
        <f t="shared" si="4"/>
        <v>1469.9490581529064</v>
      </c>
      <c r="W27" s="164">
        <f t="shared" si="4"/>
        <v>1430.8418672639334</v>
      </c>
      <c r="X27" s="164">
        <f t="shared" si="4"/>
        <v>1384.6502583331503</v>
      </c>
      <c r="Y27" s="164">
        <f t="shared" si="4"/>
        <v>1509.0712902691446</v>
      </c>
      <c r="Z27" s="164">
        <f t="shared" si="4"/>
        <v>1687.5354517682467</v>
      </c>
      <c r="AA27" s="164">
        <f>('Appndx 6.8.II.3'!AA35*100/'Appndx 6.8.II.3'!AA34)+(1-'Appndx 6.8.II.3'!AA33)*Z27</f>
        <v>1702.9506167817888</v>
      </c>
      <c r="AB27" s="164">
        <f>('Appndx 6.8.II.3'!AB35*100/'Appndx 6.8.II.3'!AB34)+(1-'Appndx 6.8.II.3'!AB33)*AA27</f>
        <v>1704.9416240913363</v>
      </c>
      <c r="AC27" s="164">
        <f>('Appndx 6.8.II.3'!AC35*100/'Appndx 6.8.II.3'!AC34)+(1-'Appndx 6.8.II.3'!AC33)*AB27</f>
        <v>1710.7838509518574</v>
      </c>
      <c r="AD27" s="164">
        <f>('Appndx 6.8.II.3'!AD35*100/'Appndx 6.8.II.3'!AD34)+(1-'Appndx 6.8.II.3'!AD33)*AC27</f>
        <v>1731.0639846621382</v>
      </c>
      <c r="AE27" s="164">
        <f>('Appndx 6.8.II.3'!AE35*100/'Appndx 6.8.II.3'!AE34)+(1-'Appndx 6.8.II.3'!AE33)*AD27</f>
        <v>1751.9064197343089</v>
      </c>
      <c r="AF27" s="164">
        <f>('Appndx 6.8.II.3'!AF35*100/'Appndx 6.8.II.3'!AF34)+(1-'Appndx 6.8.II.3'!AF33)*AE27</f>
        <v>1781.2866867916402</v>
      </c>
      <c r="AG27" s="164">
        <f>('Appndx 6.8.II.3'!AG35*100/'Appndx 6.8.II.3'!AG34)+(1-'Appndx 6.8.II.3'!AG33)*AF27</f>
        <v>1802.8943848610843</v>
      </c>
      <c r="AH27" s="164">
        <f>('Appndx 6.8.II.3'!AH35*100/'Appndx 6.8.II.3'!AH34)+(1-'Appndx 6.8.II.3'!AH33)*AG27</f>
        <v>1831.9122290922735</v>
      </c>
      <c r="AI27" s="164">
        <f>('Appndx 6.8.II.3'!AI35*100/'Appndx 6.8.II.3'!AI34)+(1-'Appndx 6.8.II.3'!AI33)*AH27</f>
        <v>1878.5419723141858</v>
      </c>
      <c r="AJ27" s="164">
        <f>('Appndx 6.8.II.3'!AJ35*100/'Appndx 6.8.II.3'!AJ34)+(1-'Appndx 6.8.II.3'!AJ33)*AI27</f>
        <v>1927.7925983766904</v>
      </c>
      <c r="AK27" s="164">
        <f>('Appndx 6.8.II.3'!AK35*100/'Appndx 6.8.II.3'!AK34)+(1-'Appndx 6.8.II.3'!AK33)*AJ27</f>
        <v>1947.3494151168277</v>
      </c>
      <c r="AL27" s="164">
        <f>('Appndx 6.8.II.3'!AL35*100/'Appndx 6.8.II.3'!AL34)+(1-'Appndx 6.8.II.3'!AL33)*AK27</f>
        <v>1974.4083288238701</v>
      </c>
      <c r="AM27" s="164">
        <f>('Appndx 6.8.II.3'!AM35*100/'Appndx 6.8.II.3'!AM34)+(1-'Appndx 6.8.II.3'!AM33)*AL27</f>
        <v>2014.4580422281999</v>
      </c>
      <c r="AN27" s="164">
        <f>('Appndx 6.8.II.3'!AN35*100/'Appndx 6.8.II.3'!AN34)+(1-'Appndx 6.8.II.3'!AN33)*AM27</f>
        <v>2048.9518564827204</v>
      </c>
      <c r="AO27" s="164">
        <f>('Appndx 6.8.II.3'!AO35*100/'Appndx 6.8.II.3'!AO34)+(1-'Appndx 6.8.II.3'!AO33)*AN27</f>
        <v>2097.0533116931497</v>
      </c>
      <c r="AP27" s="164">
        <f>('Appndx 6.8.II.3'!AP35*100/'Appndx 6.8.II.3'!AP34)+(1-'Appndx 6.8.II.3'!AP33)*AO27</f>
        <v>2151.4779217331147</v>
      </c>
      <c r="AQ27" s="164">
        <f>('Appndx 6.8.II.3'!AQ35*100/'Appndx 6.8.II.3'!AQ34)+(1-'Appndx 6.8.II.3'!AQ33)*AP27</f>
        <v>2228.3024382769745</v>
      </c>
      <c r="AR27" s="164">
        <f>('Appndx 6.8.II.3'!AR35*100/'Appndx 6.8.II.3'!AR34)+(1-'Appndx 6.8.II.3'!AR33)*AQ27</f>
        <v>2342.7366700713487</v>
      </c>
      <c r="AS27" s="164">
        <f>('Appndx 6.8.II.3'!AS35*100/'Appndx 6.8.II.3'!AS34)+(1-'Appndx 6.8.II.3'!AS33)*AR27</f>
        <v>2486.635085049666</v>
      </c>
      <c r="AT27" s="164">
        <f>('Appndx 6.8.II.3'!AT35*100/'Appndx 6.8.II.3'!AT34)+(1-'Appndx 6.8.II.3'!AT33)*AS27</f>
        <v>2613.6470840853704</v>
      </c>
      <c r="AU27" s="164">
        <f>('Appndx 6.8.II.3'!AU35*100/'Appndx 6.8.II.3'!AU34)+(1-'Appndx 6.8.II.3'!AU33)*AT27</f>
        <v>2744.7203874731053</v>
      </c>
      <c r="AV27" s="164">
        <f>('Appndx 6.8.II.3'!AV35*100/'Appndx 6.8.II.3'!AV34)+(1-'Appndx 6.8.II.3'!AV33)*AU27</f>
        <v>2889.1032434161584</v>
      </c>
      <c r="AW27" s="164">
        <f>('Appndx 6.8.II.3'!AW35*100/'Appndx 6.8.II.3'!AW34)+(1-'Appndx 6.8.II.3'!AW33)*AV27</f>
        <v>3015.1896391153759</v>
      </c>
      <c r="AX27" s="164">
        <f>('Appndx 6.8.II.3'!AX35*100/'Appndx 6.8.II.3'!AX34)+(1-'Appndx 6.8.II.3'!AX33)*AW27</f>
        <v>3125.6394149383805</v>
      </c>
      <c r="AY27" s="164">
        <f>('Appndx 6.8.II.3'!AY35*100/'Appndx 6.8.II.3'!AY34)+(1-'Appndx 6.8.II.3'!AY33)*AX27</f>
        <v>3257.0135532500462</v>
      </c>
      <c r="AZ27" s="164">
        <f>('Appndx 6.8.II.3'!AZ35*100/'Appndx 6.8.II.3'!AZ34)+(1-'Appndx 6.8.II.3'!AZ33)*AY27</f>
        <v>3426.5495624653877</v>
      </c>
      <c r="BA27" s="164">
        <f>('Appndx 6.8.II.3'!BA35*100/'Appndx 6.8.II.3'!BA34)+(1-'Appndx 6.8.II.3'!BA33)*AZ27</f>
        <v>3577.0633913578254</v>
      </c>
      <c r="BB27" s="164">
        <f>('Appndx 6.8.II.3'!BB35*100/'Appndx 6.8.II.3'!BB34)+(1-'Appndx 6.8.II.3'!BB33)*BA27</f>
        <v>3680.9597652347229</v>
      </c>
      <c r="BC27" s="164">
        <f>('Appndx 6.8.II.3'!BC35*100/'Appndx 6.8.II.3'!BC34)+(1-'Appndx 6.8.II.3'!BC33)*BB27</f>
        <v>3785.3221561762457</v>
      </c>
      <c r="BD27" s="164">
        <f>('Appndx 6.8.II.3'!BD35*100/'Appndx 6.8.II.3'!BD34)+(1-'Appndx 6.8.II.3'!BD33)*BC27</f>
        <v>3920.3884308641495</v>
      </c>
      <c r="BE27" s="164">
        <f>('Appndx 6.8.II.3'!BE35*100/'Appndx 6.8.II.3'!BE34)+(1-'Appndx 6.8.II.3'!BE33)*BD27</f>
        <v>4097.9125653246956</v>
      </c>
      <c r="BF27" s="164">
        <f>('Appndx 6.8.II.3'!BF35*100/'Appndx 6.8.II.3'!BF34)+(1-'Appndx 6.8.II.3'!BF33)*BE27</f>
        <v>4296.3341801049255</v>
      </c>
      <c r="BG27" s="164">
        <f>('Appndx 6.8.II.3'!BG35*100/'Appndx 6.8.II.3'!BG34)+(1-'Appndx 6.8.II.3'!BG33)*BF27</f>
        <v>4478.6243041347807</v>
      </c>
      <c r="BH27" s="164">
        <f>('Appndx 6.8.II.3'!BH35*100/'Appndx 6.8.II.3'!BH34)+(1-'Appndx 6.8.II.3'!BH33)*BG27</f>
        <v>4658.8659133205183</v>
      </c>
      <c r="BI27" s="164">
        <f>('Appndx 6.8.II.3'!BI35*100/'Appndx 6.8.II.3'!BI34)+(1-'Appndx 6.8.II.3'!BI33)*BH27</f>
        <v>4795.3588972159087</v>
      </c>
      <c r="BJ27" s="164">
        <f>('Appndx 6.8.II.3'!BJ35*100/'Appndx 6.8.II.3'!BJ34)+(1-'Appndx 6.8.II.3'!BJ33)*BI27</f>
        <v>4914.5100220576296</v>
      </c>
      <c r="BK27" s="164">
        <f>('Appndx 6.8.II.3'!BK35*100/'Appndx 6.8.II.3'!BK34)+(1-'Appndx 6.8.II.3'!BK33)*BJ27</f>
        <v>5107.2396429272094</v>
      </c>
      <c r="BL27" s="164">
        <f>('Appndx 6.8.II.3'!BL35*100/'Appndx 6.8.II.3'!BL34)+(1-'Appndx 6.8.II.3'!BL33)*BK27</f>
        <v>5315.8864846004935</v>
      </c>
      <c r="BM27" s="164">
        <f>('Appndx 6.8.II.3'!BM35*100/'Appndx 6.8.II.3'!BM34)+(1-'Appndx 6.8.II.3'!BM33)*BL27</f>
        <v>5480.5214890267725</v>
      </c>
      <c r="BN27" s="164">
        <f>('Appndx 6.8.II.3'!BN35*100/'Appndx 6.8.II.3'!BN34)+(1-'Appndx 6.8.II.3'!BN33)*BM27</f>
        <v>5616.0555133117005</v>
      </c>
      <c r="BO27" s="164">
        <f>('Appndx 6.8.II.3'!BO35*100/'Appndx 6.8.II.3'!BO34)+(1-'Appndx 6.8.II.3'!BO33)*BN27</f>
        <v>5760.3557291906236</v>
      </c>
      <c r="BP27" s="164">
        <f>('Appndx 6.8.II.3'!BP35*100/'Appndx 6.8.II.3'!BP34)+(1-'Appndx 6.8.II.3'!BP33)*BO27</f>
        <v>5916.5641499774229</v>
      </c>
      <c r="BQ27" s="164">
        <f>('Appndx 6.8.II.3'!BQ35*100/'Appndx 6.8.II.3'!BQ34)+(1-'Appndx 6.8.II.3'!BQ33)*BP27</f>
        <v>6095.934897959919</v>
      </c>
      <c r="BR27" s="164">
        <f>('Appndx 6.8.II.3'!BR35*100/'Appndx 6.8.II.3'!BR34)+(1-'Appndx 6.8.II.3'!BR33)*BQ27</f>
        <v>6225.7771082714135</v>
      </c>
      <c r="BS27" s="164">
        <f>('Appndx 6.8.II.3'!BS35*100/'Appndx 6.8.II.3'!BS34)+(1-'Appndx 6.8.II.3'!BS33)*BR27</f>
        <v>6348.9706133653226</v>
      </c>
      <c r="BT27" s="164">
        <f>('Appndx 6.8.II.3'!BT35*100/'Appndx 6.8.II.3'!BT34)+(1-'Appndx 6.8.II.3'!BT33)*BS27</f>
        <v>6511.1873417423176</v>
      </c>
      <c r="BU27" s="164">
        <f>('Appndx 6.8.II.3'!BU35*100/'Appndx 6.8.II.3'!BU34)+(1-'Appndx 6.8.II.3'!BU33)*BT27</f>
        <v>6710.1733955531254</v>
      </c>
      <c r="BV27" s="164">
        <f>('Appndx 6.8.II.3'!BV35*100/'Appndx 6.8.II.3'!BV34)+(1-'Appndx 6.8.II.3'!BV33)*BU27</f>
        <v>6967.0246085057006</v>
      </c>
      <c r="BW27" s="164">
        <f>('Appndx 6.8.II.3'!BW35*100/'Appndx 6.8.II.3'!BW34)+(1-'Appndx 6.8.II.3'!BW33)*BV27</f>
        <v>7263.1189956890048</v>
      </c>
      <c r="BX27" s="164">
        <f>('Appndx 6.8.II.3'!BX35*100/'Appndx 6.8.II.3'!BX34)+(1-'Appndx 6.8.II.3'!BX33)*BW27</f>
        <v>7596.5004012819909</v>
      </c>
      <c r="BY27" s="164">
        <f>('Appndx 6.8.II.3'!BY35*100/'Appndx 6.8.II.3'!BY34)+(1-'Appndx 6.8.II.3'!BY33)*BX27</f>
        <v>7971.1868317040835</v>
      </c>
      <c r="BZ27" s="164">
        <f>('Appndx 6.8.II.3'!BZ35*100/'Appndx 6.8.II.3'!BZ34)+(1-'Appndx 6.8.II.3'!BZ33)*BY27</f>
        <v>8385.4295771244979</v>
      </c>
      <c r="CA27" s="164">
        <f>('Appndx 6.8.II.3'!CA35*100/'Appndx 6.8.II.3'!CA34)+(1-'Appndx 6.8.II.3'!CA33)*BZ27</f>
        <v>8841.4683059364088</v>
      </c>
      <c r="CB27" s="164">
        <f>('Appndx 6.8.II.3'!CB35*100/'Appndx 6.8.II.3'!CB34)+(1-'Appndx 6.8.II.3'!CB33)*CA27</f>
        <v>9172.2982901860851</v>
      </c>
      <c r="CC27" s="164">
        <f>('Appndx 6.8.II.3'!CC35*100/'Appndx 6.8.II.3'!CC34)+(1-'Appndx 6.8.II.3'!CC33)*CB27</f>
        <v>9322.2794628397533</v>
      </c>
      <c r="CD27" s="164">
        <f>('Appndx 6.8.II.3'!CD35*100/'Appndx 6.8.II.3'!CD34)+(1-'Appndx 6.8.II.3'!CD33)*CC27</f>
        <v>9444.9416425260843</v>
      </c>
      <c r="CE27" s="164">
        <f>('Appndx 6.8.II.3'!CE35*100/'Appndx 6.8.II.3'!CE34)+(1-'Appndx 6.8.II.3'!CE33)*CD27</f>
        <v>9566.3363773399087</v>
      </c>
      <c r="CF27" s="164">
        <f>('Appndx 6.8.II.3'!CF35*100/'Appndx 6.8.II.3'!CF34)+(1-'Appndx 6.8.II.3'!CF33)*CE27</f>
        <v>9713.3134172199352</v>
      </c>
      <c r="CG27" s="164">
        <f>('Appndx 6.8.II.3'!CG35*100/'Appndx 6.8.II.3'!CG34)+(1-'Appndx 6.8.II.3'!CG33)*CF27</f>
        <v>9904.6521119442405</v>
      </c>
      <c r="CH27" s="164">
        <f>('Appndx 6.8.II.3'!CH35*100/'Appndx 6.8.II.3'!CH34)+(1-'Appndx 6.8.II.3'!CH33)*CG27</f>
        <v>10138.532789124325</v>
      </c>
      <c r="CI27" s="164">
        <f>('Appndx 6.8.II.3'!CI35*100/'Appndx 6.8.II.3'!CI34)+(1-'Appndx 6.8.II.3'!CI33)*CH27</f>
        <v>10310.296455402129</v>
      </c>
      <c r="CJ27" s="164">
        <f>('Appndx 6.8.II.3'!CJ35*100/'Appndx 6.8.II.3'!CJ34)+(1-'Appndx 6.8.II.3'!CJ33)*CI27</f>
        <v>10264.319630331647</v>
      </c>
      <c r="CK27" s="164">
        <f>('Appndx 6.8.II.3'!CK35*100/'Appndx 6.8.II.3'!CK34)+(1-'Appndx 6.8.II.3'!CK33)*CJ27</f>
        <v>10212.892549106069</v>
      </c>
      <c r="CL27" s="164">
        <f>('Appndx 6.8.II.3'!CL35*100/'Appndx 6.8.II.3'!CL34)+(1-'Appndx 6.8.II.3'!CL33)*CK27</f>
        <v>10236.166221529369</v>
      </c>
    </row>
    <row r="28" spans="1:90" x14ac:dyDescent="0.35">
      <c r="A28" s="54" t="s">
        <v>322</v>
      </c>
      <c r="B28" s="80" t="s">
        <v>362</v>
      </c>
      <c r="C28" s="54" t="s">
        <v>323</v>
      </c>
      <c r="D28" s="211">
        <f>'Appndx 6.8.II.1'!D23*D23</f>
        <v>69.2</v>
      </c>
      <c r="E28" s="164">
        <f>$D$28*E23</f>
        <v>72.300000000000011</v>
      </c>
      <c r="F28" s="164">
        <f t="shared" ref="F28:R28" si="5">$D$28*F23</f>
        <v>77.802400459378816</v>
      </c>
      <c r="G28" s="164">
        <f t="shared" si="5"/>
        <v>81.498839248177347</v>
      </c>
      <c r="H28" s="164">
        <f t="shared" si="5"/>
        <v>86.32882294433108</v>
      </c>
      <c r="I28" s="164">
        <f t="shared" si="5"/>
        <v>89.700544486941553</v>
      </c>
      <c r="J28" s="164">
        <f t="shared" si="5"/>
        <v>84.740080801451967</v>
      </c>
      <c r="K28" s="164">
        <f t="shared" si="5"/>
        <v>80.47724024076372</v>
      </c>
      <c r="L28" s="164">
        <f t="shared" si="5"/>
        <v>77.812038185863855</v>
      </c>
      <c r="M28" s="164">
        <f t="shared" si="5"/>
        <v>76.175848774135332</v>
      </c>
      <c r="N28" s="164">
        <f t="shared" si="5"/>
        <v>74.492212093557413</v>
      </c>
      <c r="O28" s="164">
        <f t="shared" si="5"/>
        <v>72.55947725152015</v>
      </c>
      <c r="P28" s="164">
        <f t="shared" si="5"/>
        <v>74.373593921433923</v>
      </c>
      <c r="Q28" s="164">
        <f t="shared" si="5"/>
        <v>73.616661710570838</v>
      </c>
      <c r="R28" s="164">
        <f t="shared" si="5"/>
        <v>74.303905745311368</v>
      </c>
      <c r="S28" s="164">
        <f t="shared" ref="S28:Z28" si="6">$D$28*S23</f>
        <v>74.2950093824021</v>
      </c>
      <c r="T28" s="164">
        <f t="shared" si="6"/>
        <v>74.653829353075679</v>
      </c>
      <c r="U28" s="164">
        <f t="shared" si="6"/>
        <v>73.967326681910933</v>
      </c>
      <c r="V28" s="164">
        <f t="shared" si="6"/>
        <v>72.451979533033239</v>
      </c>
      <c r="W28" s="164">
        <f t="shared" si="6"/>
        <v>70.524434236026366</v>
      </c>
      <c r="X28" s="164">
        <f t="shared" si="6"/>
        <v>68.247706694830967</v>
      </c>
      <c r="Y28" s="164">
        <f t="shared" si="6"/>
        <v>74.380266193615867</v>
      </c>
      <c r="Z28" s="164">
        <f t="shared" si="6"/>
        <v>83.176545020149106</v>
      </c>
      <c r="AA28" s="164">
        <f>('Appndx 6.8.II.3'!AA35-'Appndx 6.8.II.1'!Y27)+Z28</f>
        <v>95.776545020149115</v>
      </c>
      <c r="AB28" s="164">
        <f>('Appndx 6.8.II.3'!AB35-'Appndx 6.8.II.1'!Z27)+AA28</f>
        <v>105.97654502014912</v>
      </c>
      <c r="AC28" s="164">
        <f>('Appndx 6.8.II.3'!AC35-'Appndx 6.8.II.1'!AA27)+AB28</f>
        <v>116.87654502014912</v>
      </c>
      <c r="AD28" s="164">
        <f>('Appndx 6.8.II.3'!AD35-'Appndx 6.8.II.1'!AB27)+AC28</f>
        <v>130.87654502014914</v>
      </c>
      <c r="AE28" s="164">
        <f>('Appndx 6.8.II.3'!AE35-'Appndx 6.8.II.1'!AC27)+AD28</f>
        <v>145.07654502014913</v>
      </c>
      <c r="AF28" s="164">
        <f>('Appndx 6.8.II.3'!AF35-'Appndx 6.8.II.1'!AD27)+AE28</f>
        <v>160.57654502014913</v>
      </c>
      <c r="AG28" s="164">
        <f>('Appndx 6.8.II.3'!AG35-'Appndx 6.8.II.1'!AE27)+AF28</f>
        <v>174.57654502014913</v>
      </c>
      <c r="AH28" s="164">
        <f>('Appndx 6.8.II.3'!AH35-'Appndx 6.8.II.1'!AF27)+AG28</f>
        <v>190.07654502014913</v>
      </c>
      <c r="AI28" s="164">
        <f>('Appndx 6.8.II.3'!AI35-'Appndx 6.8.II.1'!AG27)+AH28</f>
        <v>210.17654502014912</v>
      </c>
      <c r="AJ28" s="164">
        <f>('Appndx 6.8.II.3'!AJ35-'Appndx 6.8.II.1'!AH27)+AI28</f>
        <v>232.07654502014913</v>
      </c>
      <c r="AK28" s="164">
        <f>('Appndx 6.8.II.3'!AK35-'Appndx 6.8.II.1'!AI27)+AJ28</f>
        <v>248.07654502014913</v>
      </c>
      <c r="AL28" s="164">
        <f>('Appndx 6.8.II.3'!AL35-'Appndx 6.8.II.1'!AJ27)+AK28</f>
        <v>265.27654502014911</v>
      </c>
      <c r="AM28" s="164">
        <f>('Appndx 6.8.II.3'!AM35-'Appndx 6.8.II.1'!AK27)+AL28</f>
        <v>283.87654502014914</v>
      </c>
      <c r="AN28" s="164">
        <f>('Appndx 6.8.II.3'!AN35-'Appndx 6.8.II.1'!AL27)+AM28</f>
        <v>301.27654502014911</v>
      </c>
      <c r="AO28" s="164">
        <f>('Appndx 6.8.II.3'!AO35-'Appndx 6.8.II.1'!AM27)+AN28</f>
        <v>321.07654502014913</v>
      </c>
      <c r="AP28" s="164">
        <f>('Appndx 6.8.II.3'!AP35-'Appndx 6.8.II.1'!AN27)+AO28</f>
        <v>341.87654502014914</v>
      </c>
      <c r="AQ28" s="164">
        <f>('Appndx 6.8.II.3'!AQ35-'Appndx 6.8.II.1'!AO27)+AP28</f>
        <v>367.17654502014915</v>
      </c>
      <c r="AR28" s="164">
        <f>('Appndx 6.8.II.3'!AR35-'Appndx 6.8.II.1'!AP27)+AQ28</f>
        <v>400.07654502014918</v>
      </c>
      <c r="AS28" s="164">
        <f>('Appndx 6.8.II.3'!AS35-'Appndx 6.8.II.1'!AQ27)+AR28</f>
        <v>440.07654502014918</v>
      </c>
      <c r="AT28" s="164">
        <f>('Appndx 6.8.II.3'!AT35-'Appndx 6.8.II.1'!AR27)+AS28</f>
        <v>478.97654502014916</v>
      </c>
      <c r="AU28" s="164">
        <f>('Appndx 6.8.II.3'!AU35-'Appndx 6.8.II.1'!AS27)+AT28</f>
        <v>521.27654502014911</v>
      </c>
      <c r="AV28" s="164">
        <f>('Appndx 6.8.II.3'!AV35-'Appndx 6.8.II.1'!AT27)+AU28</f>
        <v>568.97654502014916</v>
      </c>
      <c r="AW28" s="164">
        <f>('Appndx 6.8.II.3'!AW35-'Appndx 6.8.II.1'!AU27)+AV28</f>
        <v>615.97654502014916</v>
      </c>
      <c r="AX28" s="164">
        <f>('Appndx 6.8.II.3'!AX35-'Appndx 6.8.II.1'!AV27)+AW28</f>
        <v>662.87654502014914</v>
      </c>
      <c r="AY28" s="164">
        <f>('Appndx 6.8.II.3'!AY35-'Appndx 6.8.II.1'!AW27)+AX28</f>
        <v>717.97654502014916</v>
      </c>
      <c r="AZ28" s="164">
        <f>('Appndx 6.8.II.3'!AZ35-'Appndx 6.8.II.1'!AX27)+AY28</f>
        <v>788.47654502014916</v>
      </c>
      <c r="BA28" s="164">
        <f>('Appndx 6.8.II.3'!BA35-'Appndx 6.8.II.1'!AY27)+AZ28</f>
        <v>871.37654502014914</v>
      </c>
      <c r="BB28" s="164">
        <f>('Appndx 6.8.II.3'!BB35-'Appndx 6.8.II.1'!AZ27)+BA28</f>
        <v>951.57654502014918</v>
      </c>
      <c r="BC28" s="164">
        <f>('Appndx 6.8.II.3'!BC35-'Appndx 6.8.II.1'!BA27)+BB28</f>
        <v>1040.4765450201492</v>
      </c>
      <c r="BD28" s="164">
        <f>('Appndx 6.8.II.3'!BD35-'Appndx 6.8.II.1'!BB27)+BC28</f>
        <v>1152.1765450201492</v>
      </c>
      <c r="BE28" s="164">
        <f>('Appndx 6.8.II.3'!BE35-'Appndx 6.8.II.1'!BC27)+BD28</f>
        <v>1297.9765450201492</v>
      </c>
      <c r="BF28" s="164">
        <f>('Appndx 6.8.II.3'!BF35-'Appndx 6.8.II.1'!BD27)+BE28</f>
        <v>1476.2765450201491</v>
      </c>
      <c r="BG28" s="164">
        <f>('Appndx 6.8.II.3'!BG35-'Appndx 6.8.II.1'!BE27)+BF28</f>
        <v>1668.5765450201491</v>
      </c>
      <c r="BH28" s="164">
        <f>('Appndx 6.8.II.3'!BH35-'Appndx 6.8.II.1'!BF27)+BG28</f>
        <v>1887.176545020149</v>
      </c>
      <c r="BI28" s="164">
        <f>('Appndx 6.8.II.3'!BI35-'Appndx 6.8.II.1'!BG27)+BH28</f>
        <v>2093.7765450201491</v>
      </c>
      <c r="BJ28" s="164">
        <f>('Appndx 6.8.II.3'!BJ35-'Appndx 6.8.II.1'!BH27)+BI28</f>
        <v>2280.876545020149</v>
      </c>
      <c r="BK28" s="164">
        <f>('Appndx 6.8.II.3'!BK35-'Appndx 6.8.II.1'!BI27)+BJ28</f>
        <v>2509.6765450201492</v>
      </c>
      <c r="BL28" s="164">
        <f>('Appndx 6.8.II.3'!BL35-'Appndx 6.8.II.1'!BJ27)+BK28</f>
        <v>2751.1765450201492</v>
      </c>
      <c r="BM28" s="164">
        <f>('Appndx 6.8.II.3'!BM35-'Appndx 6.8.II.1'!BK27)+BL28</f>
        <v>2964.5765450201493</v>
      </c>
      <c r="BN28" s="164">
        <f>('Appndx 6.8.II.3'!BN35-'Appndx 6.8.II.1'!BL27)+BM28</f>
        <v>3157.2765450201491</v>
      </c>
      <c r="BO28" s="164">
        <f>('Appndx 6.8.II.3'!BO35-'Appndx 6.8.II.1'!BM27)+BN28</f>
        <v>3361.0765450201493</v>
      </c>
      <c r="BP28" s="164">
        <f>('Appndx 6.8.II.3'!BP35-'Appndx 6.8.II.1'!BN27)+BO28</f>
        <v>3585.2765450201491</v>
      </c>
      <c r="BQ28" s="164">
        <f>('Appndx 6.8.II.3'!BQ35-'Appndx 6.8.II.1'!BO27)+BP28</f>
        <v>3822.876545020149</v>
      </c>
      <c r="BR28" s="164">
        <f>('Appndx 6.8.II.3'!BR35-'Appndx 6.8.II.1'!BP27)+BQ28</f>
        <v>4021.9765450201489</v>
      </c>
      <c r="BS28" s="164">
        <f>('Appndx 6.8.II.3'!BS35-'Appndx 6.8.II.1'!BQ27)+BR28</f>
        <v>4214.6765450201492</v>
      </c>
      <c r="BT28" s="164">
        <f>('Appndx 6.8.II.3'!BT35-'Appndx 6.8.II.1'!BR27)+BS28</f>
        <v>4440.5765450201488</v>
      </c>
      <c r="BU28" s="164">
        <f>('Appndx 6.8.II.3'!BU35-'Appndx 6.8.II.1'!BS27)+BT28</f>
        <v>4706.4765450201485</v>
      </c>
      <c r="BV28" s="164">
        <f>('Appndx 6.8.II.3'!BV35-'Appndx 6.8.II.1'!BT27)+BU28</f>
        <v>5027.0765450201488</v>
      </c>
      <c r="BW28" s="164">
        <f>('Appndx 6.8.II.3'!BW35-'Appndx 6.8.II.1'!BU27)+BV28</f>
        <v>5383.1765450201492</v>
      </c>
      <c r="BX28" s="164">
        <f>('Appndx 6.8.II.3'!BX35-'Appndx 6.8.II.1'!BV27)+BW28</f>
        <v>5774.376545020149</v>
      </c>
      <c r="BY28" s="164">
        <f>('Appndx 6.8.II.3'!BY35-'Appndx 6.8.II.1'!BW27)+BX28</f>
        <v>6202.376545020149</v>
      </c>
      <c r="BZ28" s="164">
        <f>('Appndx 6.8.II.3'!BZ35-'Appndx 6.8.II.1'!BX27)+BY28</f>
        <v>6666.2765450201487</v>
      </c>
      <c r="CA28" s="164">
        <f>('Appndx 6.8.II.3'!CA35-'Appndx 6.8.II.1'!BY27)+BZ28</f>
        <v>7177.3765450201481</v>
      </c>
      <c r="CB28" s="164">
        <f>('Appndx 6.8.II.3'!CB35-'Appndx 6.8.II.1'!BZ27)+CA28</f>
        <v>7593.7765450201478</v>
      </c>
      <c r="CC28" s="164">
        <f>('Appndx 6.8.II.3'!CC35-'Appndx 6.8.II.1'!CA27)+CB28</f>
        <v>7851.4765450201476</v>
      </c>
      <c r="CD28" s="164">
        <f>('Appndx 6.8.II.3'!CD35-'Appndx 6.8.II.1'!CB27)+CC28</f>
        <v>8074.576545020147</v>
      </c>
      <c r="CE28" s="164">
        <f>('Appndx 6.8.II.3'!CE35-'Appndx 6.8.II.1'!CC27)+CD28</f>
        <v>8342.7765450201478</v>
      </c>
      <c r="CF28" s="164">
        <f>('Appndx 6.8.II.3'!CF35-'Appndx 6.8.II.1'!CD27)+CE28</f>
        <v>8700.8765450201481</v>
      </c>
      <c r="CG28" s="164">
        <f>('Appndx 6.8.II.3'!CG35-'Appndx 6.8.II.1'!CE27)+CF28</f>
        <v>9165.9765450201485</v>
      </c>
      <c r="CH28" s="164">
        <f>('Appndx 6.8.II.3'!CH35-'Appndx 6.8.II.1'!CF27)+CG28</f>
        <v>9706.8765450201481</v>
      </c>
      <c r="CI28" s="164">
        <f>('Appndx 6.8.II.3'!CI35-'Appndx 6.8.II.1'!CG27)+CH28</f>
        <v>10229.676545020147</v>
      </c>
      <c r="CJ28" s="164">
        <f>('Appndx 6.8.II.3'!CJ35-'Appndx 6.8.II.1'!CH27)+CI28</f>
        <v>10447.576545020147</v>
      </c>
      <c r="CK28" s="164">
        <f>('Appndx 6.8.II.3'!CK35-'Appndx 6.8.II.1'!CI27)+CJ28</f>
        <v>10643.176545020147</v>
      </c>
      <c r="CL28" s="164">
        <f>('Appndx 6.8.II.3'!CL35-'Appndx 6.8.II.1'!CJ27)+CK28</f>
        <v>10940.876545020148</v>
      </c>
    </row>
    <row r="29" spans="1:90" s="16" customFormat="1" ht="6.5" customHeight="1" x14ac:dyDescent="0.35"/>
    <row r="30" spans="1:90" s="95" customFormat="1" ht="12" x14ac:dyDescent="0.3">
      <c r="A30" s="95" t="s">
        <v>324</v>
      </c>
      <c r="E30" s="107"/>
      <c r="F30" s="107"/>
      <c r="G30" s="107"/>
      <c r="H30" s="107"/>
      <c r="I30" s="107"/>
      <c r="J30" s="107"/>
      <c r="K30" s="107"/>
      <c r="L30" s="107"/>
      <c r="M30" s="107"/>
      <c r="N30" s="107"/>
      <c r="O30" s="107"/>
      <c r="P30" s="107"/>
      <c r="Q30" s="107"/>
      <c r="R30" s="107"/>
      <c r="S30" s="107"/>
      <c r="T30" s="107"/>
      <c r="U30" s="107"/>
      <c r="V30" s="107"/>
      <c r="W30" s="107"/>
      <c r="X30" s="107"/>
      <c r="Y30" s="107"/>
      <c r="Z30" s="107"/>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row>
    <row r="31" spans="1:90" s="95" customFormat="1" ht="12" x14ac:dyDescent="0.3">
      <c r="A31" s="95" t="s">
        <v>325</v>
      </c>
      <c r="E31" s="107"/>
      <c r="F31" s="107"/>
      <c r="G31" s="107"/>
      <c r="H31" s="107"/>
      <c r="I31" s="107"/>
      <c r="J31" s="107"/>
      <c r="K31" s="107"/>
      <c r="L31" s="107"/>
      <c r="M31" s="107"/>
      <c r="N31" s="107"/>
      <c r="O31" s="107"/>
      <c r="P31" s="107"/>
      <c r="Q31" s="107"/>
      <c r="R31" s="107"/>
      <c r="S31" s="107"/>
      <c r="T31" s="107"/>
      <c r="U31" s="107"/>
      <c r="V31" s="107"/>
      <c r="W31" s="107"/>
      <c r="X31" s="107"/>
      <c r="Y31" s="107"/>
      <c r="Z31" s="107"/>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5121" r:id="rId4">
          <objectPr defaultSize="0" autoPict="0" r:id="rId5">
            <anchor moveWithCells="1">
              <from>
                <xdr:col>0</xdr:col>
                <xdr:colOff>158750</xdr:colOff>
                <xdr:row>4</xdr:row>
                <xdr:rowOff>76200</xdr:rowOff>
              </from>
              <to>
                <xdr:col>6</xdr:col>
                <xdr:colOff>152400</xdr:colOff>
                <xdr:row>17</xdr:row>
                <xdr:rowOff>44450</xdr:rowOff>
              </to>
            </anchor>
          </objectPr>
        </oleObject>
      </mc:Choice>
      <mc:Fallback>
        <oleObject progId="Word.Document.12" shapeId="512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2:CL20"/>
  <sheetViews>
    <sheetView workbookViewId="0">
      <selection activeCell="C15" sqref="C15"/>
    </sheetView>
  </sheetViews>
  <sheetFormatPr defaultColWidth="8.81640625" defaultRowHeight="14.5" x14ac:dyDescent="0.35"/>
  <cols>
    <col min="1" max="1" width="27.08984375" customWidth="1"/>
    <col min="2" max="2" width="26.81640625" bestFit="1" customWidth="1"/>
    <col min="3" max="3" width="16.08984375" style="121" customWidth="1"/>
    <col min="4" max="4" width="4.81640625" style="121" customWidth="1"/>
    <col min="5" max="26" width="4.81640625" bestFit="1" customWidth="1"/>
    <col min="27" max="27" width="5.08984375" bestFit="1" customWidth="1"/>
    <col min="28" max="48" width="4.81640625" bestFit="1" customWidth="1"/>
    <col min="49" max="74" width="5.6328125" bestFit="1" customWidth="1"/>
    <col min="75" max="82" width="6.453125" bestFit="1" customWidth="1"/>
    <col min="83" max="90" width="8" bestFit="1" customWidth="1"/>
  </cols>
  <sheetData>
    <row r="12" spans="1:90" ht="18.5" x14ac:dyDescent="0.45">
      <c r="A12" s="202"/>
      <c r="B12" s="202"/>
      <c r="C12" s="127"/>
      <c r="D12" s="122">
        <v>1925</v>
      </c>
      <c r="E12" s="59">
        <v>1926</v>
      </c>
      <c r="F12" s="59">
        <v>1927</v>
      </c>
      <c r="G12" s="59">
        <v>1928</v>
      </c>
      <c r="H12" s="59">
        <v>1929</v>
      </c>
      <c r="I12" s="59">
        <v>1930</v>
      </c>
      <c r="J12" s="59">
        <v>1931</v>
      </c>
      <c r="K12" s="59">
        <v>1932</v>
      </c>
      <c r="L12" s="59">
        <v>1933</v>
      </c>
      <c r="M12" s="59">
        <v>1934</v>
      </c>
      <c r="N12" s="59">
        <v>1935</v>
      </c>
      <c r="O12" s="59">
        <v>1936</v>
      </c>
      <c r="P12" s="59">
        <v>1937</v>
      </c>
      <c r="Q12" s="59">
        <v>1938</v>
      </c>
      <c r="R12" s="59">
        <v>1939</v>
      </c>
      <c r="S12" s="59">
        <v>1940</v>
      </c>
      <c r="T12" s="59">
        <v>1941</v>
      </c>
      <c r="U12" s="59">
        <v>1942</v>
      </c>
      <c r="V12" s="59">
        <v>1943</v>
      </c>
      <c r="W12" s="59">
        <v>1944</v>
      </c>
      <c r="X12" s="59">
        <v>1945</v>
      </c>
      <c r="Y12" s="59">
        <v>1946</v>
      </c>
      <c r="Z12" s="59">
        <v>1947</v>
      </c>
      <c r="AA12" s="59">
        <v>1948</v>
      </c>
      <c r="AB12" s="59">
        <v>1949</v>
      </c>
      <c r="AC12" s="59">
        <v>1950</v>
      </c>
      <c r="AD12" s="59">
        <v>1951</v>
      </c>
      <c r="AE12" s="59">
        <v>1952</v>
      </c>
      <c r="AF12" s="59">
        <v>1953</v>
      </c>
      <c r="AG12" s="59">
        <v>1954</v>
      </c>
      <c r="AH12" s="59">
        <v>1955</v>
      </c>
      <c r="AI12" s="59">
        <v>1956</v>
      </c>
      <c r="AJ12" s="59">
        <v>1957</v>
      </c>
      <c r="AK12" s="59">
        <v>1958</v>
      </c>
      <c r="AL12" s="59">
        <v>1959</v>
      </c>
      <c r="AM12" s="59">
        <v>1960</v>
      </c>
      <c r="AN12" s="59">
        <v>1961</v>
      </c>
      <c r="AO12" s="59">
        <v>1962</v>
      </c>
      <c r="AP12" s="59">
        <v>1963</v>
      </c>
      <c r="AQ12" s="59">
        <v>1964</v>
      </c>
      <c r="AR12" s="59">
        <v>1965</v>
      </c>
      <c r="AS12" s="59">
        <v>1966</v>
      </c>
      <c r="AT12" s="59">
        <v>1967</v>
      </c>
      <c r="AU12" s="59">
        <v>1968</v>
      </c>
      <c r="AV12" s="59">
        <v>1969</v>
      </c>
      <c r="AW12" s="59">
        <v>1970</v>
      </c>
      <c r="AX12" s="59">
        <v>1971</v>
      </c>
      <c r="AY12" s="59">
        <v>1972</v>
      </c>
      <c r="AZ12" s="59">
        <v>1973</v>
      </c>
      <c r="BA12" s="59">
        <v>1974</v>
      </c>
      <c r="BB12" s="59">
        <v>1975</v>
      </c>
      <c r="BC12" s="59">
        <v>1976</v>
      </c>
      <c r="BD12" s="59">
        <v>1977</v>
      </c>
      <c r="BE12" s="59">
        <v>1978</v>
      </c>
      <c r="BF12" s="59">
        <v>1979</v>
      </c>
      <c r="BG12" s="59">
        <v>1980</v>
      </c>
      <c r="BH12" s="59">
        <v>1981</v>
      </c>
      <c r="BI12" s="59">
        <v>1982</v>
      </c>
      <c r="BJ12" s="59">
        <v>1983</v>
      </c>
      <c r="BK12" s="59">
        <v>1984</v>
      </c>
      <c r="BL12" s="59">
        <v>1985</v>
      </c>
      <c r="BM12" s="59">
        <v>1986</v>
      </c>
      <c r="BN12" s="59">
        <v>1987</v>
      </c>
      <c r="BO12" s="59">
        <v>1988</v>
      </c>
      <c r="BP12" s="59">
        <v>1989</v>
      </c>
      <c r="BQ12" s="59">
        <v>1990</v>
      </c>
      <c r="BR12" s="59">
        <v>1991</v>
      </c>
      <c r="BS12" s="59">
        <v>1992</v>
      </c>
      <c r="BT12" s="59">
        <v>1993</v>
      </c>
      <c r="BU12" s="59">
        <v>1994</v>
      </c>
      <c r="BV12" s="59">
        <v>1995</v>
      </c>
      <c r="BW12" s="59">
        <v>1996</v>
      </c>
      <c r="BX12" s="59">
        <v>1997</v>
      </c>
      <c r="BY12" s="59">
        <v>1998</v>
      </c>
      <c r="BZ12" s="59">
        <v>1999</v>
      </c>
      <c r="CA12" s="59">
        <v>2000</v>
      </c>
      <c r="CB12" s="59">
        <v>2001</v>
      </c>
      <c r="CC12" s="59">
        <v>2002</v>
      </c>
      <c r="CD12" s="59">
        <v>2003</v>
      </c>
      <c r="CE12" s="59">
        <v>2004</v>
      </c>
      <c r="CF12" s="59">
        <v>2005</v>
      </c>
      <c r="CG12" s="59">
        <v>2006</v>
      </c>
      <c r="CH12" s="59">
        <v>2007</v>
      </c>
      <c r="CI12" s="59">
        <v>2008</v>
      </c>
      <c r="CJ12" s="59">
        <v>2009</v>
      </c>
      <c r="CK12" s="59">
        <v>2010</v>
      </c>
      <c r="CL12" s="59">
        <v>2011</v>
      </c>
    </row>
    <row r="13" spans="1:90" s="110" customFormat="1" x14ac:dyDescent="0.35">
      <c r="A13" s="108" t="s">
        <v>0</v>
      </c>
      <c r="B13" s="108" t="s">
        <v>1</v>
      </c>
      <c r="C13" s="128" t="s">
        <v>2</v>
      </c>
      <c r="D13" s="123"/>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row>
    <row r="14" spans="1:90" s="110" customFormat="1" x14ac:dyDescent="0.35">
      <c r="A14" s="108" t="s">
        <v>365</v>
      </c>
      <c r="B14" s="108" t="s">
        <v>363</v>
      </c>
      <c r="C14" s="128" t="s">
        <v>364</v>
      </c>
      <c r="D14" s="123">
        <f>'Appndx 6.8.II.4'!D23</f>
        <v>1</v>
      </c>
      <c r="E14" s="123">
        <f>'Appndx 6.8.II.4'!E23</f>
        <v>1.0447976878612717</v>
      </c>
      <c r="F14" s="123">
        <f>'Appndx 6.8.II.4'!F23</f>
        <v>1.124312145366746</v>
      </c>
      <c r="G14" s="123">
        <f>'Appndx 6.8.II.4'!G23</f>
        <v>1.1777288908696149</v>
      </c>
      <c r="H14" s="123">
        <f>'Appndx 6.8.II.4'!H23</f>
        <v>1.2475263431261716</v>
      </c>
      <c r="I14" s="123">
        <f>'Appndx 6.8.II.4'!I23</f>
        <v>1.2962506428748779</v>
      </c>
      <c r="J14" s="123">
        <f>'Appndx 6.8.II.4'!J23</f>
        <v>1.2245676416394793</v>
      </c>
      <c r="K14" s="123">
        <f>'Appndx 6.8.II.4'!K23</f>
        <v>1.1629658994330017</v>
      </c>
      <c r="L14" s="123">
        <f>'Appndx 6.8.II.4'!L23</f>
        <v>1.124451418870865</v>
      </c>
      <c r="M14" s="123">
        <f>'Appndx 6.8.II.4'!M23</f>
        <v>1.1008070632100482</v>
      </c>
      <c r="N14" s="123">
        <f>'Appndx 6.8.II.4'!N23</f>
        <v>1.0764770533751071</v>
      </c>
      <c r="O14" s="123">
        <f>'Appndx 6.8.II.4'!O23</f>
        <v>1.0485473591260137</v>
      </c>
      <c r="P14" s="123">
        <f>'Appndx 6.8.II.4'!P23</f>
        <v>1.0747629179397966</v>
      </c>
      <c r="Q14" s="123">
        <f>'Appndx 6.8.II.4'!Q23</f>
        <v>1.0638245911932203</v>
      </c>
      <c r="R14" s="123">
        <f>'Appndx 6.8.II.4'!R23</f>
        <v>1.0737558633715516</v>
      </c>
      <c r="S14" s="123">
        <f>'Appndx 6.8.II.4'!S23</f>
        <v>1.0736273032139032</v>
      </c>
      <c r="T14" s="123">
        <f>'Appndx 6.8.II.4'!T23</f>
        <v>1.0788125629057179</v>
      </c>
      <c r="U14" s="123">
        <f>'Appndx 6.8.II.4'!U23</f>
        <v>1.0688920040738574</v>
      </c>
      <c r="V14" s="123">
        <f>'Appndx 6.8.II.4'!V23</f>
        <v>1.0469939238877635</v>
      </c>
      <c r="W14" s="123">
        <f>'Appndx 6.8.II.4'!W23</f>
        <v>1.0191392230639649</v>
      </c>
      <c r="X14" s="123">
        <f>'Appndx 6.8.II.4'!X23</f>
        <v>0.98623853605247058</v>
      </c>
      <c r="Y14" s="123">
        <f>'Appndx 6.8.II.4'!Y23</f>
        <v>1.0748593380580327</v>
      </c>
      <c r="Z14" s="123">
        <f>'Appndx 6.8.II.4'!Z23</f>
        <v>1.2019731939327905</v>
      </c>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row>
    <row r="15" spans="1:90" s="110" customFormat="1" ht="36" x14ac:dyDescent="0.35">
      <c r="A15" s="8" t="s">
        <v>482</v>
      </c>
      <c r="B15" s="166" t="s">
        <v>480</v>
      </c>
      <c r="C15" s="365" t="s">
        <v>481</v>
      </c>
      <c r="D15" s="123">
        <v>57.457000000000001</v>
      </c>
      <c r="E15" s="123">
        <f>$D$15*E14</f>
        <v>60.030940751445087</v>
      </c>
      <c r="F15" s="123">
        <f t="shared" ref="F15:T15" si="0">$D$15*F14</f>
        <v>64.599602936337121</v>
      </c>
      <c r="G15" s="123">
        <f t="shared" si="0"/>
        <v>67.66876888269546</v>
      </c>
      <c r="H15" s="123">
        <f t="shared" si="0"/>
        <v>71.679121097000447</v>
      </c>
      <c r="I15" s="123">
        <f t="shared" si="0"/>
        <v>74.478673187661855</v>
      </c>
      <c r="J15" s="123">
        <f t="shared" si="0"/>
        <v>70.359982985679565</v>
      </c>
      <c r="K15" s="123">
        <f t="shared" si="0"/>
        <v>66.820531683721981</v>
      </c>
      <c r="L15" s="123">
        <f t="shared" si="0"/>
        <v>64.607605174063295</v>
      </c>
      <c r="M15" s="123">
        <f t="shared" si="0"/>
        <v>63.249071430859736</v>
      </c>
      <c r="N15" s="123">
        <f t="shared" si="0"/>
        <v>61.851142055773529</v>
      </c>
      <c r="O15" s="123">
        <f t="shared" si="0"/>
        <v>60.246385613303367</v>
      </c>
      <c r="P15" s="123">
        <f t="shared" si="0"/>
        <v>61.752652976066898</v>
      </c>
      <c r="Q15" s="123">
        <f t="shared" si="0"/>
        <v>61.124169536188859</v>
      </c>
      <c r="R15" s="123">
        <f t="shared" si="0"/>
        <v>61.694790641739239</v>
      </c>
      <c r="S15" s="123">
        <f t="shared" si="0"/>
        <v>61.687403960761237</v>
      </c>
      <c r="T15" s="123">
        <f t="shared" si="0"/>
        <v>61.985333426873837</v>
      </c>
      <c r="U15" s="123">
        <f t="shared" ref="U15:Z15" si="1">$D$15*U14</f>
        <v>61.415327878071629</v>
      </c>
      <c r="V15" s="123">
        <f t="shared" si="1"/>
        <v>60.157129884819227</v>
      </c>
      <c r="W15" s="123">
        <f t="shared" si="1"/>
        <v>58.556682339586231</v>
      </c>
      <c r="X15" s="123">
        <f t="shared" si="1"/>
        <v>56.666307565966804</v>
      </c>
      <c r="Y15" s="123">
        <f t="shared" si="1"/>
        <v>61.758192986800388</v>
      </c>
      <c r="Z15" s="123">
        <f t="shared" si="1"/>
        <v>69.061773803796342</v>
      </c>
      <c r="AA15" s="109">
        <f>Z15+('Appndx 6.8.II.1'!Z28-'Appndx 6.8.II.1'!Z27)</f>
        <v>78.761773803796345</v>
      </c>
      <c r="AB15" s="109">
        <f>AA15+('Appndx 6.8.II.1'!AA28-'Appndx 6.8.II.1'!AA27)</f>
        <v>89.661773803796351</v>
      </c>
      <c r="AC15" s="109">
        <f>AB15+('Appndx 6.8.II.1'!AB28-'Appndx 6.8.II.1'!AB27)</f>
        <v>98.161773803796351</v>
      </c>
      <c r="AD15" s="109">
        <f>AC15+('Appndx 6.8.II.1'!AC28-'Appndx 6.8.II.1'!AC27)</f>
        <v>107.46177380379635</v>
      </c>
      <c r="AE15" s="109">
        <f>AD15+('Appndx 6.8.II.1'!AD28-'Appndx 6.8.II.1'!AD27)</f>
        <v>119.86177380379635</v>
      </c>
      <c r="AF15" s="109">
        <f>AE15+('Appndx 6.8.II.1'!AE28-'Appndx 6.8.II.1'!AE27)</f>
        <v>132.46177380379635</v>
      </c>
      <c r="AG15" s="109">
        <f>AF15+('Appndx 6.8.II.1'!AF28-'Appndx 6.8.II.1'!AF27)</f>
        <v>146.16177380379634</v>
      </c>
      <c r="AH15" s="109">
        <f>AG15+('Appndx 6.8.II.1'!AG28-'Appndx 6.8.II.1'!AG27)</f>
        <v>158.16177380379634</v>
      </c>
      <c r="AI15" s="109">
        <f>AH15+('Appndx 6.8.II.1'!AH28-'Appndx 6.8.II.1'!AH27)</f>
        <v>171.76177380379633</v>
      </c>
      <c r="AJ15" s="109">
        <f>AI15+('Appndx 6.8.II.1'!AI28-'Appndx 6.8.II.1'!AI27)</f>
        <v>189.76177380379633</v>
      </c>
      <c r="AK15" s="109">
        <f>AJ15+('Appndx 6.8.II.1'!AJ28-'Appndx 6.8.II.1'!AJ27)</f>
        <v>209.16177380379634</v>
      </c>
      <c r="AL15" s="109">
        <f>AK15+('Appndx 6.8.II.1'!AK28-'Appndx 6.8.II.1'!AK27)</f>
        <v>222.36177380379632</v>
      </c>
      <c r="AM15" s="109">
        <f>AL15+('Appndx 6.8.II.1'!AL28-'Appndx 6.8.II.1'!AL27)</f>
        <v>237.26177380379633</v>
      </c>
      <c r="AN15" s="109">
        <f>AM15+('Appndx 6.8.II.1'!AM28-'Appndx 6.8.II.1'!AM27)</f>
        <v>254.36177380379632</v>
      </c>
      <c r="AO15" s="109">
        <f>AN15+('Appndx 6.8.II.1'!AN28-'Appndx 6.8.II.1'!AN27)</f>
        <v>269.96177380379635</v>
      </c>
      <c r="AP15" s="109">
        <f>AO15+('Appndx 6.8.II.1'!AO28-'Appndx 6.8.II.1'!AO27)</f>
        <v>287.46177380379635</v>
      </c>
      <c r="AQ15" s="109">
        <f>AP15+('Appndx 6.8.II.1'!AP28-'Appndx 6.8.II.1'!AP27)</f>
        <v>305.66177380379634</v>
      </c>
      <c r="AR15" s="109">
        <f>AQ15+('Appndx 6.8.II.1'!AQ28-'Appndx 6.8.II.1'!AQ27)</f>
        <v>327.96177380379635</v>
      </c>
      <c r="AS15" s="109">
        <f>AR15+('Appndx 6.8.II.1'!AR28-'Appndx 6.8.II.1'!AR27)</f>
        <v>357.06177380379637</v>
      </c>
      <c r="AT15" s="109">
        <f>AS15+('Appndx 6.8.II.1'!AS28-'Appndx 6.8.II.1'!AS27)</f>
        <v>392.16177380379634</v>
      </c>
      <c r="AU15" s="109">
        <f>AT15+('Appndx 6.8.II.1'!AT28-'Appndx 6.8.II.1'!AT27)</f>
        <v>425.56177380379631</v>
      </c>
      <c r="AV15" s="109">
        <f>AU15+('Appndx 6.8.II.1'!AU28-'Appndx 6.8.II.1'!AU27)</f>
        <v>462.16177380379634</v>
      </c>
      <c r="AW15" s="109">
        <f>AV15+('Appndx 6.8.II.1'!AV28-'Appndx 6.8.II.1'!AV27)</f>
        <v>503.66177380379634</v>
      </c>
      <c r="AX15" s="109">
        <f>AW15+('Appndx 6.8.II.1'!AW28-'Appndx 6.8.II.1'!AW27)</f>
        <v>543.96177380379629</v>
      </c>
      <c r="AY15" s="109">
        <f>AX15+('Appndx 6.8.II.1'!AX28-'Appndx 6.8.II.1'!AX27)</f>
        <v>584.26177380379625</v>
      </c>
      <c r="AZ15" s="109">
        <f>AY15+('Appndx 6.8.II.1'!AY28-'Appndx 6.8.II.1'!AY27)</f>
        <v>632.16177380379622</v>
      </c>
      <c r="BA15" s="109">
        <f>AZ15+('Appndx 6.8.II.1'!AZ28-'Appndx 6.8.II.1'!AZ27)</f>
        <v>693.16177380379622</v>
      </c>
      <c r="BB15" s="109">
        <f>BA15+('Appndx 6.8.II.1'!BA28-'Appndx 6.8.II.1'!BA27)</f>
        <v>764.66177380379622</v>
      </c>
      <c r="BC15" s="109">
        <f>BB15+('Appndx 6.8.II.1'!BB28-'Appndx 6.8.II.1'!BB27)</f>
        <v>832.96177380379618</v>
      </c>
      <c r="BD15" s="109">
        <f>BC15+('Appndx 6.8.II.1'!BC28-'Appndx 6.8.II.1'!BC27)</f>
        <v>909.16177380379622</v>
      </c>
      <c r="BE15" s="109">
        <f>BD15+('Appndx 6.8.II.1'!BD28-'Appndx 6.8.II.1'!BD27)</f>
        <v>1005.3617738037963</v>
      </c>
      <c r="BF15" s="109">
        <f>BE15+('Appndx 6.8.II.1'!BE28-'Appndx 6.8.II.1'!BE27)</f>
        <v>1131.2617738037964</v>
      </c>
      <c r="BG15" s="109">
        <f>BF15+('Appndx 6.8.II.1'!BF28-'Appndx 6.8.II.1'!BF27)</f>
        <v>1284.9617738037964</v>
      </c>
      <c r="BH15" s="109">
        <f>BG15+('Appndx 6.8.II.1'!BG28-'Appndx 6.8.II.1'!BG27)</f>
        <v>1449.0617738037963</v>
      </c>
      <c r="BI15" s="109">
        <f>BH15+('Appndx 6.8.II.1'!BH28-'Appndx 6.8.II.1'!BH27)</f>
        <v>1636.8617738037963</v>
      </c>
      <c r="BJ15" s="109">
        <f>BI15+('Appndx 6.8.II.1'!BI28-'Appndx 6.8.II.1'!BI27)</f>
        <v>1809.1617738037962</v>
      </c>
      <c r="BK15" s="109">
        <f>BJ15+('Appndx 6.8.II.1'!BJ28-'Appndx 6.8.II.1'!BJ27)</f>
        <v>1961.8617738037963</v>
      </c>
      <c r="BL15" s="109">
        <f>BK15+('Appndx 6.8.II.1'!BK28-'Appndx 6.8.II.1'!BK27)</f>
        <v>2156.5617738037963</v>
      </c>
      <c r="BM15" s="109">
        <f>BL15+('Appndx 6.8.II.1'!BL28-'Appndx 6.8.II.1'!BL27)</f>
        <v>2358.4617738037964</v>
      </c>
      <c r="BN15" s="109">
        <f>BM15+('Appndx 6.8.II.1'!BM28-'Appndx 6.8.II.1'!BM27)</f>
        <v>2531.3617738037965</v>
      </c>
      <c r="BO15" s="109">
        <f>BN15+('Appndx 6.8.II.1'!BN28-'Appndx 6.8.II.1'!BN27)</f>
        <v>2687.3617738037965</v>
      </c>
      <c r="BP15" s="109">
        <f>BO15+('Appndx 6.8.II.1'!BO28-'Appndx 6.8.II.1'!BO27)</f>
        <v>2856.0617738037963</v>
      </c>
      <c r="BQ15" s="109">
        <f>BP15+('Appndx 6.8.II.1'!BP28-'Appndx 6.8.II.1'!BP27)</f>
        <v>3044.2617738037961</v>
      </c>
      <c r="BR15" s="109">
        <f>BQ15+('Appndx 6.8.II.1'!BQ28-'Appndx 6.8.II.1'!BQ27)</f>
        <v>3243.7617738037961</v>
      </c>
      <c r="BS15" s="109">
        <f>BR15+('Appndx 6.8.II.1'!BR28-'Appndx 6.8.II.1'!BR27)</f>
        <v>3406.6617738037962</v>
      </c>
      <c r="BT15" s="109">
        <f>BS15+('Appndx 6.8.II.1'!BS28-'Appndx 6.8.II.1'!BS27)</f>
        <v>3567.1617738037962</v>
      </c>
      <c r="BU15" s="109">
        <f>BT15+('Appndx 6.8.II.1'!BT28-'Appndx 6.8.II.1'!BT27)</f>
        <v>3758.361773803796</v>
      </c>
      <c r="BV15" s="109">
        <f>BU15+('Appndx 6.8.II.1'!BU28-'Appndx 6.8.II.1'!BU27)</f>
        <v>3979.9617738037959</v>
      </c>
      <c r="BW15" s="109">
        <f>BV15+('Appndx 6.8.II.1'!BV28-'Appndx 6.8.II.1'!BV27)</f>
        <v>4245.9617738037959</v>
      </c>
      <c r="BX15" s="109">
        <f>BW15+('Appndx 6.8.II.1'!BW28-'Appndx 6.8.II.1'!BW27)</f>
        <v>4538.1617738037958</v>
      </c>
      <c r="BY15" s="109">
        <f>BX15+('Appndx 6.8.II.1'!BX28-'Appndx 6.8.II.1'!BX27)</f>
        <v>4855.7617738037961</v>
      </c>
      <c r="BZ15" s="109">
        <f>BY15+('Appndx 6.8.II.1'!BY28-'Appndx 6.8.II.1'!BY27)</f>
        <v>5200.0617738037963</v>
      </c>
      <c r="CA15" s="109">
        <f>BZ15+('Appndx 6.8.II.1'!BZ28-'Appndx 6.8.II.1'!BZ27)</f>
        <v>5571.0617738037963</v>
      </c>
      <c r="CB15" s="109">
        <f>CA15+('Appndx 6.8.II.1'!CA28-'Appndx 6.8.II.1'!CA27)</f>
        <v>5981.4617738037959</v>
      </c>
      <c r="CC15" s="109">
        <f>CB15+('Appndx 6.8.II.1'!CB28-'Appndx 6.8.II.1'!CB27)</f>
        <v>6304.4617738037959</v>
      </c>
      <c r="CD15" s="109">
        <f>CC15+('Appndx 6.8.II.1'!CC28-'Appndx 6.8.II.1'!CC27)</f>
        <v>6497.7617738037961</v>
      </c>
      <c r="CE15" s="109">
        <f>CD15+('Appndx 6.8.II.1'!CD28-'Appndx 6.8.II.1'!CD27)</f>
        <v>6682.4617738037959</v>
      </c>
      <c r="CF15" s="109">
        <f>CE15+('Appndx 6.8.II.1'!CE28-'Appndx 6.8.II.1'!CE27)</f>
        <v>6914.5617738037963</v>
      </c>
      <c r="CG15" s="109">
        <f>CF15+('Appndx 6.8.II.1'!CF28-'Appndx 6.8.II.1'!CF27)</f>
        <v>7225.3617738037965</v>
      </c>
      <c r="CH15" s="109">
        <f>CG15+('Appndx 6.8.II.1'!CG28-'Appndx 6.8.II.1'!CG27)</f>
        <v>7629.6617738037967</v>
      </c>
      <c r="CI15" s="109">
        <f>CH15+('Appndx 6.8.II.1'!CH28-'Appndx 6.8.II.1'!CH27)</f>
        <v>8093.0617738037963</v>
      </c>
      <c r="CJ15" s="109">
        <f>CI15+('Appndx 6.8.II.1'!CI28-'Appndx 6.8.II.1'!CI27)</f>
        <v>8536.261773803797</v>
      </c>
      <c r="CK15" s="109">
        <f>CJ15+('Appndx 6.8.II.1'!CJ28-'Appndx 6.8.II.1'!CJ27)</f>
        <v>8701.3617738037974</v>
      </c>
      <c r="CL15" s="109">
        <f>CK15+('Appndx 6.8.II.1'!CK28-'Appndx 6.8.II.1'!CK27)</f>
        <v>8876.5617738037981</v>
      </c>
    </row>
    <row r="16" spans="1:90" ht="36" x14ac:dyDescent="0.35">
      <c r="A16" s="8" t="s">
        <v>478</v>
      </c>
      <c r="B16" s="166" t="s">
        <v>366</v>
      </c>
      <c r="C16" s="366" t="s">
        <v>204</v>
      </c>
      <c r="D16" s="124">
        <v>77.77</v>
      </c>
      <c r="E16" s="111">
        <f>$D$16*E14</f>
        <v>81.253916184971089</v>
      </c>
      <c r="F16" s="111">
        <f t="shared" ref="F16:Z16" si="2">$D$16*F14</f>
        <v>87.437755545171825</v>
      </c>
      <c r="G16" s="111">
        <f t="shared" si="2"/>
        <v>91.591975842929941</v>
      </c>
      <c r="H16" s="111">
        <f t="shared" si="2"/>
        <v>97.020123704922355</v>
      </c>
      <c r="I16" s="111">
        <f t="shared" si="2"/>
        <v>100.80941249637925</v>
      </c>
      <c r="J16" s="111">
        <f t="shared" si="2"/>
        <v>95.234625490302292</v>
      </c>
      <c r="K16" s="111">
        <f t="shared" si="2"/>
        <v>90.443857998904534</v>
      </c>
      <c r="L16" s="111">
        <f t="shared" si="2"/>
        <v>87.448586845587158</v>
      </c>
      <c r="M16" s="111">
        <f t="shared" si="2"/>
        <v>85.609765305845443</v>
      </c>
      <c r="N16" s="111">
        <f t="shared" si="2"/>
        <v>83.717620440982074</v>
      </c>
      <c r="O16" s="111">
        <f t="shared" si="2"/>
        <v>81.545528119230084</v>
      </c>
      <c r="P16" s="111">
        <f t="shared" si="2"/>
        <v>83.584312128177984</v>
      </c>
      <c r="Q16" s="111">
        <f t="shared" si="2"/>
        <v>82.733638457096731</v>
      </c>
      <c r="R16" s="111">
        <f t="shared" si="2"/>
        <v>83.505993494405558</v>
      </c>
      <c r="S16" s="111">
        <f t="shared" si="2"/>
        <v>83.495995370945252</v>
      </c>
      <c r="T16" s="111">
        <f t="shared" si="2"/>
        <v>83.899253017177685</v>
      </c>
      <c r="U16" s="111">
        <f t="shared" si="2"/>
        <v>83.127731156823884</v>
      </c>
      <c r="V16" s="111">
        <f t="shared" si="2"/>
        <v>81.424717460751367</v>
      </c>
      <c r="W16" s="111">
        <f t="shared" si="2"/>
        <v>79.25845737768455</v>
      </c>
      <c r="X16" s="111">
        <f t="shared" si="2"/>
        <v>76.699770948800634</v>
      </c>
      <c r="Y16" s="111">
        <f t="shared" si="2"/>
        <v>83.591810720773196</v>
      </c>
      <c r="Z16" s="111">
        <f t="shared" si="2"/>
        <v>93.47745529215311</v>
      </c>
      <c r="AA16" s="170">
        <f>'Appndx 6.8.II.3'!AA35+(1-'Appndx 6.8.II.3'!AA33)*('Appndx 6.8.II.3'!AA34/'Appndx 6.8.II.3'!Z34)*'Appndx 6.8.II.5'!Z16</f>
        <v>108.87181947236776</v>
      </c>
      <c r="AB16" s="170">
        <f>'Appndx 6.8.II.3'!AB35+(1-'Appndx 6.8.II.3'!AB33)*('Appndx 6.8.II.3'!AB34/'Appndx 6.8.II.3'!AA34)*'Appndx 6.8.II.5'!AA16</f>
        <v>116.34235391433698</v>
      </c>
      <c r="AC16" s="170">
        <f>'Appndx 6.8.II.3'!AC35+(1-'Appndx 6.8.II.3'!AC33)*('Appndx 6.8.II.3'!AC34/'Appndx 6.8.II.3'!AB34)*'Appndx 6.8.II.5'!AB16</f>
        <v>135.4786434270008</v>
      </c>
      <c r="AD16" s="170">
        <f>'Appndx 6.8.II.3'!AD35+(1-'Appndx 6.8.II.3'!AD33)*('Appndx 6.8.II.3'!AD34/'Appndx 6.8.II.3'!AC34)*'Appndx 6.8.II.5'!AC16</f>
        <v>153.05018883522644</v>
      </c>
      <c r="AE16" s="170">
        <f>'Appndx 6.8.II.3'!AE35+(1-'Appndx 6.8.II.3'!AE33)*('Appndx 6.8.II.3'!AE34/'Appndx 6.8.II.3'!AD34)*'Appndx 6.8.II.5'!AD16</f>
        <v>167.35066081076795</v>
      </c>
      <c r="AF16" s="170">
        <f>'Appndx 6.8.II.3'!AF35+(1-'Appndx 6.8.II.3'!AF33)*('Appndx 6.8.II.3'!AF34/'Appndx 6.8.II.3'!AE34)*'Appndx 6.8.II.5'!AE16</f>
        <v>181.0929233081971</v>
      </c>
      <c r="AG16" s="170">
        <f>'Appndx 6.8.II.3'!AG35+(1-'Appndx 6.8.II.3'!AG33)*('Appndx 6.8.II.3'!AG34/'Appndx 6.8.II.3'!AF34)*'Appndx 6.8.II.5'!AF16</f>
        <v>190.95914732811309</v>
      </c>
      <c r="AH16" s="170">
        <f>'Appndx 6.8.II.3'!AH35+(1-'Appndx 6.8.II.3'!AH33)*('Appndx 6.8.II.3'!AH34/'Appndx 6.8.II.3'!AG34)*'Appndx 6.8.II.5'!AG16</f>
        <v>214.44974765048576</v>
      </c>
      <c r="AI16" s="170">
        <f>'Appndx 6.8.II.3'!AI35+(1-'Appndx 6.8.II.3'!AI33)*('Appndx 6.8.II.3'!AI34/'Appndx 6.8.II.3'!AH34)*'Appndx 6.8.II.5'!AH16</f>
        <v>243.1735646598359</v>
      </c>
      <c r="AJ16" s="170">
        <f>'Appndx 6.8.II.3'!AJ35+(1-'Appndx 6.8.II.3'!AJ33)*('Appndx 6.8.II.3'!AJ34/'Appndx 6.8.II.3'!AI34)*'Appndx 6.8.II.5'!AI16</f>
        <v>266.08052775897443</v>
      </c>
      <c r="AK16" s="170">
        <f>'Appndx 6.8.II.3'!AK35+(1-'Appndx 6.8.II.3'!AK33)*('Appndx 6.8.II.3'!AK34/'Appndx 6.8.II.3'!AJ34)*'Appndx 6.8.II.5'!AJ16</f>
        <v>274.9129145816438</v>
      </c>
      <c r="AL16" s="170">
        <f>'Appndx 6.8.II.3'!AL35+(1-'Appndx 6.8.II.3'!AL33)*('Appndx 6.8.II.3'!AL34/'Appndx 6.8.II.3'!AK34)*'Appndx 6.8.II.5'!AK16</f>
        <v>290.56766392670824</v>
      </c>
      <c r="AM16" s="170">
        <f>'Appndx 6.8.II.3'!AM35+(1-'Appndx 6.8.II.3'!AM33)*('Appndx 6.8.II.3'!AM34/'Appndx 6.8.II.3'!AL34)*'Appndx 6.8.II.5'!AL16</f>
        <v>299.99651908411721</v>
      </c>
      <c r="AN16" s="170">
        <f>'Appndx 6.8.II.3'!AN35+(1-'Appndx 6.8.II.3'!AN33)*('Appndx 6.8.II.3'!AN34/'Appndx 6.8.II.3'!AM34)*'Appndx 6.8.II.5'!AM16</f>
        <v>310.34867507386866</v>
      </c>
      <c r="AO16" s="170">
        <f>'Appndx 6.8.II.3'!AO35+(1-'Appndx 6.8.II.3'!AO33)*('Appndx 6.8.II.3'!AO34/'Appndx 6.8.II.3'!AN34)*'Appndx 6.8.II.5'!AN16</f>
        <v>323.6909055065932</v>
      </c>
      <c r="AP16" s="170">
        <f>'Appndx 6.8.II.3'!AP35+(1-'Appndx 6.8.II.3'!AP33)*('Appndx 6.8.II.3'!AP34/'Appndx 6.8.II.3'!AO34)*'Appndx 6.8.II.5'!AO16</f>
        <v>337.56699885843346</v>
      </c>
      <c r="AQ16" s="170">
        <f>'Appndx 6.8.II.3'!AQ35+(1-'Appndx 6.8.II.3'!AQ33)*('Appndx 6.8.II.3'!AQ34/'Appndx 6.8.II.3'!AP34)*'Appndx 6.8.II.5'!AP16</f>
        <v>360.67945656384245</v>
      </c>
      <c r="AR16" s="170">
        <f>'Appndx 6.8.II.3'!AR35+(1-'Appndx 6.8.II.3'!AR33)*('Appndx 6.8.II.3'!AR34/'Appndx 6.8.II.3'!AQ34)*'Appndx 6.8.II.5'!AQ16</f>
        <v>391.51987491684906</v>
      </c>
      <c r="AS16" s="170">
        <f>'Appndx 6.8.II.3'!AS35+(1-'Appndx 6.8.II.3'!AS33)*('Appndx 6.8.II.3'!AS34/'Appndx 6.8.II.3'!AR34)*'Appndx 6.8.II.5'!AR16</f>
        <v>433.05498984237107</v>
      </c>
      <c r="AT16" s="170">
        <f>'Appndx 6.8.II.3'!AT35+(1-'Appndx 6.8.II.3'!AT33)*('Appndx 6.8.II.3'!AT34/'Appndx 6.8.II.3'!AS34)*'Appndx 6.8.II.5'!AS16</f>
        <v>475.10946558557498</v>
      </c>
      <c r="AU16" s="170">
        <f>'Appndx 6.8.II.3'!AU35+(1-'Appndx 6.8.II.3'!AU33)*('Appndx 6.8.II.3'!AU34/'Appndx 6.8.II.3'!AT34)*'Appndx 6.8.II.5'!AT16</f>
        <v>528.46434656210488</v>
      </c>
      <c r="AV16" s="170">
        <f>'Appndx 6.8.II.3'!AV35+(1-'Appndx 6.8.II.3'!AV33)*('Appndx 6.8.II.3'!AV34/'Appndx 6.8.II.3'!AU34)*'Appndx 6.8.II.5'!AU16</f>
        <v>588.3750570199951</v>
      </c>
      <c r="AW16" s="170">
        <f>'Appndx 6.8.II.3'!AW35+(1-'Appndx 6.8.II.3'!AW33)*('Appndx 6.8.II.3'!AW34/'Appndx 6.8.II.3'!AV34)*'Appndx 6.8.II.5'!AV16</f>
        <v>653.17068168341473</v>
      </c>
      <c r="AX16" s="170">
        <f>'Appndx 6.8.II.3'!AX35+(1-'Appndx 6.8.II.3'!AX33)*('Appndx 6.8.II.3'!AX34/'Appndx 6.8.II.3'!AW34)*'Appndx 6.8.II.5'!AW16</f>
        <v>721.39012758012336</v>
      </c>
      <c r="AY16" s="170">
        <f>'Appndx 6.8.II.3'!AY35+(1-'Appndx 6.8.II.3'!AY33)*('Appndx 6.8.II.3'!AY34/'Appndx 6.8.II.3'!AX34)*'Appndx 6.8.II.5'!AX16</f>
        <v>789.17713635347798</v>
      </c>
      <c r="AZ16" s="170">
        <f>'Appndx 6.8.II.3'!AZ35+(1-'Appndx 6.8.II.3'!AZ33)*('Appndx 6.8.II.3'!AZ34/'Appndx 6.8.II.3'!AY34)*'Appndx 6.8.II.5'!AY16</f>
        <v>898.78570737628274</v>
      </c>
      <c r="BA16" s="170">
        <f>'Appndx 6.8.II.3'!BA35+(1-'Appndx 6.8.II.3'!BA33)*('Appndx 6.8.II.3'!BA34/'Appndx 6.8.II.3'!AZ34)*'Appndx 6.8.II.5'!AZ16</f>
        <v>1106.0672695397259</v>
      </c>
      <c r="BB16" s="170">
        <f>'Appndx 6.8.II.3'!BB35+(1-'Appndx 6.8.II.3'!BB33)*('Appndx 6.8.II.3'!BB34/'Appndx 6.8.II.3'!BA34)*'Appndx 6.8.II.5'!BA16</f>
        <v>1233.0862744879516</v>
      </c>
      <c r="BC16" s="170">
        <f>'Appndx 6.8.II.3'!BC35+(1-'Appndx 6.8.II.3'!BC33)*('Appndx 6.8.II.3'!BC34/'Appndx 6.8.II.3'!BB34)*'Appndx 6.8.II.5'!BB16</f>
        <v>1358.7917794235582</v>
      </c>
      <c r="BD16" s="170">
        <f>'Appndx 6.8.II.3'!BD35+(1-'Appndx 6.8.II.3'!BD33)*('Appndx 6.8.II.3'!BD34/'Appndx 6.8.II.3'!BC34)*'Appndx 6.8.II.5'!BC16</f>
        <v>1517.9330026892012</v>
      </c>
      <c r="BE16" s="170">
        <f>'Appndx 6.8.II.3'!BE35+(1-'Appndx 6.8.II.3'!BE33)*('Appndx 6.8.II.3'!BE34/'Appndx 6.8.II.3'!BD34)*'Appndx 6.8.II.5'!BD16</f>
        <v>1732.7347669542085</v>
      </c>
      <c r="BF16" s="170">
        <f>'Appndx 6.8.II.3'!BF35+(1-'Appndx 6.8.II.3'!BF33)*('Appndx 6.8.II.3'!BF34/'Appndx 6.8.II.3'!BE34)*'Appndx 6.8.II.5'!BE16</f>
        <v>2003.8061671874761</v>
      </c>
      <c r="BG16" s="170">
        <f>'Appndx 6.8.II.3'!BG35+(1-'Appndx 6.8.II.3'!BG33)*('Appndx 6.8.II.3'!BG34/'Appndx 6.8.II.3'!BF34)*'Appndx 6.8.II.5'!BF16</f>
        <v>2311.2788732536965</v>
      </c>
      <c r="BH16" s="170">
        <f>'Appndx 6.8.II.3'!BH35+(1-'Appndx 6.8.II.3'!BH33)*('Appndx 6.8.II.3'!BH34/'Appndx 6.8.II.3'!BG34)*'Appndx 6.8.II.5'!BG16</f>
        <v>2619.7223474076313</v>
      </c>
      <c r="BI16" s="170">
        <f>'Appndx 6.8.II.3'!BI35+(1-'Appndx 6.8.II.3'!BI33)*('Appndx 6.8.II.3'!BI34/'Appndx 6.8.II.3'!BH34)*'Appndx 6.8.II.5'!BH16</f>
        <v>2784.3085913891855</v>
      </c>
      <c r="BJ16" s="170">
        <f>'Appndx 6.8.II.3'!BJ35+(1-'Appndx 6.8.II.3'!BJ33)*('Appndx 6.8.II.3'!BJ34/'Appndx 6.8.II.3'!BI34)*'Appndx 6.8.II.5'!BI16</f>
        <v>2868.0496357503303</v>
      </c>
      <c r="BK16" s="170">
        <f>'Appndx 6.8.II.3'!BK35+(1-'Appndx 6.8.II.3'!BK33)*('Appndx 6.8.II.3'!BK34/'Appndx 6.8.II.3'!BJ34)*'Appndx 6.8.II.5'!BJ16</f>
        <v>3045.6594598104448</v>
      </c>
      <c r="BL16" s="170">
        <f>'Appndx 6.8.II.3'!BL35+(1-'Appndx 6.8.II.3'!BL33)*('Appndx 6.8.II.3'!BL34/'Appndx 6.8.II.3'!BK34)*'Appndx 6.8.II.5'!BK16</f>
        <v>3224.884995537328</v>
      </c>
      <c r="BM16" s="170">
        <f>'Appndx 6.8.II.3'!BM35+(1-'Appndx 6.8.II.3'!BM33)*('Appndx 6.8.II.3'!BM34/'Appndx 6.8.II.3'!BL34)*'Appndx 6.8.II.5'!BL16</f>
        <v>3377.1601047951908</v>
      </c>
      <c r="BN16" s="170">
        <f>'Appndx 6.8.II.3'!BN35+(1-'Appndx 6.8.II.3'!BN33)*('Appndx 6.8.II.3'!BN34/'Appndx 6.8.II.3'!BM34)*'Appndx 6.8.II.5'!BM16</f>
        <v>3558.1277941495446</v>
      </c>
      <c r="BO16" s="170">
        <f>'Appndx 6.8.II.3'!BO35+(1-'Appndx 6.8.II.3'!BO33)*('Appndx 6.8.II.3'!BO34/'Appndx 6.8.II.3'!BN34)*'Appndx 6.8.II.5'!BN16</f>
        <v>3790.1342922340514</v>
      </c>
      <c r="BP16" s="170">
        <f>'Appndx 6.8.II.3'!BP35+(1-'Appndx 6.8.II.3'!BP33)*('Appndx 6.8.II.3'!BP34/'Appndx 6.8.II.3'!BO34)*'Appndx 6.8.II.5'!BO16</f>
        <v>4022.3199966881789</v>
      </c>
      <c r="BQ16" s="170">
        <f>'Appndx 6.8.II.3'!BQ35+(1-'Appndx 6.8.II.3'!BQ33)*('Appndx 6.8.II.3'!BQ34/'Appndx 6.8.II.3'!BP34)*'Appndx 6.8.II.5'!BP16</f>
        <v>4263.9472250641156</v>
      </c>
      <c r="BR16" s="170">
        <f>'Appndx 6.8.II.3'!BR35+(1-'Appndx 6.8.II.3'!BR33)*('Appndx 6.8.II.3'!BR34/'Appndx 6.8.II.3'!BQ34)*'Appndx 6.8.II.5'!BQ16</f>
        <v>4375.6661478156238</v>
      </c>
      <c r="BS16" s="170">
        <f>'Appndx 6.8.II.3'!BS35+(1-'Appndx 6.8.II.3'!BS33)*('Appndx 6.8.II.3'!BS34/'Appndx 6.8.II.3'!BR34)*'Appndx 6.8.II.5'!BR16</f>
        <v>4534.0863190006412</v>
      </c>
      <c r="BT16" s="170">
        <f>'Appndx 6.8.II.3'!BT35+(1-'Appndx 6.8.II.3'!BT33)*('Appndx 6.8.II.3'!BT34/'Appndx 6.8.II.3'!BS34)*'Appndx 6.8.II.5'!BS16</f>
        <v>4760.1791447404858</v>
      </c>
      <c r="BU16" s="170">
        <f>'Appndx 6.8.II.3'!BU35+(1-'Appndx 6.8.II.3'!BU33)*('Appndx 6.8.II.3'!BU34/'Appndx 6.8.II.3'!BT34)*'Appndx 6.8.II.5'!BT16</f>
        <v>5039.1036096115276</v>
      </c>
      <c r="BV16" s="170">
        <f>'Appndx 6.8.II.3'!BV35+(1-'Appndx 6.8.II.3'!BV33)*('Appndx 6.8.II.3'!BV34/'Appndx 6.8.II.3'!BU34)*'Appndx 6.8.II.5'!BU16</f>
        <v>5352.0043204349904</v>
      </c>
      <c r="BW16" s="170">
        <f>'Appndx 6.8.II.3'!BW35+(1-'Appndx 6.8.II.3'!BW33)*('Appndx 6.8.II.3'!BW34/'Appndx 6.8.II.3'!BV34)*'Appndx 6.8.II.5'!BV16</f>
        <v>5657.8124582900437</v>
      </c>
      <c r="BX16" s="170">
        <f>'Appndx 6.8.II.3'!BX35+(1-'Appndx 6.8.II.3'!BX33)*('Appndx 6.8.II.3'!BX34/'Appndx 6.8.II.3'!BW34)*'Appndx 6.8.II.5'!BW16</f>
        <v>6010.7635198928601</v>
      </c>
      <c r="BY16" s="170">
        <f>'Appndx 6.8.II.3'!BY35+(1-'Appndx 6.8.II.3'!BY33)*('Appndx 6.8.II.3'!BY34/'Appndx 6.8.II.3'!BX34)*'Appndx 6.8.II.5'!BX16</f>
        <v>6392.930342530286</v>
      </c>
      <c r="BZ16" s="170">
        <f>'Appndx 6.8.II.3'!BZ35+(1-'Appndx 6.8.II.3'!BZ33)*('Appndx 6.8.II.3'!BZ34/'Appndx 6.8.II.3'!BY34)*'Appndx 6.8.II.5'!BY16</f>
        <v>6820.8096947881095</v>
      </c>
      <c r="CA16" s="170">
        <f>'Appndx 6.8.II.3'!CA35+(1-'Appndx 6.8.II.3'!CA33)*('Appndx 6.8.II.3'!CA34/'Appndx 6.8.II.3'!BZ34)*'Appndx 6.8.II.5'!BZ16</f>
        <v>7358.470947300596</v>
      </c>
      <c r="CB16" s="170">
        <f>'Appndx 6.8.II.3'!CB35+(1-'Appndx 6.8.II.3'!CB33)*('Appndx 6.8.II.3'!CB34/'Appndx 6.8.II.3'!CA34)*'Appndx 6.8.II.5'!CA16</f>
        <v>7789.9967768644001</v>
      </c>
      <c r="CC16" s="170">
        <f>'Appndx 6.8.II.3'!CC35+(1-'Appndx 6.8.II.3'!CC33)*('Appndx 6.8.II.3'!CC34/'Appndx 6.8.II.3'!CB34)*'Appndx 6.8.II.5'!CB16</f>
        <v>8079.8634754946725</v>
      </c>
      <c r="CD16" s="170">
        <f>'Appndx 6.8.II.3'!CD35+(1-'Appndx 6.8.II.3'!CD33)*('Appndx 6.8.II.3'!CD34/'Appndx 6.8.II.3'!CC34)*'Appndx 6.8.II.5'!CC16</f>
        <v>8328.1736557664899</v>
      </c>
      <c r="CE16" s="170">
        <f>'Appndx 6.8.II.3'!CE35+(1-'Appndx 6.8.II.3'!CE33)*('Appndx 6.8.II.3'!CE34/'Appndx 6.8.II.3'!CD34)*'Appndx 6.8.II.5'!CD16</f>
        <v>8958.4412203934717</v>
      </c>
      <c r="CF16" s="170">
        <f>'Appndx 6.8.II.3'!CF35+(1-'Appndx 6.8.II.3'!CF33)*('Appndx 6.8.II.3'!CF34/'Appndx 6.8.II.3'!CE34)*'Appndx 6.8.II.5'!CE16</f>
        <v>9708.4481269814714</v>
      </c>
      <c r="CG16" s="170">
        <f>'Appndx 6.8.II.3'!CG35+(1-'Appndx 6.8.II.3'!CG33)*('Appndx 6.8.II.3'!CG34/'Appndx 6.8.II.3'!CF34)*'Appndx 6.8.II.5'!CF16</f>
        <v>10478.503604944661</v>
      </c>
      <c r="CH16" s="170">
        <f>'Appndx 6.8.II.3'!CH35+(1-'Appndx 6.8.II.3'!CH33)*('Appndx 6.8.II.3'!CH34/'Appndx 6.8.II.3'!CG34)*'Appndx 6.8.II.5'!CG16</f>
        <v>11015.545141571272</v>
      </c>
      <c r="CI16" s="170">
        <f>'Appndx 6.8.II.3'!CI35+(1-'Appndx 6.8.II.3'!CI33)*('Appndx 6.8.II.3'!CI34/'Appndx 6.8.II.3'!CH34)*'Appndx 6.8.II.5'!CH16</f>
        <v>11694.580884627594</v>
      </c>
      <c r="CJ16" s="170">
        <f>'Appndx 6.8.II.3'!CJ35+(1-'Appndx 6.8.II.3'!CJ33)*('Appndx 6.8.II.3'!CJ34/'Appndx 6.8.II.3'!CI34)*'Appndx 6.8.II.5'!CI16</f>
        <v>11238.499630906794</v>
      </c>
      <c r="CK16" s="170">
        <f>'Appndx 6.8.II.3'!CK35+(1-'Appndx 6.8.II.3'!CK33)*('Appndx 6.8.II.3'!CK34/'Appndx 6.8.II.3'!CJ34)*'Appndx 6.8.II.5'!CJ16</f>
        <v>11406.91836245093</v>
      </c>
      <c r="CL16" s="170">
        <f>'Appndx 6.8.II.3'!CL35+(1-'Appndx 6.8.II.3'!CL33)*('Appndx 6.8.II.3'!CL34/'Appndx 6.8.II.3'!CK34)*'Appndx 6.8.II.5'!CK16</f>
        <v>11797.97007262885</v>
      </c>
    </row>
    <row r="17" spans="1:90" ht="36" x14ac:dyDescent="0.35">
      <c r="A17" s="8" t="s">
        <v>479</v>
      </c>
      <c r="B17" s="166" t="s">
        <v>367</v>
      </c>
      <c r="C17" s="129" t="s">
        <v>326</v>
      </c>
      <c r="D17" s="124">
        <v>141.91900000000001</v>
      </c>
      <c r="E17" s="111">
        <f>$D$17*E14</f>
        <v>148.27664306358383</v>
      </c>
      <c r="F17" s="111">
        <f t="shared" ref="F17:Z17" si="3">$D$17*F14</f>
        <v>159.56125535830324</v>
      </c>
      <c r="G17" s="111">
        <f t="shared" si="3"/>
        <v>167.14210646332489</v>
      </c>
      <c r="H17" s="111">
        <f t="shared" si="3"/>
        <v>177.04769109012315</v>
      </c>
      <c r="I17" s="111">
        <f t="shared" si="3"/>
        <v>183.96259498615981</v>
      </c>
      <c r="J17" s="111">
        <f t="shared" si="3"/>
        <v>173.78941513383327</v>
      </c>
      <c r="K17" s="111">
        <f t="shared" si="3"/>
        <v>165.04695748163218</v>
      </c>
      <c r="L17" s="111">
        <f t="shared" si="3"/>
        <v>159.5810209147343</v>
      </c>
      <c r="M17" s="111">
        <f t="shared" si="3"/>
        <v>156.22543760370684</v>
      </c>
      <c r="N17" s="111">
        <f t="shared" si="3"/>
        <v>152.77254693794185</v>
      </c>
      <c r="O17" s="111">
        <f t="shared" si="3"/>
        <v>148.80879265980474</v>
      </c>
      <c r="P17" s="111">
        <f t="shared" si="3"/>
        <v>152.529278551098</v>
      </c>
      <c r="Q17" s="111">
        <f t="shared" si="3"/>
        <v>150.97692215755063</v>
      </c>
      <c r="R17" s="111">
        <f t="shared" si="3"/>
        <v>152.38635837382725</v>
      </c>
      <c r="S17" s="111">
        <f t="shared" si="3"/>
        <v>152.36811324481394</v>
      </c>
      <c r="T17" s="111">
        <f t="shared" si="3"/>
        <v>153.10400011501659</v>
      </c>
      <c r="U17" s="111">
        <f t="shared" si="3"/>
        <v>151.69608432615777</v>
      </c>
      <c r="V17" s="111">
        <f t="shared" si="3"/>
        <v>148.58833068422751</v>
      </c>
      <c r="W17" s="111">
        <f t="shared" si="3"/>
        <v>144.63521939801484</v>
      </c>
      <c r="X17" s="111">
        <f t="shared" si="3"/>
        <v>139.96598679803057</v>
      </c>
      <c r="Y17" s="111">
        <f t="shared" si="3"/>
        <v>152.54296239785796</v>
      </c>
      <c r="Z17" s="111">
        <f t="shared" si="3"/>
        <v>170.58283370974769</v>
      </c>
      <c r="AA17" s="171">
        <f>'Appndx 6.8.II.3'!AA35+(1-'Appndx 6.8.II.3'!AA43)*('Appndx 6.8.II.3'!AA34/'Appndx 6.8.II.3'!Z34)*'Appndx 6.8.II.5'!Z17</f>
        <v>191.68359280651978</v>
      </c>
      <c r="AB17" s="171">
        <f>'Appndx 6.8.II.3'!AB35+(1-'Appndx 6.8.II.3'!AB43)*('Appndx 6.8.II.3'!AB34/'Appndx 6.8.II.3'!AA34)*'Appndx 6.8.II.5'!AA17</f>
        <v>200.7047696097666</v>
      </c>
      <c r="AC17" s="171">
        <f>'Appndx 6.8.II.3'!AC35+(1-'Appndx 6.8.II.3'!AC43)*('Appndx 6.8.II.3'!AC34/'Appndx 6.8.II.3'!AB34)*'Appndx 6.8.II.5'!AB17</f>
        <v>230.20600652901382</v>
      </c>
      <c r="AD17" s="171">
        <f>'Appndx 6.8.II.3'!AD35+(1-'Appndx 6.8.II.3'!AD43)*('Appndx 6.8.II.3'!AD34/'Appndx 6.8.II.3'!AC34)*'Appndx 6.8.II.5'!AC17</f>
        <v>255.84979414602253</v>
      </c>
      <c r="AE17" s="171">
        <f>'Appndx 6.8.II.3'!AE35+(1-'Appndx 6.8.II.3'!AE43)*('Appndx 6.8.II.3'!AE34/'Appndx 6.8.II.3'!AD34)*'Appndx 6.8.II.5'!AD17</f>
        <v>276.73284181520842</v>
      </c>
      <c r="AF17" s="171">
        <f>'Appndx 6.8.II.3'!AF35+(1-'Appndx 6.8.II.3'!AF43)*('Appndx 6.8.II.3'!AF34/'Appndx 6.8.II.3'!AE34)*'Appndx 6.8.II.5'!AE17</f>
        <v>296.53555848647704</v>
      </c>
      <c r="AG17" s="171">
        <f>'Appndx 6.8.II.3'!AG35+(1-'Appndx 6.8.II.3'!AG43)*('Appndx 6.8.II.3'!AG34/'Appndx 6.8.II.3'!AF34)*'Appndx 6.8.II.5'!AF17</f>
        <v>311.23510269058767</v>
      </c>
      <c r="AH17" s="171">
        <f>'Appndx 6.8.II.3'!AH35+(1-'Appndx 6.8.II.3'!AH43)*('Appndx 6.8.II.3'!AH34/'Appndx 6.8.II.3'!AG34)*'Appndx 6.8.II.5'!AG17</f>
        <v>347.98339125729046</v>
      </c>
      <c r="AI17" s="171">
        <f>'Appndx 6.8.II.3'!AI35+(1-'Appndx 6.8.II.3'!AI43)*('Appndx 6.8.II.3'!AI34/'Appndx 6.8.II.3'!AH34)*'Appndx 6.8.II.5'!AH17</f>
        <v>391.84737262800849</v>
      </c>
      <c r="AJ17" s="171">
        <f>'Appndx 6.8.II.3'!AJ35+(1-'Appndx 6.8.II.3'!AJ43)*('Appndx 6.8.II.3'!AJ34/'Appndx 6.8.II.3'!AI34)*'Appndx 6.8.II.5'!AI17</f>
        <v>426.58610936054731</v>
      </c>
      <c r="AK17" s="171">
        <f>'Appndx 6.8.II.3'!AK35+(1-'Appndx 6.8.II.3'!AK43)*('Appndx 6.8.II.3'!AK34/'Appndx 6.8.II.3'!AJ34)*'Appndx 6.8.II.5'!AJ17</f>
        <v>442.59008309327965</v>
      </c>
      <c r="AL17" s="171">
        <f>'Appndx 6.8.II.3'!AL35+(1-'Appndx 6.8.II.3'!AL43)*('Appndx 6.8.II.3'!AL34/'Appndx 6.8.II.3'!AK34)*'Appndx 6.8.II.5'!AK17</f>
        <v>469.2512596112735</v>
      </c>
      <c r="AM17" s="171">
        <f>'Appndx 6.8.II.3'!AM35+(1-'Appndx 6.8.II.3'!AM43)*('Appndx 6.8.II.3'!AM34/'Appndx 6.8.II.3'!AL34)*'Appndx 6.8.II.5'!AL17</f>
        <v>484.93225288290358</v>
      </c>
      <c r="AN17" s="171">
        <f>'Appndx 6.8.II.3'!AN35+(1-'Appndx 6.8.II.3'!AN43)*('Appndx 6.8.II.3'!AN34/'Appndx 6.8.II.3'!AM34)*'Appndx 6.8.II.5'!AM17</f>
        <v>503.27763471608745</v>
      </c>
      <c r="AO17" s="171">
        <f>'Appndx 6.8.II.3'!AO35+(1-'Appndx 6.8.II.3'!AO43)*('Appndx 6.8.II.3'!AO34/'Appndx 6.8.II.3'!AN34)*'Appndx 6.8.II.5'!AN17</f>
        <v>525.44923899800187</v>
      </c>
      <c r="AP17" s="171">
        <f>'Appndx 6.8.II.3'!AP35+(1-'Appndx 6.8.II.3'!AP43)*('Appndx 6.8.II.3'!AP34/'Appndx 6.8.II.3'!AO34)*'Appndx 6.8.II.5'!AO17</f>
        <v>548.43172015159848</v>
      </c>
      <c r="AQ17" s="171">
        <f>'Appndx 6.8.II.3'!AQ35+(1-'Appndx 6.8.II.3'!AQ43)*('Appndx 6.8.II.3'!AQ34/'Appndx 6.8.II.3'!AP34)*'Appndx 6.8.II.5'!AP17</f>
        <v>584.41674060841797</v>
      </c>
      <c r="AR17" s="171">
        <f>'Appndx 6.8.II.3'!AR35+(1-'Appndx 6.8.II.3'!AR43)*('Appndx 6.8.II.3'!AR34/'Appndx 6.8.II.3'!AQ34)*'Appndx 6.8.II.5'!AQ17</f>
        <v>629.51384997359241</v>
      </c>
      <c r="AS17" s="171">
        <f>'Appndx 6.8.II.3'!AS35+(1-'Appndx 6.8.II.3'!AS43)*('Appndx 6.8.II.3'!AS34/'Appndx 6.8.II.3'!AR34)*'Appndx 6.8.II.5'!AR17</f>
        <v>689.33894427325106</v>
      </c>
      <c r="AT17" s="171">
        <f>'Appndx 6.8.II.3'!AT35+(1-'Appndx 6.8.II.3'!AT43)*('Appndx 6.8.II.3'!AT34/'Appndx 6.8.II.3'!AS34)*'Appndx 6.8.II.5'!AS17</f>
        <v>753.33113522681447</v>
      </c>
      <c r="AU17" s="171">
        <f>'Appndx 6.8.II.3'!AU35+(1-'Appndx 6.8.II.3'!AU43)*('Appndx 6.8.II.3'!AU34/'Appndx 6.8.II.3'!AT34)*'Appndx 6.8.II.5'!AT17</f>
        <v>835.85126617602316</v>
      </c>
      <c r="AV17" s="171">
        <f>'Appndx 6.8.II.3'!AV35+(1-'Appndx 6.8.II.3'!AV43)*('Appndx 6.8.II.3'!AV34/'Appndx 6.8.II.3'!AU34)*'Appndx 6.8.II.5'!AU17</f>
        <v>928.3262407092185</v>
      </c>
      <c r="AW17" s="171">
        <f>'Appndx 6.8.II.3'!AW35+(1-'Appndx 6.8.II.3'!AW43)*('Appndx 6.8.II.3'!AW34/'Appndx 6.8.II.3'!AV34)*'Appndx 6.8.II.5'!AV17</f>
        <v>1032.4109896184032</v>
      </c>
      <c r="AX17" s="171">
        <f>'Appndx 6.8.II.3'!AX35+(1-'Appndx 6.8.II.3'!AX43)*('Appndx 6.8.II.3'!AX34/'Appndx 6.8.II.3'!AW34)*'Appndx 6.8.II.5'!AW17</f>
        <v>1145.8564474489679</v>
      </c>
      <c r="AY17" s="171">
        <f>'Appndx 6.8.II.3'!AY35+(1-'Appndx 6.8.II.3'!AY43)*('Appndx 6.8.II.3'!AY34/'Appndx 6.8.II.3'!AX34)*'Appndx 6.8.II.5'!AX17</f>
        <v>1256.3166880969834</v>
      </c>
      <c r="AZ17" s="171">
        <f>'Appndx 6.8.II.3'!AZ35+(1-'Appndx 6.8.II.3'!AZ43)*('Appndx 6.8.II.3'!AZ34/'Appndx 6.8.II.3'!AY34)*'Appndx 6.8.II.5'!AY17</f>
        <v>1429.5600183096158</v>
      </c>
      <c r="BA17" s="171">
        <f>'Appndx 6.8.II.3'!BA35+(1-'Appndx 6.8.II.3'!BA43)*('Appndx 6.8.II.3'!BA34/'Appndx 6.8.II.3'!AZ34)*'Appndx 6.8.II.5'!AZ17</f>
        <v>1763.5896893717152</v>
      </c>
      <c r="BB17" s="171">
        <f>'Appndx 6.8.II.3'!BB35+(1-'Appndx 6.8.II.3'!BB43)*('Appndx 6.8.II.3'!BB34/'Appndx 6.8.II.3'!BA34)*'Appndx 6.8.II.5'!BA17</f>
        <v>1983.0408217262741</v>
      </c>
      <c r="BC17" s="171">
        <f>'Appndx 6.8.II.3'!BC35+(1-'Appndx 6.8.II.3'!BC43)*('Appndx 6.8.II.3'!BC34/'Appndx 6.8.II.3'!BB34)*'Appndx 6.8.II.5'!BB17</f>
        <v>2204.9619793215516</v>
      </c>
      <c r="BD17" s="171">
        <f>'Appndx 6.8.II.3'!BD35+(1-'Appndx 6.8.II.3'!BD43)*('Appndx 6.8.II.3'!BD34/'Appndx 6.8.II.3'!BC34)*'Appndx 6.8.II.5'!BC17</f>
        <v>2477.8222116408642</v>
      </c>
      <c r="BE17" s="171">
        <f>'Appndx 6.8.II.3'!BE35+(1-'Appndx 6.8.II.3'!BE43)*('Appndx 6.8.II.3'!BE34/'Appndx 6.8.II.3'!BD34)*'Appndx 6.8.II.5'!BD17</f>
        <v>2835.8341845926311</v>
      </c>
      <c r="BF17" s="171">
        <f>'Appndx 6.8.II.3'!BF35+(1-'Appndx 6.8.II.3'!BF43)*('Appndx 6.8.II.3'!BF34/'Appndx 6.8.II.3'!BE34)*'Appndx 6.8.II.5'!BE17</f>
        <v>3283.9472079486031</v>
      </c>
      <c r="BG17" s="171">
        <f>'Appndx 6.8.II.3'!BG35+(1-'Appndx 6.8.II.3'!BG43)*('Appndx 6.8.II.3'!BG34/'Appndx 6.8.II.3'!BF34)*'Appndx 6.8.II.5'!BF17</f>
        <v>3800.0711216002469</v>
      </c>
      <c r="BH17" s="171">
        <f>'Appndx 6.8.II.3'!BH35+(1-'Appndx 6.8.II.3'!BH43)*('Appndx 6.8.II.3'!BH34/'Appndx 6.8.II.3'!BG34)*'Appndx 6.8.II.5'!BG17</f>
        <v>4326.9839530503541</v>
      </c>
      <c r="BI17" s="171">
        <f>'Appndx 6.8.II.3'!BI35+(1-'Appndx 6.8.II.3'!BI43)*('Appndx 6.8.II.3'!BI34/'Appndx 6.8.II.3'!BH34)*'Appndx 6.8.II.5'!BH17</f>
        <v>4638.9577760993016</v>
      </c>
      <c r="BJ17" s="171">
        <f>'Appndx 6.8.II.3'!BJ35+(1-'Appndx 6.8.II.3'!BJ43)*('Appndx 6.8.II.3'!BJ34/'Appndx 6.8.II.3'!BI34)*'Appndx 6.8.II.5'!BI17</f>
        <v>4822.6751063715528</v>
      </c>
      <c r="BK17" s="171">
        <f>'Appndx 6.8.II.3'!BK35+(1-'Appndx 6.8.II.3'!BK43)*('Appndx 6.8.II.3'!BK34/'Appndx 6.8.II.3'!BJ34)*'Appndx 6.8.II.5'!BJ17</f>
        <v>5136.9718432926129</v>
      </c>
      <c r="BL17" s="171">
        <f>'Appndx 6.8.II.3'!BL35+(1-'Appndx 6.8.II.3'!BL43)*('Appndx 6.8.II.3'!BL34/'Appndx 6.8.II.3'!BK34)*'Appndx 6.8.II.5'!BK17</f>
        <v>5450.7339934434549</v>
      </c>
      <c r="BM17" s="171">
        <f>'Appndx 6.8.II.3'!BM35+(1-'Appndx 6.8.II.3'!BM43)*('Appndx 6.8.II.3'!BM34/'Appndx 6.8.II.3'!BL34)*'Appndx 6.8.II.5'!BL17</f>
        <v>5739.714132823804</v>
      </c>
      <c r="BN17" s="171">
        <f>'Appndx 6.8.II.3'!BN35+(1-'Appndx 6.8.II.3'!BN43)*('Appndx 6.8.II.3'!BN34/'Appndx 6.8.II.3'!BM34)*'Appndx 6.8.II.5'!BM17</f>
        <v>6092.1964278163705</v>
      </c>
      <c r="BO17" s="171">
        <f>'Appndx 6.8.II.3'!BO35+(1-'Appndx 6.8.II.3'!BO43)*('Appndx 6.8.II.3'!BO34/'Appndx 6.8.II.3'!BN34)*'Appndx 6.8.II.5'!BN17</f>
        <v>6531.1328708283454</v>
      </c>
      <c r="BP17" s="171">
        <f>'Appndx 6.8.II.3'!BP35+(1-'Appndx 6.8.II.3'!BP43)*('Appndx 6.8.II.3'!BP34/'Appndx 6.8.II.3'!BO34)*'Appndx 6.8.II.5'!BO17</f>
        <v>6967.2695129476142</v>
      </c>
      <c r="BQ17" s="171">
        <f>'Appndx 6.8.II.3'!BQ35+(1-'Appndx 6.8.II.3'!BQ43)*('Appndx 6.8.II.3'!BQ34/'Appndx 6.8.II.3'!BP34)*'Appndx 6.8.II.5'!BP17</f>
        <v>7416.8195516211827</v>
      </c>
      <c r="BR17" s="171">
        <f>'Appndx 6.8.II.3'!BR35+(1-'Appndx 6.8.II.3'!BR43)*('Appndx 6.8.II.3'!BR34/'Appndx 6.8.II.3'!BQ34)*'Appndx 6.8.II.5'!BQ17</f>
        <v>7670.8141193721458</v>
      </c>
      <c r="BS17" s="171">
        <f>'Appndx 6.8.II.3'!BS35+(1-'Appndx 6.8.II.3'!BS43)*('Appndx 6.8.II.3'!BS34/'Appndx 6.8.II.3'!BR34)*'Appndx 6.8.II.5'!BR17</f>
        <v>8013.0348011428432</v>
      </c>
      <c r="BT17" s="171">
        <f>'Appndx 6.8.II.3'!BT35+(1-'Appndx 6.8.II.3'!BT43)*('Appndx 6.8.II.3'!BT34/'Appndx 6.8.II.3'!BS34)*'Appndx 6.8.II.5'!BS17</f>
        <v>8456.6793089390594</v>
      </c>
      <c r="BU17" s="171">
        <f>'Appndx 6.8.II.3'!BU35+(1-'Appndx 6.8.II.3'!BU43)*('Appndx 6.8.II.3'!BU34/'Appndx 6.8.II.3'!BT34)*'Appndx 6.8.II.5'!BT17</f>
        <v>8977.8033935969743</v>
      </c>
      <c r="BV17" s="171">
        <f>'Appndx 6.8.II.3'!BV35+(1-'Appndx 6.8.II.3'!BV43)*('Appndx 6.8.II.3'!BV34/'Appndx 6.8.II.3'!BU34)*'Appndx 6.8.II.5'!BU17</f>
        <v>9530.4326970320108</v>
      </c>
      <c r="BW17" s="171">
        <f>'Appndx 6.8.II.3'!BW35+(1-'Appndx 6.8.II.3'!BW43)*('Appndx 6.8.II.3'!BW34/'Appndx 6.8.II.3'!BV34)*'Appndx 6.8.II.5'!BV17</f>
        <v>10053.447802744928</v>
      </c>
      <c r="BX17" s="171">
        <f>'Appndx 6.8.II.3'!BX35+(1-'Appndx 6.8.II.3'!BX43)*('Appndx 6.8.II.3'!BX34/'Appndx 6.8.II.3'!BW34)*'Appndx 6.8.II.5'!BW17</f>
        <v>10645.467618064265</v>
      </c>
      <c r="BY17" s="171">
        <f>'Appndx 6.8.II.3'!BY35+(1-'Appndx 6.8.II.3'!BY43)*('Appndx 6.8.II.3'!BY34/'Appndx 6.8.II.3'!BX34)*'Appndx 6.8.II.5'!BX17</f>
        <v>11273.091065707426</v>
      </c>
      <c r="BZ17" s="171">
        <f>'Appndx 6.8.II.3'!BZ35+(1-'Appndx 6.8.II.3'!BZ43)*('Appndx 6.8.II.3'!BZ34/'Appndx 6.8.II.3'!BY34)*'Appndx 6.8.II.5'!BY17</f>
        <v>11967.667396537861</v>
      </c>
      <c r="CA17" s="171">
        <f>'Appndx 6.8.II.3'!CA35+(1-'Appndx 6.8.II.3'!CA43)*('Appndx 6.8.II.3'!CA34/'Appndx 6.8.II.3'!BZ34)*'Appndx 6.8.II.5'!BZ17</f>
        <v>12840.566656941339</v>
      </c>
      <c r="CB17" s="171">
        <f>'Appndx 6.8.II.3'!CB35+(1-'Appndx 6.8.II.3'!CB43)*('Appndx 6.8.II.3'!CB34/'Appndx 6.8.II.3'!CA34)*'Appndx 6.8.II.5'!CA17</f>
        <v>13620.733166343192</v>
      </c>
      <c r="CC17" s="171">
        <f>'Appndx 6.8.II.3'!CC35+(1-'Appndx 6.8.II.3'!CC43)*('Appndx 6.8.II.3'!CC34/'Appndx 6.8.II.3'!CB34)*'Appndx 6.8.II.5'!CB17</f>
        <v>14281.233872520141</v>
      </c>
      <c r="CD17" s="171">
        <f>'Appndx 6.8.II.3'!CD35+(1-'Appndx 6.8.II.3'!CD43)*('Appndx 6.8.II.3'!CD34/'Appndx 6.8.II.3'!CC34)*'Appndx 6.8.II.5'!CC17</f>
        <v>14892.479153434093</v>
      </c>
      <c r="CE17" s="171">
        <f>'Appndx 6.8.II.3'!CE35+(1-'Appndx 6.8.II.3'!CE43)*('Appndx 6.8.II.3'!CE34/'Appndx 6.8.II.3'!CD34)*'Appndx 6.8.II.5'!CD17</f>
        <v>16199.660108377739</v>
      </c>
      <c r="CF17" s="171">
        <f>'Appndx 6.8.II.3'!CF35+(1-'Appndx 6.8.II.3'!CF43)*('Appndx 6.8.II.3'!CF34/'Appndx 6.8.II.3'!CE34)*'Appndx 6.8.II.5'!CE17</f>
        <v>17723.462355358093</v>
      </c>
      <c r="CG17" s="171">
        <f>'Appndx 6.8.II.3'!CG35+(1-'Appndx 6.8.II.3'!CG43)*('Appndx 6.8.II.3'!CG34/'Appndx 6.8.II.3'!CF34)*'Appndx 6.8.II.5'!CF17</f>
        <v>19265.16196987102</v>
      </c>
      <c r="CH17" s="171">
        <f>'Appndx 6.8.II.3'!CH35+(1-'Appndx 6.8.II.3'!CH43)*('Appndx 6.8.II.3'!CH34/'Appndx 6.8.II.3'!CG34)*'Appndx 6.8.II.5'!CG17</f>
        <v>20353.558169953449</v>
      </c>
      <c r="CI17" s="171">
        <f>'Appndx 6.8.II.3'!CI35+(1-'Appndx 6.8.II.3'!CI43)*('Appndx 6.8.II.3'!CI34/'Appndx 6.8.II.3'!CH34)*'Appndx 6.8.II.5'!CH17</f>
        <v>21776.885775207476</v>
      </c>
      <c r="CJ17" s="171">
        <f>'Appndx 6.8.II.3'!CJ35+(1-'Appndx 6.8.II.3'!CJ43)*('Appndx 6.8.II.3'!CJ34/'Appndx 6.8.II.3'!CI34)*'Appndx 6.8.II.5'!CI17</f>
        <v>21294.719040537588</v>
      </c>
      <c r="CK17" s="171">
        <f>'Appndx 6.8.II.3'!CK35+(1-'Appndx 6.8.II.3'!CK43)*('Appndx 6.8.II.3'!CK34/'Appndx 6.8.II.3'!CJ34)*'Appndx 6.8.II.5'!CJ17</f>
        <v>21982.081961583935</v>
      </c>
      <c r="CL17" s="171">
        <f>'Appndx 6.8.II.3'!CL35+(1-'Appndx 6.8.II.3'!CL43)*('Appndx 6.8.II.3'!CL34/'Appndx 6.8.II.3'!CK34)*'Appndx 6.8.II.5'!CK17</f>
        <v>23023.968602353023</v>
      </c>
    </row>
    <row r="18" spans="1:90" s="16" customFormat="1" ht="6.5" customHeight="1" x14ac:dyDescent="0.35">
      <c r="C18" s="125"/>
      <c r="D18" s="125"/>
    </row>
    <row r="19" spans="1:90" s="110" customFormat="1" x14ac:dyDescent="0.35">
      <c r="A19" s="109" t="s">
        <v>327</v>
      </c>
      <c r="B19" s="109"/>
      <c r="C19" s="129" t="s">
        <v>328</v>
      </c>
      <c r="D19" s="126">
        <f>D16/'Appndx 6.8.II.2'!D12</f>
        <v>0.79276248725790011</v>
      </c>
      <c r="E19" s="126">
        <f>E16/'Appndx 6.8.II.2'!E12</f>
        <v>0.80434779928390943</v>
      </c>
      <c r="F19" s="126">
        <f>F16/'Appndx 6.8.II.2'!F12</f>
        <v>0.85305744200972644</v>
      </c>
      <c r="G19" s="126">
        <f>G16/'Appndx 6.8.II.2'!G12</f>
        <v>0.87405243048992975</v>
      </c>
      <c r="H19" s="126">
        <f>H16/'Appndx 6.8.II.2'!H12</f>
        <v>0.93550528968930835</v>
      </c>
      <c r="I19" s="126">
        <f>I16/'Appndx 6.8.II.2'!I12</f>
        <v>1.021397724640196</v>
      </c>
      <c r="J19" s="126">
        <f>J16/'Appndx 6.8.II.2'!J12</f>
        <v>1.0756052425663809</v>
      </c>
      <c r="K19" s="126">
        <f>K16/'Appndx 6.8.II.2'!K12</f>
        <v>1.0960930305918031</v>
      </c>
      <c r="L19" s="126">
        <f>L16/'Appndx 6.8.II.2'!L12</f>
        <v>1.0488210866930046</v>
      </c>
      <c r="M19" s="126">
        <f>M16/'Appndx 6.8.II.2'!M12</f>
        <v>1.0151823893528038</v>
      </c>
      <c r="N19" s="126">
        <f>N16/'Appndx 6.8.II.2'!N12</f>
        <v>0.99796681150617073</v>
      </c>
      <c r="O19" s="126">
        <f>O16/'Appndx 6.8.II.2'!O12</f>
        <v>0.88532409780680132</v>
      </c>
      <c r="P19" s="126">
        <f>P16/'Appndx 6.8.II.2'!P12</f>
        <v>0.87704919330215902</v>
      </c>
      <c r="Q19" s="126">
        <f>Q16/'Appndx 6.8.II.2'!Q12</f>
        <v>0.88026890374366129</v>
      </c>
      <c r="R19" s="126">
        <f>R16/'Appndx 6.8.II.2'!R12</f>
        <v>0.88469127709098305</v>
      </c>
      <c r="S19" s="126">
        <f>S16/'Appndx 6.8.II.2'!S12</f>
        <v>0.83389990733081176</v>
      </c>
      <c r="T19" s="126">
        <f>T16/'Appndx 6.8.II.2'!T12</f>
        <v>0.74845617963939659</v>
      </c>
      <c r="U19" s="126">
        <f>U16/'Appndx 6.8.II.2'!U12</f>
        <v>0.69938825613677991</v>
      </c>
      <c r="V19" s="126">
        <f>V16/'Appndx 6.8.II.2'!V12</f>
        <v>0.68223864462096973</v>
      </c>
      <c r="W19" s="126">
        <f>W16/'Appndx 6.8.II.2'!W12</f>
        <v>0.6592701145295975</v>
      </c>
      <c r="X19" s="126">
        <f>X16/'Appndx 6.8.II.2'!X12</f>
        <v>0.58460330375668068</v>
      </c>
      <c r="Y19" s="126">
        <f>Y16/'Appndx 6.8.II.2'!Y12</f>
        <v>0.52637427442127238</v>
      </c>
      <c r="Z19" s="126">
        <f>Z16/'Appndx 6.8.II.2'!Z12</f>
        <v>0.49448201998880142</v>
      </c>
      <c r="AA19" s="126">
        <f>AA16/'Appndx 6.8.II.2'!AA12</f>
        <v>0.52627190490532649</v>
      </c>
      <c r="AB19" s="126">
        <f>AB16/'Appndx 6.8.II.2'!AB12</f>
        <v>0.55119230112116901</v>
      </c>
      <c r="AC19" s="126">
        <f>AC16/'Appndx 6.8.II.2'!AC12</f>
        <v>0.57279751592137562</v>
      </c>
      <c r="AD19" s="126">
        <f>AD16/'Appndx 6.8.II.2'!AD12</f>
        <v>0.59571858774540254</v>
      </c>
      <c r="AE19" s="126">
        <f>AE16/'Appndx 6.8.II.2'!AE12</f>
        <v>0.61568432369328296</v>
      </c>
      <c r="AF19" s="126">
        <f>AF16/'Appndx 6.8.II.2'!AF12</f>
        <v>0.63472154104874401</v>
      </c>
      <c r="AG19" s="126">
        <f>AG16/'Appndx 6.8.II.2'!AG12</f>
        <v>0.65017917840397588</v>
      </c>
      <c r="AH19" s="126">
        <f>AH16/'Appndx 6.8.II.2'!AH12</f>
        <v>0.66405929770575012</v>
      </c>
      <c r="AI19" s="126">
        <f>AI16/'Appndx 6.8.II.2'!AI12</f>
        <v>0.67883371195377595</v>
      </c>
      <c r="AJ19" s="126">
        <f>AJ16/'Appndx 6.8.II.2'!AJ12</f>
        <v>0.6924062041707133</v>
      </c>
      <c r="AK19" s="126">
        <f>AK16/'Appndx 6.8.II.2'!AK12</f>
        <v>0.7014975702250148</v>
      </c>
      <c r="AL19" s="126">
        <f>AL16/'Appndx 6.8.II.2'!AL12</f>
        <v>0.71018972614479436</v>
      </c>
      <c r="AM19" s="126">
        <f>AM16/'Appndx 6.8.II.2'!AM12</f>
        <v>0.71857644832765444</v>
      </c>
      <c r="AN19" s="126">
        <f>AN16/'Appndx 6.8.II.2'!AN12</f>
        <v>0.72516529367514704</v>
      </c>
      <c r="AO19" s="126">
        <f>AO16/'Appndx 6.8.II.2'!AO12</f>
        <v>0.73246970932368372</v>
      </c>
      <c r="AP19" s="126">
        <f>AP16/'Appndx 6.8.II.2'!AP12</f>
        <v>0.73953698209043162</v>
      </c>
      <c r="AQ19" s="126">
        <f>AQ16/'Appndx 6.8.II.2'!AQ12</f>
        <v>0.74779503033561379</v>
      </c>
      <c r="AR19" s="126">
        <f>AR16/'Appndx 6.8.II.2'!AR12</f>
        <v>0.75889391421998464</v>
      </c>
      <c r="AS19" s="126">
        <f>AS16/'Appndx 6.8.II.2'!AS12</f>
        <v>0.77147062943373801</v>
      </c>
      <c r="AT19" s="126">
        <f>AT16/'Appndx 6.8.II.2'!AT12</f>
        <v>0.78113324661155592</v>
      </c>
      <c r="AU19" s="126">
        <f>AU16/'Appndx 6.8.II.2'!AU12</f>
        <v>0.78968977444186417</v>
      </c>
      <c r="AV19" s="126">
        <f>AV16/'Appndx 6.8.II.2'!AV12</f>
        <v>0.79857195926496849</v>
      </c>
      <c r="AW19" s="126">
        <f>AW16/'Appndx 6.8.II.2'!AW12</f>
        <v>0.80579399864941126</v>
      </c>
      <c r="AX19" s="126">
        <f>AX16/'Appndx 6.8.II.2'!AX12</f>
        <v>0.8111409761313163</v>
      </c>
      <c r="AY19" s="126">
        <f>AY16/'Appndx 6.8.II.2'!AY12</f>
        <v>0.8168076094809702</v>
      </c>
      <c r="AZ19" s="126">
        <f>AZ16/'Appndx 6.8.II.2'!AZ12</f>
        <v>0.82481060565325592</v>
      </c>
      <c r="BA19" s="126">
        <f>BA16/'Appndx 6.8.II.2'!BA12</f>
        <v>0.82977100378609225</v>
      </c>
      <c r="BB19" s="126">
        <f>BB16/'Appndx 6.8.II.2'!BB12</f>
        <v>0.83288254441614717</v>
      </c>
      <c r="BC19" s="126">
        <f>BC16/'Appndx 6.8.II.2'!BC12</f>
        <v>0.83494891937221216</v>
      </c>
      <c r="BD19" s="126">
        <f>BD16/'Appndx 6.8.II.2'!BD12</f>
        <v>0.83788938874730379</v>
      </c>
      <c r="BE19" s="126">
        <f>BE16/'Appndx 6.8.II.2'!BE12</f>
        <v>0.84154567072413522</v>
      </c>
      <c r="BF19" s="126">
        <f>BF16/'Appndx 6.8.II.2'!BF12</f>
        <v>0.84466261924403951</v>
      </c>
      <c r="BG19" s="126">
        <f>BG16/'Appndx 6.8.II.2'!BG12</f>
        <v>0.84751952241147477</v>
      </c>
      <c r="BH19" s="126">
        <f>BH16/'Appndx 6.8.II.2'!BH12</f>
        <v>0.84900740142276243</v>
      </c>
      <c r="BI19" s="126">
        <f>BI16/'Appndx 6.8.II.2'!BI12</f>
        <v>0.84872930373133038</v>
      </c>
      <c r="BJ19" s="126">
        <f>BJ16/'Appndx 6.8.II.2'!BJ12</f>
        <v>0.84865414729632882</v>
      </c>
      <c r="BK19" s="126">
        <f>BK16/'Appndx 6.8.II.2'!BK12</f>
        <v>0.85008542905317608</v>
      </c>
      <c r="BL19" s="126">
        <f>BL16/'Appndx 6.8.II.2'!BL12</f>
        <v>0.85214222440539811</v>
      </c>
      <c r="BM19" s="126">
        <f>BM16/'Appndx 6.8.II.2'!BM12</f>
        <v>0.85368293579598298</v>
      </c>
      <c r="BN19" s="126">
        <f>BN16/'Appndx 6.8.II.2'!BN12</f>
        <v>0.85450531043968203</v>
      </c>
      <c r="BO19" s="126">
        <f>BO16/'Appndx 6.8.II.2'!BO12</f>
        <v>0.85582932137679368</v>
      </c>
      <c r="BP19" s="126">
        <f>BP16/'Appndx 6.8.II.2'!BP12</f>
        <v>0.85644554962207731</v>
      </c>
      <c r="BQ19" s="126">
        <f>BQ16/'Appndx 6.8.II.2'!BQ12</f>
        <v>0.85947280506141266</v>
      </c>
      <c r="BR19" s="126">
        <f>BR16/'Appndx 6.8.II.2'!BR12</f>
        <v>0.86211038804022944</v>
      </c>
      <c r="BS19" s="126">
        <f>BS16/'Appndx 6.8.II.2'!BS12</f>
        <v>0.86349994137673425</v>
      </c>
      <c r="BT19" s="126">
        <f>BT16/'Appndx 6.8.II.2'!BT12</f>
        <v>0.86539383465842545</v>
      </c>
      <c r="BU19" s="126">
        <f>BU16/'Appndx 6.8.II.2'!BU12</f>
        <v>0.86791903921207991</v>
      </c>
      <c r="BV19" s="126">
        <f>BV16/'Appndx 6.8.II.2'!BV12</f>
        <v>0.87214501523265886</v>
      </c>
      <c r="BW19" s="126">
        <f>BW16/'Appndx 6.8.II.2'!BW12</f>
        <v>0.87696261440043</v>
      </c>
      <c r="BX19" s="126">
        <f>BX16/'Appndx 6.8.II.2'!BX12</f>
        <v>0.88235614548422647</v>
      </c>
      <c r="BY19" s="126">
        <f>BY16/'Appndx 6.8.II.2'!BY12</f>
        <v>0.88823445602393292</v>
      </c>
      <c r="BZ19" s="126">
        <f>BZ16/'Appndx 6.8.II.2'!BZ12</f>
        <v>0.89492821244235199</v>
      </c>
      <c r="CA19" s="126">
        <f>CA16/'Appndx 6.8.II.2'!CA12</f>
        <v>0.90236755631370558</v>
      </c>
      <c r="CB19" s="126">
        <f>CB16/'Appndx 6.8.II.2'!CB12</f>
        <v>0.90697890578728513</v>
      </c>
      <c r="CC19" s="126">
        <f>CC16/'Appndx 6.8.II.2'!CC12</f>
        <v>0.90776412467158851</v>
      </c>
      <c r="CD19" s="126">
        <f>CD16/'Appndx 6.8.II.2'!CD12</f>
        <v>0.90734289970459781</v>
      </c>
      <c r="CE19" s="126">
        <f>CE16/'Appndx 6.8.II.2'!CE12</f>
        <v>0.90445015078710356</v>
      </c>
      <c r="CF19" s="126">
        <f>CF16/'Appndx 6.8.II.2'!CF12</f>
        <v>0.90053007473277147</v>
      </c>
      <c r="CG19" s="126">
        <f>CG16/'Appndx 6.8.II.2'!CG12</f>
        <v>0.89682296679729956</v>
      </c>
      <c r="CH19" s="126">
        <f>CH16/'Appndx 6.8.II.2'!CH12</f>
        <v>0.89430509554665316</v>
      </c>
      <c r="CI19" s="126">
        <f>CI16/'Appndx 6.8.II.2'!CI12</f>
        <v>0.88990787625830536</v>
      </c>
      <c r="CJ19" s="126">
        <f>CJ16/'Appndx 6.8.II.2'!CJ12</f>
        <v>0.88463361572372023</v>
      </c>
      <c r="CK19" s="126">
        <f>CK16/'Appndx 6.8.II.2'!CK12</f>
        <v>0.87770746518016174</v>
      </c>
      <c r="CL19" s="126">
        <f>CL16/'Appndx 6.8.II.2'!CL12</f>
        <v>0.87190736998073759</v>
      </c>
    </row>
    <row r="20" spans="1:90" s="110" customFormat="1" x14ac:dyDescent="0.35">
      <c r="A20" s="109" t="s">
        <v>329</v>
      </c>
      <c r="B20" s="109"/>
      <c r="C20" s="129" t="s">
        <v>330</v>
      </c>
      <c r="D20" s="126">
        <f>D17/'Appndx 6.8.II.2'!D12</f>
        <v>1.4466768603465854</v>
      </c>
      <c r="E20" s="126">
        <f>E17/'Appndx 6.8.II.2'!E12</f>
        <v>1.4678183788938299</v>
      </c>
      <c r="F20" s="126">
        <f>F17/'Appndx 6.8.II.2'!F12</f>
        <v>1.5567064306619312</v>
      </c>
      <c r="G20" s="126">
        <f>G17/'Appndx 6.8.II.2'!G12</f>
        <v>1.5950192475594751</v>
      </c>
      <c r="H20" s="126">
        <f>H17/'Appndx 6.8.II.2'!H12</f>
        <v>1.7071618259922459</v>
      </c>
      <c r="I20" s="126">
        <f>I17/'Appndx 6.8.II.2'!I12</f>
        <v>1.8639030948079205</v>
      </c>
      <c r="J20" s="126">
        <f>J17/'Appndx 6.8.II.2'!J12</f>
        <v>1.9628239735087853</v>
      </c>
      <c r="K20" s="126">
        <f>K17/'Appndx 6.8.II.2'!K12</f>
        <v>2.0002112229466134</v>
      </c>
      <c r="L20" s="126">
        <f>L17/'Appndx 6.8.II.2'!L12</f>
        <v>1.9139467635641576</v>
      </c>
      <c r="M20" s="126">
        <f>M17/'Appndx 6.8.II.2'!M12</f>
        <v>1.8525610070021934</v>
      </c>
      <c r="N20" s="126">
        <f>N17/'Appndx 6.8.II.2'!N12</f>
        <v>1.8211450677914913</v>
      </c>
      <c r="O20" s="126">
        <f>O17/'Appndx 6.8.II.2'!O12</f>
        <v>1.6155884098835469</v>
      </c>
      <c r="P20" s="126">
        <f>P17/'Appndx 6.8.II.2'!P12</f>
        <v>1.6004879061881074</v>
      </c>
      <c r="Q20" s="126">
        <f>Q17/'Appndx 6.8.II.2'!Q12</f>
        <v>1.6063634119891563</v>
      </c>
      <c r="R20" s="126">
        <f>R17/'Appndx 6.8.II.2'!R12</f>
        <v>1.6144336036193294</v>
      </c>
      <c r="S20" s="126">
        <f>S17/'Appndx 6.8.II.2'!S12</f>
        <v>1.5217467011505914</v>
      </c>
      <c r="T20" s="126">
        <f>T17/'Appndx 6.8.II.2'!T12</f>
        <v>1.3658242581746627</v>
      </c>
      <c r="U20" s="126">
        <f>U17/'Appndx 6.8.II.2'!U12</f>
        <v>1.2762823958168406</v>
      </c>
      <c r="V20" s="126">
        <f>V17/'Appndx 6.8.II.2'!V12</f>
        <v>1.244986835617377</v>
      </c>
      <c r="W20" s="126">
        <f>W17/'Appndx 6.8.II.2'!W12</f>
        <v>1.2030725907666959</v>
      </c>
      <c r="X20" s="126">
        <f>X17/'Appndx 6.8.II.2'!X12</f>
        <v>1.0668164622070768</v>
      </c>
      <c r="Y20" s="126">
        <f>Y17/'Appndx 6.8.II.2'!Y12</f>
        <v>0.96055690692545415</v>
      </c>
      <c r="Z20" s="126">
        <f>Z17/'Appndx 6.8.II.2'!Z12</f>
        <v>0.90235815603434111</v>
      </c>
      <c r="AA20" s="126">
        <f>AA17/'Appndx 6.8.II.2'!AA12</f>
        <v>0.92657301048401597</v>
      </c>
      <c r="AB20" s="126">
        <f>AB17/'Appndx 6.8.II.2'!AB12</f>
        <v>0.95087403757238786</v>
      </c>
      <c r="AC20" s="126">
        <f>AC17/'Appndx 6.8.II.2'!AC12</f>
        <v>0.97330048009411352</v>
      </c>
      <c r="AD20" s="126">
        <f>AD17/'Appndx 6.8.II.2'!AD12</f>
        <v>0.99584639002118225</v>
      </c>
      <c r="AE20" s="126">
        <f>AE17/'Appndx 6.8.II.2'!AE12</f>
        <v>1.0181021797659611</v>
      </c>
      <c r="AF20" s="126">
        <f>AF17/'Appndx 6.8.II.2'!AF12</f>
        <v>1.0393421411501786</v>
      </c>
      <c r="AG20" s="126">
        <f>AG17/'Appndx 6.8.II.2'!AG12</f>
        <v>1.0596956793598544</v>
      </c>
      <c r="AH20" s="126">
        <f>AH17/'Appndx 6.8.II.2'!AH12</f>
        <v>1.0775559726384139</v>
      </c>
      <c r="AI20" s="126">
        <f>AI17/'Appndx 6.8.II.2'!AI12</f>
        <v>1.0938656381194198</v>
      </c>
      <c r="AJ20" s="126">
        <f>AJ17/'Appndx 6.8.II.2'!AJ12</f>
        <v>1.1100807384215923</v>
      </c>
      <c r="AK20" s="126">
        <f>AK17/'Appndx 6.8.II.2'!AK12</f>
        <v>1.1293607954653502</v>
      </c>
      <c r="AL20" s="126">
        <f>AL17/'Appndx 6.8.II.2'!AL12</f>
        <v>1.1469184803732662</v>
      </c>
      <c r="AM20" s="126">
        <f>AM17/'Appndx 6.8.II.2'!AM12</f>
        <v>1.1615497973775437</v>
      </c>
      <c r="AN20" s="126">
        <f>AN17/'Appndx 6.8.II.2'!AN12</f>
        <v>1.1759659476302191</v>
      </c>
      <c r="AO20" s="126">
        <f>AO17/'Appndx 6.8.II.2'!AO12</f>
        <v>1.1890221344058669</v>
      </c>
      <c r="AP20" s="126">
        <f>AP17/'Appndx 6.8.II.2'!AP12</f>
        <v>1.2014964157490673</v>
      </c>
      <c r="AQ20" s="126">
        <f>AQ17/'Appndx 6.8.II.2'!AQ12</f>
        <v>1.2116684948884981</v>
      </c>
      <c r="AR20" s="126">
        <f>AR17/'Appndx 6.8.II.2'!AR12</f>
        <v>1.2202042865987657</v>
      </c>
      <c r="AS20" s="126">
        <f>AS17/'Appndx 6.8.II.2'!AS12</f>
        <v>1.2280305312386461</v>
      </c>
      <c r="AT20" s="126">
        <f>AT17/'Appndx 6.8.II.2'!AT12</f>
        <v>1.2385608750354413</v>
      </c>
      <c r="AU20" s="126">
        <f>AU17/'Appndx 6.8.II.2'!AU12</f>
        <v>1.2490212483538281</v>
      </c>
      <c r="AV20" s="126">
        <f>AV17/'Appndx 6.8.II.2'!AV12</f>
        <v>1.25997065313231</v>
      </c>
      <c r="AW20" s="126">
        <f>AW17/'Appndx 6.8.II.2'!AW12</f>
        <v>1.2736496032401949</v>
      </c>
      <c r="AX20" s="126">
        <f>AX17/'Appndx 6.8.II.2'!AX12</f>
        <v>1.2884167411715595</v>
      </c>
      <c r="AY20" s="126">
        <f>AY17/'Appndx 6.8.II.2'!AY12</f>
        <v>1.3003025347352668</v>
      </c>
      <c r="AZ20" s="126">
        <f>AZ17/'Appndx 6.8.II.2'!AZ12</f>
        <v>1.3118992156224718</v>
      </c>
      <c r="BA20" s="126">
        <f>BA17/'Appndx 6.8.II.2'!BA12</f>
        <v>1.3230439297111951</v>
      </c>
      <c r="BB20" s="126">
        <f>BB17/'Appndx 6.8.II.2'!BB12</f>
        <v>1.3394359498213719</v>
      </c>
      <c r="BC20" s="126">
        <f>BC17/'Appndx 6.8.II.2'!BC12</f>
        <v>1.3549026788139431</v>
      </c>
      <c r="BD20" s="126">
        <f>BD17/'Appndx 6.8.II.2'!BD12</f>
        <v>1.3677421432027121</v>
      </c>
      <c r="BE20" s="126">
        <f>BE17/'Appndx 6.8.II.2'!BE12</f>
        <v>1.3772932975370404</v>
      </c>
      <c r="BF20" s="126">
        <f>BF17/'Appndx 6.8.II.2'!BF12</f>
        <v>1.38427932578845</v>
      </c>
      <c r="BG20" s="126">
        <f>BG17/'Appndx 6.8.II.2'!BG12</f>
        <v>1.3934426084959792</v>
      </c>
      <c r="BH20" s="126">
        <f>BH17/'Appndx 6.8.II.2'!BH12</f>
        <v>1.4023018147753545</v>
      </c>
      <c r="BI20" s="126">
        <f>BI17/'Appndx 6.8.II.2'!BI12</f>
        <v>1.4140743650054211</v>
      </c>
      <c r="BJ20" s="126">
        <f>BJ17/'Appndx 6.8.II.2'!BJ12</f>
        <v>1.4270266382660566</v>
      </c>
      <c r="BK20" s="126">
        <f>BK17/'Appndx 6.8.II.2'!BK12</f>
        <v>1.433799468083431</v>
      </c>
      <c r="BL20" s="126">
        <f>BL17/'Appndx 6.8.II.2'!BL12</f>
        <v>1.440299606417782</v>
      </c>
      <c r="BM20" s="126">
        <f>BM17/'Appndx 6.8.II.2'!BM12</f>
        <v>1.4508924242535655</v>
      </c>
      <c r="BN20" s="126">
        <f>BN17/'Appndx 6.8.II.2'!BN12</f>
        <v>1.4630767923429886</v>
      </c>
      <c r="BO20" s="126">
        <f>BO17/'Appndx 6.8.II.2'!BO12</f>
        <v>1.4747590933956078</v>
      </c>
      <c r="BP20" s="126">
        <f>BP17/'Appndx 6.8.II.2'!BP12</f>
        <v>1.4834938474051365</v>
      </c>
      <c r="BQ20" s="126">
        <f>BQ17/'Appndx 6.8.II.2'!BQ12</f>
        <v>1.494989118813574</v>
      </c>
      <c r="BR20" s="126">
        <f>BR17/'Appndx 6.8.II.2'!BR12</f>
        <v>1.5113329750574573</v>
      </c>
      <c r="BS20" s="126">
        <f>BS17/'Appndx 6.8.II.2'!BS12</f>
        <v>1.5260527908435697</v>
      </c>
      <c r="BT20" s="126">
        <f>BT17/'Appndx 6.8.II.2'!BT12</f>
        <v>1.537412335358298</v>
      </c>
      <c r="BU20" s="126">
        <f>BU17/'Appndx 6.8.II.2'!BU12</f>
        <v>1.5463080538259333</v>
      </c>
      <c r="BV20" s="126">
        <f>BV17/'Appndx 6.8.II.2'!BV12</f>
        <v>1.553047955882676</v>
      </c>
      <c r="BW20" s="126">
        <f>BW17/'Appndx 6.8.II.2'!BW12</f>
        <v>1.5582874006216272</v>
      </c>
      <c r="BX20" s="126">
        <f>BX17/'Appndx 6.8.II.2'!BX12</f>
        <v>1.5627122483301028</v>
      </c>
      <c r="BY20" s="126">
        <f>BY17/'Appndx 6.8.II.2'!BY12</f>
        <v>1.5662845321248637</v>
      </c>
      <c r="BZ20" s="126">
        <f>BZ17/'Appndx 6.8.II.2'!BZ12</f>
        <v>1.5702246022890924</v>
      </c>
      <c r="CA20" s="126">
        <f>CA17/'Appndx 6.8.II.2'!CA12</f>
        <v>1.5746356598931714</v>
      </c>
      <c r="CB20" s="126">
        <f>CB17/'Appndx 6.8.II.2'!CB12</f>
        <v>1.5858437451373508</v>
      </c>
      <c r="CC20" s="126">
        <f>CC17/'Appndx 6.8.II.2'!CC12</f>
        <v>1.6044815367037861</v>
      </c>
      <c r="CD20" s="126">
        <f>CD17/'Appndx 6.8.II.2'!CD12</f>
        <v>1.6225148246651833</v>
      </c>
      <c r="CE20" s="126">
        <f>CE17/'Appndx 6.8.II.2'!CE12</f>
        <v>1.6355283991112171</v>
      </c>
      <c r="CF20" s="126">
        <f>CF17/'Appndx 6.8.II.2'!CF12</f>
        <v>1.6439816817928956</v>
      </c>
      <c r="CG20" s="126">
        <f>CG17/'Appndx 6.8.II.2'!CG12</f>
        <v>1.6488460914874574</v>
      </c>
      <c r="CH20" s="126">
        <f>CH17/'Appndx 6.8.II.2'!CH12</f>
        <v>1.6524185185535161</v>
      </c>
      <c r="CI20" s="126">
        <f>CI17/'Appndx 6.8.II.2'!CI12</f>
        <v>1.6571284052777502</v>
      </c>
      <c r="CJ20" s="126">
        <f>CJ17/'Appndx 6.8.II.2'!CJ12</f>
        <v>1.6762045574878526</v>
      </c>
      <c r="CK20" s="126">
        <f>CK17/'Appndx 6.8.II.2'!CK12</f>
        <v>1.6914154046543779</v>
      </c>
      <c r="CL20" s="126">
        <f>CL17/'Appndx 6.8.II.2'!CL12</f>
        <v>1.7015442306613342</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6145" r:id="rId4">
          <objectPr defaultSize="0" autoPict="0" r:id="rId5">
            <anchor moveWithCells="1">
              <from>
                <xdr:col>0</xdr:col>
                <xdr:colOff>63500</xdr:colOff>
                <xdr:row>0</xdr:row>
                <xdr:rowOff>76200</xdr:rowOff>
              </from>
              <to>
                <xdr:col>9</xdr:col>
                <xdr:colOff>44450</xdr:colOff>
                <xdr:row>12</xdr:row>
                <xdr:rowOff>0</xdr:rowOff>
              </to>
            </anchor>
          </objectPr>
        </oleObject>
      </mc:Choice>
      <mc:Fallback>
        <oleObject progId="Word.Document.12" shapeId="6145"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5:BQ84"/>
  <sheetViews>
    <sheetView topLeftCell="A5" zoomScale="110" zoomScaleNormal="110" workbookViewId="0">
      <selection activeCell="D36" sqref="D36:BQ36"/>
    </sheetView>
  </sheetViews>
  <sheetFormatPr defaultColWidth="8.81640625" defaultRowHeight="14.5" x14ac:dyDescent="0.35"/>
  <cols>
    <col min="1" max="1" width="35.1796875" customWidth="1"/>
    <col min="2" max="2" width="54.54296875" customWidth="1"/>
    <col min="3" max="3" width="26.08984375" customWidth="1"/>
    <col min="4" max="47" width="12.54296875" bestFit="1" customWidth="1"/>
    <col min="48" max="60" width="12.6328125" bestFit="1" customWidth="1"/>
    <col min="61" max="61" width="12.1796875" bestFit="1" customWidth="1"/>
    <col min="62" max="65" width="12.6328125" bestFit="1" customWidth="1"/>
    <col min="66" max="66" width="12.54296875" bestFit="1" customWidth="1"/>
    <col min="67" max="67" width="12.81640625" bestFit="1" customWidth="1"/>
    <col min="68" max="68" width="13.08984375" bestFit="1" customWidth="1"/>
    <col min="69" max="69" width="12.81640625" bestFit="1" customWidth="1"/>
    <col min="70" max="108" width="12.54296875" bestFit="1" customWidth="1"/>
  </cols>
  <sheetData>
    <row r="15" spans="3:3" x14ac:dyDescent="0.35">
      <c r="C15" t="s">
        <v>504</v>
      </c>
    </row>
    <row r="24" spans="1:69" s="59" customFormat="1" ht="12" x14ac:dyDescent="0.3">
      <c r="D24" s="265">
        <v>1946</v>
      </c>
      <c r="E24" s="265">
        <v>1947</v>
      </c>
      <c r="F24" s="265">
        <f>E24+1</f>
        <v>1948</v>
      </c>
      <c r="G24" s="265">
        <f t="shared" ref="G24:BQ24" si="0">F24+1</f>
        <v>1949</v>
      </c>
      <c r="H24" s="265">
        <f t="shared" si="0"/>
        <v>1950</v>
      </c>
      <c r="I24" s="265">
        <f t="shared" si="0"/>
        <v>1951</v>
      </c>
      <c r="J24" s="265">
        <f t="shared" si="0"/>
        <v>1952</v>
      </c>
      <c r="K24" s="265">
        <f t="shared" si="0"/>
        <v>1953</v>
      </c>
      <c r="L24" s="265">
        <f t="shared" si="0"/>
        <v>1954</v>
      </c>
      <c r="M24" s="265">
        <f t="shared" si="0"/>
        <v>1955</v>
      </c>
      <c r="N24" s="265">
        <f t="shared" si="0"/>
        <v>1956</v>
      </c>
      <c r="O24" s="265">
        <f t="shared" si="0"/>
        <v>1957</v>
      </c>
      <c r="P24" s="265">
        <f t="shared" si="0"/>
        <v>1958</v>
      </c>
      <c r="Q24" s="265">
        <f t="shared" si="0"/>
        <v>1959</v>
      </c>
      <c r="R24" s="265">
        <f t="shared" si="0"/>
        <v>1960</v>
      </c>
      <c r="S24" s="265">
        <f t="shared" si="0"/>
        <v>1961</v>
      </c>
      <c r="T24" s="265">
        <f t="shared" si="0"/>
        <v>1962</v>
      </c>
      <c r="U24" s="265">
        <f t="shared" si="0"/>
        <v>1963</v>
      </c>
      <c r="V24" s="265">
        <f t="shared" si="0"/>
        <v>1964</v>
      </c>
      <c r="W24" s="265">
        <f t="shared" si="0"/>
        <v>1965</v>
      </c>
      <c r="X24" s="265">
        <f t="shared" si="0"/>
        <v>1966</v>
      </c>
      <c r="Y24" s="265">
        <f t="shared" si="0"/>
        <v>1967</v>
      </c>
      <c r="Z24" s="265">
        <f t="shared" si="0"/>
        <v>1968</v>
      </c>
      <c r="AA24" s="265">
        <f t="shared" si="0"/>
        <v>1969</v>
      </c>
      <c r="AB24" s="265">
        <f t="shared" si="0"/>
        <v>1970</v>
      </c>
      <c r="AC24" s="265">
        <f t="shared" si="0"/>
        <v>1971</v>
      </c>
      <c r="AD24" s="265">
        <f t="shared" si="0"/>
        <v>1972</v>
      </c>
      <c r="AE24" s="265">
        <f t="shared" si="0"/>
        <v>1973</v>
      </c>
      <c r="AF24" s="265">
        <f t="shared" si="0"/>
        <v>1974</v>
      </c>
      <c r="AG24" s="265">
        <f t="shared" si="0"/>
        <v>1975</v>
      </c>
      <c r="AH24" s="265">
        <f t="shared" si="0"/>
        <v>1976</v>
      </c>
      <c r="AI24" s="265">
        <f t="shared" si="0"/>
        <v>1977</v>
      </c>
      <c r="AJ24" s="265">
        <f t="shared" si="0"/>
        <v>1978</v>
      </c>
      <c r="AK24" s="265">
        <f t="shared" si="0"/>
        <v>1979</v>
      </c>
      <c r="AL24" s="265">
        <f t="shared" si="0"/>
        <v>1980</v>
      </c>
      <c r="AM24" s="265">
        <f t="shared" si="0"/>
        <v>1981</v>
      </c>
      <c r="AN24" s="265">
        <f t="shared" si="0"/>
        <v>1982</v>
      </c>
      <c r="AO24" s="265">
        <f t="shared" si="0"/>
        <v>1983</v>
      </c>
      <c r="AP24" s="265">
        <f t="shared" si="0"/>
        <v>1984</v>
      </c>
      <c r="AQ24" s="265">
        <f t="shared" si="0"/>
        <v>1985</v>
      </c>
      <c r="AR24" s="265">
        <f>AQ24+1</f>
        <v>1986</v>
      </c>
      <c r="AS24" s="265">
        <f t="shared" si="0"/>
        <v>1987</v>
      </c>
      <c r="AT24" s="265">
        <f t="shared" si="0"/>
        <v>1988</v>
      </c>
      <c r="AU24" s="265">
        <f t="shared" si="0"/>
        <v>1989</v>
      </c>
      <c r="AV24" s="265">
        <f t="shared" si="0"/>
        <v>1990</v>
      </c>
      <c r="AW24" s="265">
        <f t="shared" si="0"/>
        <v>1991</v>
      </c>
      <c r="AX24" s="265">
        <f t="shared" si="0"/>
        <v>1992</v>
      </c>
      <c r="AY24" s="265">
        <f t="shared" si="0"/>
        <v>1993</v>
      </c>
      <c r="AZ24" s="265">
        <f t="shared" si="0"/>
        <v>1994</v>
      </c>
      <c r="BA24" s="265">
        <f t="shared" si="0"/>
        <v>1995</v>
      </c>
      <c r="BB24" s="265">
        <f t="shared" si="0"/>
        <v>1996</v>
      </c>
      <c r="BC24" s="265">
        <f t="shared" si="0"/>
        <v>1997</v>
      </c>
      <c r="BD24" s="265">
        <f t="shared" si="0"/>
        <v>1998</v>
      </c>
      <c r="BE24" s="265">
        <f t="shared" si="0"/>
        <v>1999</v>
      </c>
      <c r="BF24" s="265">
        <f t="shared" si="0"/>
        <v>2000</v>
      </c>
      <c r="BG24" s="265">
        <f t="shared" si="0"/>
        <v>2001</v>
      </c>
      <c r="BH24" s="265">
        <f t="shared" si="0"/>
        <v>2002</v>
      </c>
      <c r="BI24" s="265">
        <f t="shared" si="0"/>
        <v>2003</v>
      </c>
      <c r="BJ24" s="265">
        <f t="shared" si="0"/>
        <v>2004</v>
      </c>
      <c r="BK24" s="265">
        <f t="shared" si="0"/>
        <v>2005</v>
      </c>
      <c r="BL24" s="265">
        <f t="shared" si="0"/>
        <v>2006</v>
      </c>
      <c r="BM24" s="265">
        <f t="shared" si="0"/>
        <v>2007</v>
      </c>
      <c r="BN24" s="265">
        <f>BM24+1</f>
        <v>2008</v>
      </c>
      <c r="BO24" s="265">
        <f t="shared" si="0"/>
        <v>2009</v>
      </c>
      <c r="BP24" s="265">
        <f t="shared" si="0"/>
        <v>2010</v>
      </c>
      <c r="BQ24" s="265">
        <f t="shared" si="0"/>
        <v>2011</v>
      </c>
    </row>
    <row r="25" spans="1:69" x14ac:dyDescent="0.35">
      <c r="A25" s="108" t="s">
        <v>0</v>
      </c>
      <c r="B25" s="108" t="s">
        <v>1</v>
      </c>
      <c r="C25" s="128" t="s">
        <v>2</v>
      </c>
      <c r="D25" s="128"/>
    </row>
    <row r="26" spans="1:69" s="54" customFormat="1" ht="24" x14ac:dyDescent="0.3">
      <c r="A26" s="54" t="s">
        <v>455</v>
      </c>
      <c r="B26" s="8" t="s">
        <v>452</v>
      </c>
      <c r="C26" s="54" t="s">
        <v>451</v>
      </c>
      <c r="D26" s="339">
        <v>36965000</v>
      </c>
      <c r="E26" s="7">
        <v>44009000</v>
      </c>
      <c r="F26" s="7">
        <v>48293000</v>
      </c>
      <c r="G26" s="7">
        <v>44726000</v>
      </c>
      <c r="H26" s="7">
        <v>54496000</v>
      </c>
      <c r="I26" s="7">
        <v>63776000</v>
      </c>
      <c r="J26" s="7">
        <v>64520000</v>
      </c>
      <c r="K26" s="7">
        <v>65519000</v>
      </c>
      <c r="L26" s="7">
        <v>62914000</v>
      </c>
      <c r="M26" s="7">
        <v>70920000</v>
      </c>
      <c r="N26" s="7">
        <v>78744000</v>
      </c>
      <c r="O26" s="7">
        <v>80560000</v>
      </c>
      <c r="P26" s="7">
        <v>80047000</v>
      </c>
      <c r="Q26" s="7">
        <v>88304000</v>
      </c>
      <c r="R26" s="7">
        <v>91334000</v>
      </c>
      <c r="S26" s="7">
        <v>94818000</v>
      </c>
      <c r="T26" s="7">
        <v>100327000</v>
      </c>
      <c r="U26" s="7">
        <v>106340000</v>
      </c>
      <c r="V26" s="7">
        <v>112960000</v>
      </c>
      <c r="W26" s="7">
        <v>126341000</v>
      </c>
      <c r="X26" s="7">
        <v>141019000</v>
      </c>
      <c r="Y26" s="7">
        <v>151581000</v>
      </c>
      <c r="Z26" s="7">
        <v>164433000</v>
      </c>
      <c r="AA26" s="7">
        <v>184583000</v>
      </c>
      <c r="AB26" s="7">
        <v>190401642</v>
      </c>
      <c r="AC26" s="7">
        <v>199091682</v>
      </c>
      <c r="AD26" s="7">
        <v>223847520</v>
      </c>
      <c r="AE26" s="7">
        <v>262566242</v>
      </c>
      <c r="AF26" s="7">
        <v>312096928</v>
      </c>
      <c r="AG26" s="7">
        <v>317718545</v>
      </c>
      <c r="AH26" s="7">
        <v>350644363</v>
      </c>
      <c r="AI26" s="7">
        <v>396032639</v>
      </c>
      <c r="AJ26" s="7">
        <v>442652820</v>
      </c>
      <c r="AK26" s="7">
        <v>503033064</v>
      </c>
      <c r="AL26" s="7">
        <v>534806547</v>
      </c>
      <c r="AM26" s="7">
        <v>588219956</v>
      </c>
      <c r="AN26" s="7">
        <v>581241455</v>
      </c>
      <c r="AO26" s="7">
        <v>599445162</v>
      </c>
      <c r="AP26" s="7">
        <v>664243060</v>
      </c>
      <c r="AQ26" s="7">
        <v>714722928</v>
      </c>
      <c r="AR26" s="7">
        <v>732587518</v>
      </c>
      <c r="AS26" s="7">
        <v>829272682</v>
      </c>
      <c r="AT26" s="7">
        <v>845783686</v>
      </c>
      <c r="AU26" s="7">
        <v>879318508</v>
      </c>
      <c r="AV26" s="228">
        <v>893586141</v>
      </c>
      <c r="AW26" s="228">
        <v>883913179</v>
      </c>
      <c r="AX26" s="228">
        <v>915412953</v>
      </c>
      <c r="AY26" s="228">
        <v>947287758</v>
      </c>
      <c r="AZ26" s="228">
        <v>1125766128</v>
      </c>
      <c r="BA26" s="228">
        <v>1045010082</v>
      </c>
      <c r="BB26" s="228">
        <v>1079396261</v>
      </c>
      <c r="BC26" s="229">
        <v>1114311184</v>
      </c>
      <c r="BD26" s="229">
        <v>1139210381</v>
      </c>
      <c r="BE26" s="230">
        <v>1198184825</v>
      </c>
      <c r="BF26" s="230">
        <v>1271967443</v>
      </c>
      <c r="BG26" s="230">
        <v>1208206944</v>
      </c>
      <c r="BH26" s="230">
        <v>1221112550</v>
      </c>
      <c r="BI26" s="230">
        <v>1267289489</v>
      </c>
      <c r="BJ26" s="230">
        <v>1386128237</v>
      </c>
      <c r="BK26" s="231">
        <v>1505452196</v>
      </c>
      <c r="BL26" s="231">
        <v>1612997968</v>
      </c>
      <c r="BM26" s="231">
        <v>1655695450</v>
      </c>
      <c r="BN26" s="232">
        <v>1619270780</v>
      </c>
      <c r="BO26" s="233">
        <v>1473962805</v>
      </c>
      <c r="BP26" s="233">
        <v>1544085221</v>
      </c>
      <c r="BQ26" s="234">
        <v>1652538308</v>
      </c>
    </row>
    <row r="27" spans="1:69" s="54" customFormat="1" ht="12" x14ac:dyDescent="0.3">
      <c r="A27" s="80" t="s">
        <v>456</v>
      </c>
      <c r="B27" s="21" t="s">
        <v>454</v>
      </c>
      <c r="C27" s="80" t="s">
        <v>460</v>
      </c>
      <c r="D27" s="80"/>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222">
        <v>4317781452</v>
      </c>
      <c r="AW27" s="235">
        <v>4549055093</v>
      </c>
      <c r="AX27" s="235">
        <v>4755145257</v>
      </c>
      <c r="AY27" s="235">
        <v>4968959443</v>
      </c>
      <c r="AZ27" s="235">
        <v>5284097003</v>
      </c>
      <c r="BA27" s="235">
        <v>5571142501</v>
      </c>
      <c r="BB27" s="235">
        <v>5923297939</v>
      </c>
      <c r="BC27" s="235">
        <v>6208236257</v>
      </c>
      <c r="BD27" s="235">
        <v>6541280743</v>
      </c>
      <c r="BE27" s="236">
        <v>6935503013</v>
      </c>
      <c r="BF27" s="236">
        <v>7291998758</v>
      </c>
      <c r="BG27" s="236">
        <v>7613590480</v>
      </c>
      <c r="BH27" s="236">
        <v>7677626201</v>
      </c>
      <c r="BI27" s="236">
        <v>7804548186</v>
      </c>
      <c r="BJ27" s="236">
        <v>7973940602</v>
      </c>
      <c r="BK27" s="237">
        <v>8415761105</v>
      </c>
      <c r="BL27" s="237">
        <v>8817095391</v>
      </c>
      <c r="BM27" s="237">
        <v>9221635446</v>
      </c>
      <c r="BN27" s="238">
        <v>9466523654</v>
      </c>
      <c r="BO27" s="239">
        <v>9613451456</v>
      </c>
      <c r="BP27" s="239">
        <v>9875410289</v>
      </c>
      <c r="BQ27" s="240">
        <v>10225874777</v>
      </c>
    </row>
    <row r="28" spans="1:69" s="54" customFormat="1" ht="12" x14ac:dyDescent="0.3">
      <c r="A28" s="80" t="s">
        <v>457</v>
      </c>
      <c r="B28" s="225" t="s">
        <v>453</v>
      </c>
      <c r="C28" s="80" t="s">
        <v>461</v>
      </c>
      <c r="D28" s="80"/>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223">
        <v>1848022862</v>
      </c>
      <c r="AW28" s="241">
        <v>1999540977</v>
      </c>
      <c r="AX28" s="241">
        <v>2131890499</v>
      </c>
      <c r="AY28" s="241">
        <v>2265345826</v>
      </c>
      <c r="AZ28" s="241">
        <v>2438539251</v>
      </c>
      <c r="BA28" s="241">
        <v>2600545415</v>
      </c>
      <c r="BB28" s="241">
        <v>2760002783</v>
      </c>
      <c r="BC28" s="241">
        <v>2898167422</v>
      </c>
      <c r="BD28" s="241">
        <v>3031634536</v>
      </c>
      <c r="BE28" s="242">
        <v>3227243753</v>
      </c>
      <c r="BF28" s="242">
        <v>3369214883</v>
      </c>
      <c r="BG28" s="242">
        <v>3549239594</v>
      </c>
      <c r="BH28" s="242">
        <v>3699383948</v>
      </c>
      <c r="BI28" s="242">
        <v>3812960901</v>
      </c>
      <c r="BJ28" s="242">
        <v>3930550044</v>
      </c>
      <c r="BK28" s="243">
        <v>4096350302</v>
      </c>
      <c r="BL28" s="243">
        <v>4241564417</v>
      </c>
      <c r="BM28" s="243">
        <v>4335284540</v>
      </c>
      <c r="BN28" s="244">
        <v>4514037135</v>
      </c>
      <c r="BO28" s="245">
        <v>4711042846</v>
      </c>
      <c r="BP28" s="245">
        <v>4874203678</v>
      </c>
      <c r="BQ28" s="246">
        <v>5021678762</v>
      </c>
    </row>
    <row r="29" spans="1:69" s="54" customFormat="1" ht="12" x14ac:dyDescent="0.3">
      <c r="A29" s="80" t="s">
        <v>458</v>
      </c>
      <c r="B29" s="7" t="s">
        <v>465</v>
      </c>
      <c r="C29" s="248" t="s">
        <v>462</v>
      </c>
      <c r="D29" s="248"/>
      <c r="AV29" s="224">
        <f>AV27-AV28</f>
        <v>2469758590</v>
      </c>
      <c r="AW29" s="224">
        <f t="shared" ref="AW29:BQ29" si="1">AW27-AW28</f>
        <v>2549514116</v>
      </c>
      <c r="AX29" s="224">
        <f t="shared" si="1"/>
        <v>2623254758</v>
      </c>
      <c r="AY29" s="224">
        <f t="shared" si="1"/>
        <v>2703613617</v>
      </c>
      <c r="AZ29" s="224">
        <f t="shared" si="1"/>
        <v>2845557752</v>
      </c>
      <c r="BA29" s="224">
        <f t="shared" si="1"/>
        <v>2970597086</v>
      </c>
      <c r="BB29" s="224">
        <f t="shared" si="1"/>
        <v>3163295156</v>
      </c>
      <c r="BC29" s="224">
        <f t="shared" si="1"/>
        <v>3310068835</v>
      </c>
      <c r="BD29" s="224">
        <f t="shared" si="1"/>
        <v>3509646207</v>
      </c>
      <c r="BE29" s="224">
        <f t="shared" si="1"/>
        <v>3708259260</v>
      </c>
      <c r="BF29" s="224">
        <f t="shared" si="1"/>
        <v>3922783875</v>
      </c>
      <c r="BG29" s="224">
        <f t="shared" si="1"/>
        <v>4064350886</v>
      </c>
      <c r="BH29" s="224">
        <f t="shared" si="1"/>
        <v>3978242253</v>
      </c>
      <c r="BI29" s="224">
        <f t="shared" si="1"/>
        <v>3991587285</v>
      </c>
      <c r="BJ29" s="224">
        <f t="shared" si="1"/>
        <v>4043390558</v>
      </c>
      <c r="BK29" s="224">
        <f t="shared" si="1"/>
        <v>4319410803</v>
      </c>
      <c r="BL29" s="224">
        <f t="shared" si="1"/>
        <v>4575530974</v>
      </c>
      <c r="BM29" s="224">
        <f t="shared" si="1"/>
        <v>4886350906</v>
      </c>
      <c r="BN29" s="224">
        <f t="shared" si="1"/>
        <v>4952486519</v>
      </c>
      <c r="BO29" s="224">
        <f t="shared" si="1"/>
        <v>4902408610</v>
      </c>
      <c r="BP29" s="224">
        <f t="shared" si="1"/>
        <v>5001206611</v>
      </c>
      <c r="BQ29" s="224">
        <f t="shared" si="1"/>
        <v>5204196015</v>
      </c>
    </row>
    <row r="30" spans="1:69" s="80" customFormat="1" ht="23.4" customHeight="1" x14ac:dyDescent="0.3">
      <c r="A30" s="54" t="s">
        <v>469</v>
      </c>
      <c r="B30" s="7" t="s">
        <v>470</v>
      </c>
      <c r="C30" s="335" t="s">
        <v>236</v>
      </c>
      <c r="D30" s="249">
        <f>'Appndx 6.8.II.1'!Y23</f>
        <v>95.3</v>
      </c>
      <c r="E30" s="249">
        <f>'Appndx 6.8.II.1'!Z23</f>
        <v>105</v>
      </c>
      <c r="F30" s="249">
        <f>'Appndx 6.8.II.1'!AA23</f>
        <v>115.9</v>
      </c>
      <c r="G30" s="249">
        <f>'Appndx 6.8.II.1'!AB23</f>
        <v>124.4</v>
      </c>
      <c r="H30" s="249">
        <f>'Appndx 6.8.II.1'!AC23</f>
        <v>133.69999999999999</v>
      </c>
      <c r="I30" s="249">
        <f>'Appndx 6.8.II.1'!AD23</f>
        <v>146</v>
      </c>
      <c r="J30" s="249">
        <f>'Appndx 6.8.II.1'!AE23</f>
        <v>158.6</v>
      </c>
      <c r="K30" s="249">
        <f>'Appndx 6.8.II.1'!AF23</f>
        <v>172.3</v>
      </c>
      <c r="L30" s="249">
        <f>'Appndx 6.8.II.1'!AG23</f>
        <v>184.4</v>
      </c>
      <c r="M30" s="249">
        <f>'Appndx 6.8.II.1'!AH23</f>
        <v>197.9</v>
      </c>
      <c r="N30" s="249">
        <f>'Appndx 6.8.II.1'!AI23</f>
        <v>216</v>
      </c>
      <c r="O30" s="249">
        <f>'Appndx 6.8.II.1'!AJ23</f>
        <v>235.4</v>
      </c>
      <c r="P30" s="249">
        <f>'Appndx 6.8.II.1'!AK23</f>
        <v>248.7</v>
      </c>
      <c r="Q30" s="249">
        <f>'Appndx 6.8.II.1'!AL23</f>
        <v>263.60000000000002</v>
      </c>
      <c r="R30" s="249">
        <f>'Appndx 6.8.II.1'!AM23</f>
        <v>280.89999999999998</v>
      </c>
      <c r="S30" s="249">
        <f>'Appndx 6.8.II.1'!AN23</f>
        <v>296.5</v>
      </c>
      <c r="T30" s="249">
        <f>'Appndx 6.8.II.1'!AO23</f>
        <v>313.89999999999998</v>
      </c>
      <c r="U30" s="249">
        <f>'Appndx 6.8.II.1'!AP23</f>
        <v>331.7</v>
      </c>
      <c r="V30" s="249">
        <f>'Appndx 6.8.II.1'!AQ23</f>
        <v>353.5</v>
      </c>
      <c r="W30" s="249">
        <f>'Appndx 6.8.II.1'!AR23</f>
        <v>382.1</v>
      </c>
      <c r="X30" s="249">
        <f>'Appndx 6.8.II.1'!AS23</f>
        <v>417.3</v>
      </c>
      <c r="Y30" s="249">
        <f>'Appndx 6.8.II.1'!AT23</f>
        <v>450.7</v>
      </c>
      <c r="Z30" s="249">
        <f>'Appndx 6.8.II.1'!AU23</f>
        <v>487.4</v>
      </c>
      <c r="AA30" s="249">
        <f>'Appndx 6.8.II.1'!AV23</f>
        <v>529</v>
      </c>
      <c r="AB30" s="249">
        <f>'Appndx 6.8.II.1'!AW23</f>
        <v>569.4</v>
      </c>
      <c r="AC30" s="249">
        <f>'Appndx 6.8.II.1'!AX23</f>
        <v>609.70000000000005</v>
      </c>
      <c r="AD30" s="249">
        <f>'Appndx 6.8.II.1'!AY23</f>
        <v>657.3</v>
      </c>
      <c r="AE30" s="249">
        <f>'Appndx 6.8.II.1'!AZ23</f>
        <v>718.2</v>
      </c>
      <c r="AF30" s="249">
        <f>'Appndx 6.8.II.1'!BA23</f>
        <v>790.1</v>
      </c>
      <c r="AG30" s="249">
        <f>'Appndx 6.8.II.1'!BB23</f>
        <v>858.5</v>
      </c>
      <c r="AH30" s="249">
        <f>'Appndx 6.8.II.1'!BC23</f>
        <v>934.6</v>
      </c>
      <c r="AI30" s="249">
        <f>'Appndx 6.8.II.1'!BD23</f>
        <v>1030.7</v>
      </c>
      <c r="AJ30" s="249">
        <f>'Appndx 6.8.II.1'!BE23</f>
        <v>1156.7</v>
      </c>
      <c r="AK30" s="249">
        <f>'Appndx 6.8.II.1'!BF23</f>
        <v>1310.3</v>
      </c>
      <c r="AL30" s="249">
        <f>'Appndx 6.8.II.1'!BG23</f>
        <v>1474.4</v>
      </c>
      <c r="AM30" s="249">
        <f>'Appndx 6.8.II.1'!BH23</f>
        <v>1662.3</v>
      </c>
      <c r="AN30" s="249">
        <f>'Appndx 6.8.II.1'!BI23</f>
        <v>1834.5</v>
      </c>
      <c r="AO30" s="249">
        <f>'Appndx 6.8.II.1'!BJ23</f>
        <v>1987.1</v>
      </c>
      <c r="AP30" s="249">
        <f>'Appndx 6.8.II.1'!BK23</f>
        <v>2181.8000000000002</v>
      </c>
      <c r="AQ30" s="249">
        <f>'Appndx 6.8.II.1'!BL23</f>
        <v>2383.8000000000002</v>
      </c>
      <c r="AR30" s="249">
        <f>'Appndx 6.8.II.1'!BM23</f>
        <v>2556.6999999999998</v>
      </c>
      <c r="AS30" s="249">
        <f>'Appndx 6.8.II.1'!BN23</f>
        <v>2712.7</v>
      </c>
      <c r="AT30" s="249">
        <f>'Appndx 6.8.II.1'!BO23</f>
        <v>2881.4</v>
      </c>
      <c r="AU30" s="249">
        <f>'Appndx 6.8.II.1'!BP23</f>
        <v>3067.8</v>
      </c>
      <c r="AV30" s="249">
        <f>'Appndx 6.8.II.1'!BQ23</f>
        <v>3267.3</v>
      </c>
      <c r="AW30" s="249">
        <f>'Appndx 6.8.II.1'!BR23</f>
        <v>3430.2</v>
      </c>
      <c r="AX30" s="249">
        <f>'Appndx 6.8.II.1'!BS23</f>
        <v>3587.9</v>
      </c>
      <c r="AY30" s="249">
        <f>'Appndx 6.8.II.1'!BT23</f>
        <v>3777.9</v>
      </c>
      <c r="AZ30" s="249">
        <f>'Appndx 6.8.II.1'!BU23</f>
        <v>3995.7</v>
      </c>
      <c r="BA30" s="249">
        <f>'Appndx 6.8.II.1'!BV23</f>
        <v>4261.1000000000004</v>
      </c>
      <c r="BB30" s="249">
        <f>'Appndx 6.8.II.1'!BW23</f>
        <v>4553.3</v>
      </c>
      <c r="BC30" s="249">
        <f>'Appndx 6.8.II.1'!BX23</f>
        <v>4871</v>
      </c>
      <c r="BD30" s="249">
        <f>'Appndx 6.8.II.1'!BY23</f>
        <v>5215.3</v>
      </c>
      <c r="BE30" s="249">
        <f>'Appndx 6.8.II.1'!BZ23</f>
        <v>5585.3</v>
      </c>
      <c r="BF30" s="249">
        <f>'Appndx 6.8.II.1'!CA23</f>
        <v>5995.7</v>
      </c>
      <c r="BG30" s="249">
        <f>'Appndx 6.8.II.1'!CB23</f>
        <v>6306.5</v>
      </c>
      <c r="BH30" s="249">
        <f>'Appndx 6.8.II.1'!CC23</f>
        <v>6499.8</v>
      </c>
      <c r="BI30" s="249">
        <f>'Appndx 6.8.II.1'!CD23</f>
        <v>6684.5</v>
      </c>
      <c r="BJ30" s="249">
        <f>'Appndx 6.8.II.1'!CE23</f>
        <v>6906.9</v>
      </c>
      <c r="BK30" s="249">
        <f>'Appndx 6.8.II.1'!CF23</f>
        <v>7201.1</v>
      </c>
      <c r="BL30" s="249">
        <f>'Appndx 6.8.II.1'!CG23</f>
        <v>7605.3</v>
      </c>
      <c r="BM30" s="249">
        <f>'Appndx 6.8.II.1'!CH23</f>
        <v>8068.8</v>
      </c>
      <c r="BN30" s="249">
        <f>'Appndx 6.8.II.1'!CI23</f>
        <v>8508.2999999999993</v>
      </c>
      <c r="BO30" s="249">
        <f>'Appndx 6.8.II.1'!CJ23</f>
        <v>8673.5</v>
      </c>
      <c r="BP30" s="249">
        <f>'Appndx 6.8.II.1'!CK23</f>
        <v>8848.6</v>
      </c>
      <c r="BQ30" s="249">
        <f>'Appndx 6.8.II.1'!CL23</f>
        <v>9122.4</v>
      </c>
    </row>
    <row r="31" spans="1:69" s="80" customFormat="1" ht="31.25" customHeight="1" x14ac:dyDescent="0.35">
      <c r="A31" s="2" t="s">
        <v>463</v>
      </c>
      <c r="B31" s="2" t="s">
        <v>471</v>
      </c>
      <c r="C31" s="254" t="s">
        <v>472</v>
      </c>
      <c r="D31" s="254"/>
      <c r="E31" s="249"/>
      <c r="F31" s="249"/>
      <c r="G31" s="249"/>
      <c r="H31" s="249"/>
      <c r="I31" s="249"/>
      <c r="J31" s="249"/>
      <c r="K31" s="249"/>
      <c r="L31" s="249"/>
      <c r="M31" s="249"/>
      <c r="N31" s="249"/>
      <c r="O31" s="249"/>
      <c r="P31" s="249"/>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50">
        <f>(AV29/1000000)/AV30</f>
        <v>0.75590199553147852</v>
      </c>
      <c r="AW31" s="250">
        <f t="shared" ref="AW31:BQ31" si="2">(AW29/1000000)/AW30</f>
        <v>0.74325523759547552</v>
      </c>
      <c r="AX31" s="250">
        <f t="shared" si="2"/>
        <v>0.73113931770673657</v>
      </c>
      <c r="AY31" s="250">
        <f t="shared" si="2"/>
        <v>0.71563927499404434</v>
      </c>
      <c r="AZ31" s="250">
        <f t="shared" si="2"/>
        <v>0.71215500462997727</v>
      </c>
      <c r="BA31" s="250">
        <f t="shared" si="2"/>
        <v>0.69714324611015932</v>
      </c>
      <c r="BB31" s="250">
        <f t="shared" si="2"/>
        <v>0.69472583752443284</v>
      </c>
      <c r="BC31" s="250">
        <f t="shared" si="2"/>
        <v>0.67954605522479983</v>
      </c>
      <c r="BD31" s="250">
        <f t="shared" si="2"/>
        <v>0.67295193124077224</v>
      </c>
      <c r="BE31" s="250">
        <f t="shared" si="2"/>
        <v>0.6639319750058188</v>
      </c>
      <c r="BF31" s="250">
        <f t="shared" si="2"/>
        <v>0.65426620327901663</v>
      </c>
      <c r="BG31" s="250">
        <f t="shared" si="2"/>
        <v>0.64447013176880996</v>
      </c>
      <c r="BH31" s="250">
        <f t="shared" si="2"/>
        <v>0.61205610218775963</v>
      </c>
      <c r="BI31" s="250">
        <f t="shared" si="2"/>
        <v>0.59714074126711048</v>
      </c>
      <c r="BJ31" s="250">
        <f t="shared" si="2"/>
        <v>0.58541321837582716</v>
      </c>
      <c r="BK31" s="250">
        <f t="shared" si="2"/>
        <v>0.59982652691949834</v>
      </c>
      <c r="BL31" s="250">
        <f t="shared" si="2"/>
        <v>0.60162399563462321</v>
      </c>
      <c r="BM31" s="250">
        <f t="shared" si="2"/>
        <v>0.60558582515367831</v>
      </c>
      <c r="BN31" s="250">
        <f t="shared" si="2"/>
        <v>0.58207709166343458</v>
      </c>
      <c r="BO31" s="250">
        <f t="shared" si="2"/>
        <v>0.56521688015218774</v>
      </c>
      <c r="BP31" s="250">
        <f t="shared" si="2"/>
        <v>0.56519750141265279</v>
      </c>
      <c r="BQ31" s="250">
        <f t="shared" si="2"/>
        <v>0.57048540022362548</v>
      </c>
    </row>
    <row r="32" spans="1:69" s="2" customFormat="1" ht="29" x14ac:dyDescent="0.35">
      <c r="A32" s="247"/>
      <c r="B32" s="2" t="s">
        <v>459</v>
      </c>
      <c r="C32" s="336" t="s">
        <v>474</v>
      </c>
      <c r="D32" s="227">
        <f>1.1584-0.0094*(D24-1946)</f>
        <v>1.1584000000000001</v>
      </c>
      <c r="E32" s="227">
        <f t="shared" ref="E32:BP32" si="3">1.1584-0.0094*(E24-1946)</f>
        <v>1.149</v>
      </c>
      <c r="F32" s="227">
        <f t="shared" si="3"/>
        <v>1.1396000000000002</v>
      </c>
      <c r="G32" s="227">
        <f t="shared" si="3"/>
        <v>1.1302000000000001</v>
      </c>
      <c r="H32" s="227">
        <f t="shared" si="3"/>
        <v>1.1208</v>
      </c>
      <c r="I32" s="227">
        <f t="shared" si="3"/>
        <v>1.1114000000000002</v>
      </c>
      <c r="J32" s="227">
        <f t="shared" si="3"/>
        <v>1.1020000000000001</v>
      </c>
      <c r="K32" s="227">
        <f t="shared" si="3"/>
        <v>1.0926</v>
      </c>
      <c r="L32" s="227">
        <f t="shared" si="3"/>
        <v>1.0832000000000002</v>
      </c>
      <c r="M32" s="227">
        <f t="shared" si="3"/>
        <v>1.0738000000000001</v>
      </c>
      <c r="N32" s="227">
        <f t="shared" si="3"/>
        <v>1.0644</v>
      </c>
      <c r="O32" s="227">
        <f t="shared" si="3"/>
        <v>1.0550000000000002</v>
      </c>
      <c r="P32" s="227">
        <f t="shared" si="3"/>
        <v>1.0456000000000001</v>
      </c>
      <c r="Q32" s="227">
        <f t="shared" si="3"/>
        <v>1.0362</v>
      </c>
      <c r="R32" s="227">
        <f t="shared" si="3"/>
        <v>1.0268000000000002</v>
      </c>
      <c r="S32" s="227">
        <f t="shared" si="3"/>
        <v>1.0174000000000001</v>
      </c>
      <c r="T32" s="227">
        <f t="shared" si="3"/>
        <v>1.008</v>
      </c>
      <c r="U32" s="227">
        <f t="shared" si="3"/>
        <v>0.99860000000000015</v>
      </c>
      <c r="V32" s="227">
        <f t="shared" si="3"/>
        <v>0.98920000000000008</v>
      </c>
      <c r="W32" s="227">
        <f t="shared" si="3"/>
        <v>0.97980000000000012</v>
      </c>
      <c r="X32" s="227">
        <f t="shared" si="3"/>
        <v>0.97040000000000015</v>
      </c>
      <c r="Y32" s="227">
        <f t="shared" si="3"/>
        <v>0.96100000000000008</v>
      </c>
      <c r="Z32" s="227">
        <f t="shared" si="3"/>
        <v>0.95160000000000011</v>
      </c>
      <c r="AA32" s="227">
        <f t="shared" si="3"/>
        <v>0.94220000000000015</v>
      </c>
      <c r="AB32" s="227">
        <f t="shared" si="3"/>
        <v>0.93280000000000007</v>
      </c>
      <c r="AC32" s="227">
        <f t="shared" si="3"/>
        <v>0.92340000000000011</v>
      </c>
      <c r="AD32" s="227">
        <f t="shared" si="3"/>
        <v>0.91400000000000015</v>
      </c>
      <c r="AE32" s="227">
        <f t="shared" si="3"/>
        <v>0.90460000000000007</v>
      </c>
      <c r="AF32" s="227">
        <f t="shared" si="3"/>
        <v>0.89520000000000011</v>
      </c>
      <c r="AG32" s="227">
        <f t="shared" si="3"/>
        <v>0.88580000000000014</v>
      </c>
      <c r="AH32" s="227">
        <f t="shared" si="3"/>
        <v>0.87640000000000007</v>
      </c>
      <c r="AI32" s="227">
        <f t="shared" si="3"/>
        <v>0.8670000000000001</v>
      </c>
      <c r="AJ32" s="227">
        <f t="shared" si="3"/>
        <v>0.85760000000000014</v>
      </c>
      <c r="AK32" s="227">
        <f t="shared" si="3"/>
        <v>0.84820000000000007</v>
      </c>
      <c r="AL32" s="227">
        <f t="shared" si="3"/>
        <v>0.8388000000000001</v>
      </c>
      <c r="AM32" s="227">
        <f t="shared" si="3"/>
        <v>0.82940000000000014</v>
      </c>
      <c r="AN32" s="227">
        <f t="shared" si="3"/>
        <v>0.82000000000000006</v>
      </c>
      <c r="AO32" s="227">
        <f t="shared" si="3"/>
        <v>0.8106000000000001</v>
      </c>
      <c r="AP32" s="227">
        <f t="shared" si="3"/>
        <v>0.80120000000000013</v>
      </c>
      <c r="AQ32" s="227">
        <f t="shared" si="3"/>
        <v>0.79180000000000006</v>
      </c>
      <c r="AR32" s="227">
        <f t="shared" si="3"/>
        <v>0.7824000000000001</v>
      </c>
      <c r="AS32" s="227">
        <f t="shared" si="3"/>
        <v>0.77300000000000013</v>
      </c>
      <c r="AT32" s="227">
        <f t="shared" si="3"/>
        <v>0.76360000000000006</v>
      </c>
      <c r="AU32" s="227">
        <f t="shared" si="3"/>
        <v>0.75420000000000009</v>
      </c>
      <c r="AV32" s="227">
        <f t="shared" si="3"/>
        <v>0.74480000000000013</v>
      </c>
      <c r="AW32" s="227">
        <f t="shared" si="3"/>
        <v>0.73540000000000005</v>
      </c>
      <c r="AX32" s="227">
        <f t="shared" si="3"/>
        <v>0.72600000000000009</v>
      </c>
      <c r="AY32" s="227">
        <f t="shared" si="3"/>
        <v>0.71660000000000013</v>
      </c>
      <c r="AZ32" s="227">
        <f t="shared" si="3"/>
        <v>0.70720000000000005</v>
      </c>
      <c r="BA32" s="227">
        <f t="shared" si="3"/>
        <v>0.69780000000000009</v>
      </c>
      <c r="BB32" s="227">
        <f t="shared" si="3"/>
        <v>0.68840000000000012</v>
      </c>
      <c r="BC32" s="227">
        <f t="shared" si="3"/>
        <v>0.67900000000000005</v>
      </c>
      <c r="BD32" s="227">
        <f t="shared" si="3"/>
        <v>0.66960000000000008</v>
      </c>
      <c r="BE32" s="227">
        <f t="shared" si="3"/>
        <v>0.66020000000000012</v>
      </c>
      <c r="BF32" s="227">
        <f t="shared" si="3"/>
        <v>0.65080000000000005</v>
      </c>
      <c r="BG32" s="227">
        <f t="shared" si="3"/>
        <v>0.64140000000000008</v>
      </c>
      <c r="BH32" s="227">
        <f t="shared" si="3"/>
        <v>0.63200000000000012</v>
      </c>
      <c r="BI32" s="227">
        <f t="shared" si="3"/>
        <v>0.62260000000000004</v>
      </c>
      <c r="BJ32" s="227">
        <f t="shared" si="3"/>
        <v>0.61320000000000008</v>
      </c>
      <c r="BK32" s="227">
        <f t="shared" si="3"/>
        <v>0.60380000000000011</v>
      </c>
      <c r="BL32" s="227">
        <f t="shared" si="3"/>
        <v>0.59440000000000004</v>
      </c>
      <c r="BM32" s="227">
        <f t="shared" si="3"/>
        <v>0.58500000000000008</v>
      </c>
      <c r="BN32" s="227">
        <f t="shared" si="3"/>
        <v>0.57560000000000011</v>
      </c>
      <c r="BO32" s="227">
        <f t="shared" si="3"/>
        <v>0.56620000000000004</v>
      </c>
      <c r="BP32" s="227">
        <f t="shared" si="3"/>
        <v>0.55680000000000007</v>
      </c>
      <c r="BQ32" s="227">
        <f>1.1584-0.0094*(BQ24-1946)</f>
        <v>0.54740000000000011</v>
      </c>
    </row>
    <row r="33" spans="1:69" s="2" customFormat="1" ht="43.5" x14ac:dyDescent="0.35">
      <c r="A33" s="247"/>
      <c r="B33" s="2" t="s">
        <v>473</v>
      </c>
      <c r="C33" s="337" t="s">
        <v>464</v>
      </c>
      <c r="D33" s="226">
        <f t="shared" ref="D33:AI33" si="4">D30*D32</f>
        <v>110.39552</v>
      </c>
      <c r="E33" s="226">
        <f t="shared" si="4"/>
        <v>120.645</v>
      </c>
      <c r="F33" s="226">
        <f t="shared" si="4"/>
        <v>132.07964000000001</v>
      </c>
      <c r="G33" s="226">
        <f t="shared" si="4"/>
        <v>140.59688000000003</v>
      </c>
      <c r="H33" s="226">
        <f t="shared" si="4"/>
        <v>149.85095999999999</v>
      </c>
      <c r="I33" s="226">
        <f t="shared" si="4"/>
        <v>162.26440000000002</v>
      </c>
      <c r="J33" s="226">
        <f t="shared" si="4"/>
        <v>174.77720000000002</v>
      </c>
      <c r="K33" s="226">
        <f t="shared" si="4"/>
        <v>188.25498000000002</v>
      </c>
      <c r="L33" s="226">
        <f t="shared" si="4"/>
        <v>199.74208000000004</v>
      </c>
      <c r="M33" s="226">
        <f t="shared" si="4"/>
        <v>212.50502000000003</v>
      </c>
      <c r="N33" s="226">
        <f t="shared" si="4"/>
        <v>229.91040000000001</v>
      </c>
      <c r="O33" s="226">
        <f t="shared" si="4"/>
        <v>248.34700000000004</v>
      </c>
      <c r="P33" s="226">
        <f t="shared" si="4"/>
        <v>260.04072000000002</v>
      </c>
      <c r="Q33" s="226">
        <f t="shared" si="4"/>
        <v>273.14232000000004</v>
      </c>
      <c r="R33" s="226">
        <f t="shared" si="4"/>
        <v>288.42812000000004</v>
      </c>
      <c r="S33" s="226">
        <f t="shared" si="4"/>
        <v>301.65910000000002</v>
      </c>
      <c r="T33" s="226">
        <f t="shared" si="4"/>
        <v>316.41119999999995</v>
      </c>
      <c r="U33" s="226">
        <f t="shared" si="4"/>
        <v>331.23562000000004</v>
      </c>
      <c r="V33" s="226">
        <f t="shared" si="4"/>
        <v>349.68220000000002</v>
      </c>
      <c r="W33" s="226">
        <f t="shared" si="4"/>
        <v>374.38158000000004</v>
      </c>
      <c r="X33" s="226">
        <f t="shared" si="4"/>
        <v>404.94792000000007</v>
      </c>
      <c r="Y33" s="226">
        <f t="shared" si="4"/>
        <v>433.12270000000001</v>
      </c>
      <c r="Z33" s="226">
        <f t="shared" si="4"/>
        <v>463.80984000000001</v>
      </c>
      <c r="AA33" s="226">
        <f t="shared" si="4"/>
        <v>498.42380000000009</v>
      </c>
      <c r="AB33" s="226">
        <f t="shared" si="4"/>
        <v>531.13632000000007</v>
      </c>
      <c r="AC33" s="226">
        <f t="shared" si="4"/>
        <v>562.99698000000012</v>
      </c>
      <c r="AD33" s="226">
        <f t="shared" si="4"/>
        <v>600.7722</v>
      </c>
      <c r="AE33" s="226">
        <f t="shared" si="4"/>
        <v>649.68372000000011</v>
      </c>
      <c r="AF33" s="226">
        <f t="shared" si="4"/>
        <v>707.29752000000008</v>
      </c>
      <c r="AG33" s="226">
        <f t="shared" si="4"/>
        <v>760.4593000000001</v>
      </c>
      <c r="AH33" s="226">
        <f t="shared" si="4"/>
        <v>819.08344000000011</v>
      </c>
      <c r="AI33" s="226">
        <f t="shared" si="4"/>
        <v>893.6169000000001</v>
      </c>
      <c r="AJ33" s="226">
        <f t="shared" ref="AJ33:BO33" si="5">AJ30*AJ32</f>
        <v>991.98592000000019</v>
      </c>
      <c r="AK33" s="226">
        <f t="shared" si="5"/>
        <v>1111.3964599999999</v>
      </c>
      <c r="AL33" s="226">
        <f t="shared" si="5"/>
        <v>1236.7267200000001</v>
      </c>
      <c r="AM33" s="226">
        <f t="shared" si="5"/>
        <v>1378.7116200000003</v>
      </c>
      <c r="AN33" s="226">
        <f t="shared" si="5"/>
        <v>1504.2900000000002</v>
      </c>
      <c r="AO33" s="226">
        <f t="shared" si="5"/>
        <v>1610.7432600000002</v>
      </c>
      <c r="AP33" s="226">
        <f t="shared" si="5"/>
        <v>1748.0581600000005</v>
      </c>
      <c r="AQ33" s="226">
        <f t="shared" si="5"/>
        <v>1887.4928400000003</v>
      </c>
      <c r="AR33" s="226">
        <f t="shared" si="5"/>
        <v>2000.3620800000001</v>
      </c>
      <c r="AS33" s="226">
        <f t="shared" si="5"/>
        <v>2096.9171000000001</v>
      </c>
      <c r="AT33" s="226">
        <f t="shared" si="5"/>
        <v>2200.2370400000004</v>
      </c>
      <c r="AU33" s="226">
        <f t="shared" si="5"/>
        <v>2313.7347600000003</v>
      </c>
      <c r="AV33" s="226">
        <f t="shared" si="5"/>
        <v>2433.4850400000005</v>
      </c>
      <c r="AW33" s="226">
        <f t="shared" si="5"/>
        <v>2522.5690800000002</v>
      </c>
      <c r="AX33" s="226">
        <f t="shared" si="5"/>
        <v>2604.8154000000004</v>
      </c>
      <c r="AY33" s="226">
        <f t="shared" si="5"/>
        <v>2707.2431400000005</v>
      </c>
      <c r="AZ33" s="226">
        <f t="shared" si="5"/>
        <v>2825.7590399999999</v>
      </c>
      <c r="BA33" s="226">
        <f t="shared" si="5"/>
        <v>2973.3955800000008</v>
      </c>
      <c r="BB33" s="226">
        <f t="shared" si="5"/>
        <v>3134.4917200000009</v>
      </c>
      <c r="BC33" s="226">
        <f t="shared" si="5"/>
        <v>3307.4090000000001</v>
      </c>
      <c r="BD33" s="226">
        <f t="shared" si="5"/>
        <v>3492.1648800000007</v>
      </c>
      <c r="BE33" s="226">
        <f t="shared" si="5"/>
        <v>3687.4150600000007</v>
      </c>
      <c r="BF33" s="226">
        <f t="shared" si="5"/>
        <v>3902.0015600000002</v>
      </c>
      <c r="BG33" s="226">
        <f t="shared" si="5"/>
        <v>4044.9891000000007</v>
      </c>
      <c r="BH33" s="226">
        <f t="shared" si="5"/>
        <v>4107.8736000000008</v>
      </c>
      <c r="BI33" s="226">
        <f t="shared" si="5"/>
        <v>4161.7696999999998</v>
      </c>
      <c r="BJ33" s="226">
        <f t="shared" si="5"/>
        <v>4235.3110800000004</v>
      </c>
      <c r="BK33" s="226">
        <f t="shared" si="5"/>
        <v>4348.0241800000013</v>
      </c>
      <c r="BL33" s="226">
        <f t="shared" si="5"/>
        <v>4520.5903200000002</v>
      </c>
      <c r="BM33" s="226">
        <f t="shared" si="5"/>
        <v>4720.2480000000005</v>
      </c>
      <c r="BN33" s="226">
        <f t="shared" si="5"/>
        <v>4897.3774800000001</v>
      </c>
      <c r="BO33" s="226">
        <f t="shared" si="5"/>
        <v>4910.9357</v>
      </c>
      <c r="BP33" s="226">
        <f>BP30*BP32</f>
        <v>4926.9004800000012</v>
      </c>
      <c r="BQ33" s="226">
        <f>BQ30*BQ32</f>
        <v>4993.6017600000005</v>
      </c>
    </row>
    <row r="34" spans="1:69" x14ac:dyDescent="0.35">
      <c r="C34" s="181"/>
    </row>
    <row r="35" spans="1:69" s="2" customFormat="1" x14ac:dyDescent="0.35">
      <c r="A35" s="2" t="s">
        <v>487</v>
      </c>
      <c r="B35" t="s">
        <v>483</v>
      </c>
      <c r="C35" s="337" t="s">
        <v>481</v>
      </c>
      <c r="D35" s="226">
        <f>'Appndx 6.8.II.5'!Y15</f>
        <v>61.758192986800388</v>
      </c>
      <c r="E35" s="226">
        <f>'Appndx 6.8.II.5'!Z15</f>
        <v>69.061773803796342</v>
      </c>
      <c r="F35" s="226">
        <f>'Appndx 6.8.II.5'!AA15</f>
        <v>78.761773803796345</v>
      </c>
      <c r="G35" s="226">
        <f>'Appndx 6.8.II.5'!AB15</f>
        <v>89.661773803796351</v>
      </c>
      <c r="H35" s="226">
        <f>'Appndx 6.8.II.5'!AC15</f>
        <v>98.161773803796351</v>
      </c>
      <c r="I35" s="226">
        <f>'Appndx 6.8.II.5'!AD15</f>
        <v>107.46177380379635</v>
      </c>
      <c r="J35" s="226">
        <f>'Appndx 6.8.II.5'!AE15</f>
        <v>119.86177380379635</v>
      </c>
      <c r="K35" s="226">
        <f>'Appndx 6.8.II.5'!AF15</f>
        <v>132.46177380379635</v>
      </c>
      <c r="L35" s="226">
        <f>'Appndx 6.8.II.5'!AG15</f>
        <v>146.16177380379634</v>
      </c>
      <c r="M35" s="226">
        <f>'Appndx 6.8.II.5'!AH15</f>
        <v>158.16177380379634</v>
      </c>
      <c r="N35" s="226">
        <f>'Appndx 6.8.II.5'!AI15</f>
        <v>171.76177380379633</v>
      </c>
      <c r="O35" s="226">
        <f>'Appndx 6.8.II.5'!AJ15</f>
        <v>189.76177380379633</v>
      </c>
      <c r="P35" s="226">
        <f>'Appndx 6.8.II.5'!AK15</f>
        <v>209.16177380379634</v>
      </c>
      <c r="Q35" s="226">
        <f>'Appndx 6.8.II.5'!AL15</f>
        <v>222.36177380379632</v>
      </c>
      <c r="R35" s="226">
        <f>'Appndx 6.8.II.5'!AM15</f>
        <v>237.26177380379633</v>
      </c>
      <c r="S35" s="226">
        <f>'Appndx 6.8.II.5'!AN15</f>
        <v>254.36177380379632</v>
      </c>
      <c r="T35" s="226">
        <f>'Appndx 6.8.II.5'!AO15</f>
        <v>269.96177380379635</v>
      </c>
      <c r="U35" s="226">
        <f>'Appndx 6.8.II.5'!AP15</f>
        <v>287.46177380379635</v>
      </c>
      <c r="V35" s="226">
        <f>'Appndx 6.8.II.5'!AQ15</f>
        <v>305.66177380379634</v>
      </c>
      <c r="W35" s="226">
        <f>'Appndx 6.8.II.5'!AR15</f>
        <v>327.96177380379635</v>
      </c>
      <c r="X35" s="226">
        <f>'Appndx 6.8.II.5'!AS15</f>
        <v>357.06177380379637</v>
      </c>
      <c r="Y35" s="226">
        <f>'Appndx 6.8.II.5'!AT15</f>
        <v>392.16177380379634</v>
      </c>
      <c r="Z35" s="226">
        <f>'Appndx 6.8.II.5'!AU15</f>
        <v>425.56177380379631</v>
      </c>
      <c r="AA35" s="226">
        <f>'Appndx 6.8.II.5'!AV15</f>
        <v>462.16177380379634</v>
      </c>
      <c r="AB35" s="226">
        <f>'Appndx 6.8.II.5'!AW15</f>
        <v>503.66177380379634</v>
      </c>
      <c r="AC35" s="226">
        <f>'Appndx 6.8.II.5'!AX15</f>
        <v>543.96177380379629</v>
      </c>
      <c r="AD35" s="226">
        <f>'Appndx 6.8.II.5'!AY15</f>
        <v>584.26177380379625</v>
      </c>
      <c r="AE35" s="226">
        <f>'Appndx 6.8.II.5'!AZ15</f>
        <v>632.16177380379622</v>
      </c>
      <c r="AF35" s="226">
        <f>'Appndx 6.8.II.5'!BA15</f>
        <v>693.16177380379622</v>
      </c>
      <c r="AG35" s="226">
        <f>'Appndx 6.8.II.5'!BB15</f>
        <v>764.66177380379622</v>
      </c>
      <c r="AH35" s="226">
        <f>'Appndx 6.8.II.5'!BC15</f>
        <v>832.96177380379618</v>
      </c>
      <c r="AI35" s="226">
        <f>'Appndx 6.8.II.5'!BD15</f>
        <v>909.16177380379622</v>
      </c>
      <c r="AJ35" s="226">
        <f>'Appndx 6.8.II.5'!BE15</f>
        <v>1005.3617738037963</v>
      </c>
      <c r="AK35" s="226">
        <f>'Appndx 6.8.II.5'!BF15</f>
        <v>1131.2617738037964</v>
      </c>
      <c r="AL35" s="226">
        <f>'Appndx 6.8.II.5'!BG15</f>
        <v>1284.9617738037964</v>
      </c>
      <c r="AM35" s="226">
        <f>'Appndx 6.8.II.5'!BH15</f>
        <v>1449.0617738037963</v>
      </c>
      <c r="AN35" s="226">
        <f>'Appndx 6.8.II.5'!BI15</f>
        <v>1636.8617738037963</v>
      </c>
      <c r="AO35" s="226">
        <f>'Appndx 6.8.II.5'!BJ15</f>
        <v>1809.1617738037962</v>
      </c>
      <c r="AP35" s="226">
        <f>'Appndx 6.8.II.5'!BK15</f>
        <v>1961.8617738037963</v>
      </c>
      <c r="AQ35" s="226">
        <f>'Appndx 6.8.II.5'!BL15</f>
        <v>2156.5617738037963</v>
      </c>
      <c r="AR35" s="226">
        <f>'Appndx 6.8.II.5'!BM15</f>
        <v>2358.4617738037964</v>
      </c>
      <c r="AS35" s="226">
        <f>'Appndx 6.8.II.5'!BN15</f>
        <v>2531.3617738037965</v>
      </c>
      <c r="AT35" s="226">
        <f>'Appndx 6.8.II.5'!BO15</f>
        <v>2687.3617738037965</v>
      </c>
      <c r="AU35" s="226">
        <f>'Appndx 6.8.II.5'!BP15</f>
        <v>2856.0617738037963</v>
      </c>
      <c r="AV35" s="226">
        <f>'Appndx 6.8.II.5'!BQ15</f>
        <v>3044.2617738037961</v>
      </c>
      <c r="AW35" s="226">
        <f>'Appndx 6.8.II.5'!BR15</f>
        <v>3243.7617738037961</v>
      </c>
      <c r="AX35" s="226">
        <f>'Appndx 6.8.II.5'!BS15</f>
        <v>3406.6617738037962</v>
      </c>
      <c r="AY35" s="226">
        <f>'Appndx 6.8.II.5'!BT15</f>
        <v>3567.1617738037962</v>
      </c>
      <c r="AZ35" s="226">
        <f>'Appndx 6.8.II.5'!BU15</f>
        <v>3758.361773803796</v>
      </c>
      <c r="BA35" s="226">
        <f>'Appndx 6.8.II.5'!BV15</f>
        <v>3979.9617738037959</v>
      </c>
      <c r="BB35" s="226">
        <f>'Appndx 6.8.II.5'!BW15</f>
        <v>4245.9617738037959</v>
      </c>
      <c r="BC35" s="226">
        <f>'Appndx 6.8.II.5'!BX15</f>
        <v>4538.1617738037958</v>
      </c>
      <c r="BD35" s="226">
        <f>'Appndx 6.8.II.5'!BY15</f>
        <v>4855.7617738037961</v>
      </c>
      <c r="BE35" s="226">
        <f>'Appndx 6.8.II.5'!BZ15</f>
        <v>5200.0617738037963</v>
      </c>
      <c r="BF35" s="226">
        <f>'Appndx 6.8.II.5'!CA15</f>
        <v>5571.0617738037963</v>
      </c>
      <c r="BG35" s="226">
        <f>'Appndx 6.8.II.5'!CB15</f>
        <v>5981.4617738037959</v>
      </c>
      <c r="BH35" s="226">
        <f>'Appndx 6.8.II.5'!CC15</f>
        <v>6304.4617738037959</v>
      </c>
      <c r="BI35" s="226">
        <f>'Appndx 6.8.II.5'!CD15</f>
        <v>6497.7617738037961</v>
      </c>
      <c r="BJ35" s="226">
        <f>'Appndx 6.8.II.5'!CE15</f>
        <v>6682.4617738037959</v>
      </c>
      <c r="BK35" s="226">
        <f>'Appndx 6.8.II.5'!CF15</f>
        <v>6914.5617738037963</v>
      </c>
      <c r="BL35" s="226">
        <f>'Appndx 6.8.II.5'!CG15</f>
        <v>7225.3617738037965</v>
      </c>
      <c r="BM35" s="226">
        <f>'Appndx 6.8.II.5'!CH15</f>
        <v>7629.6617738037967</v>
      </c>
      <c r="BN35" s="226">
        <f>'Appndx 6.8.II.5'!CI15</f>
        <v>8093.0617738037963</v>
      </c>
      <c r="BO35" s="226">
        <f>'Appndx 6.8.II.5'!CJ15</f>
        <v>8536.261773803797</v>
      </c>
      <c r="BP35" s="226">
        <f>'Appndx 6.8.II.5'!CK15</f>
        <v>8701.3617738037974</v>
      </c>
      <c r="BQ35" s="226">
        <f>'Appndx 6.8.II.5'!CL15</f>
        <v>8876.5617738037981</v>
      </c>
    </row>
    <row r="36" spans="1:69" x14ac:dyDescent="0.35">
      <c r="B36" s="337" t="s">
        <v>505</v>
      </c>
      <c r="C36" s="337" t="s">
        <v>486</v>
      </c>
      <c r="D36" s="290">
        <f t="shared" ref="D36:AI36" si="6">(D26/1000000)*(D35/D33)</f>
        <v>20.679205132210768</v>
      </c>
      <c r="E36" s="290">
        <f t="shared" si="6"/>
        <v>25.192420766142597</v>
      </c>
      <c r="F36" s="290">
        <f t="shared" si="6"/>
        <v>28.798097438081573</v>
      </c>
      <c r="G36" s="290">
        <f t="shared" si="6"/>
        <v>28.522770172059257</v>
      </c>
      <c r="H36" s="290">
        <f t="shared" si="6"/>
        <v>35.698296662308252</v>
      </c>
      <c r="I36" s="290">
        <f t="shared" si="6"/>
        <v>42.236510818829736</v>
      </c>
      <c r="J36" s="290">
        <f t="shared" si="6"/>
        <v>44.247657279215701</v>
      </c>
      <c r="K36" s="290">
        <f t="shared" si="6"/>
        <v>46.101106902196868</v>
      </c>
      <c r="L36" s="290">
        <f t="shared" si="6"/>
        <v>46.037479118531458</v>
      </c>
      <c r="M36" s="290">
        <f t="shared" si="6"/>
        <v>52.783849521132417</v>
      </c>
      <c r="N36" s="290">
        <f t="shared" si="6"/>
        <v>58.82817443841661</v>
      </c>
      <c r="O36" s="290">
        <f t="shared" si="6"/>
        <v>61.555841212633254</v>
      </c>
      <c r="P36" s="290">
        <f t="shared" si="6"/>
        <v>64.385195163559317</v>
      </c>
      <c r="Q36" s="290">
        <f t="shared" si="6"/>
        <v>71.887190802107952</v>
      </c>
      <c r="R36" s="290">
        <f t="shared" si="6"/>
        <v>75.131602454698012</v>
      </c>
      <c r="S36" s="290">
        <f t="shared" si="6"/>
        <v>79.951424202115419</v>
      </c>
      <c r="T36" s="290">
        <f t="shared" si="6"/>
        <v>85.598913314109865</v>
      </c>
      <c r="U36" s="290">
        <f t="shared" si="6"/>
        <v>92.286829014028442</v>
      </c>
      <c r="V36" s="290">
        <f t="shared" si="6"/>
        <v>98.739809944220298</v>
      </c>
      <c r="W36" s="290">
        <f t="shared" si="6"/>
        <v>110.67590041194181</v>
      </c>
      <c r="X36" s="290">
        <f t="shared" si="6"/>
        <v>124.34313597668942</v>
      </c>
      <c r="Y36" s="290">
        <f t="shared" si="6"/>
        <v>137.24580548411166</v>
      </c>
      <c r="Z36" s="290">
        <f t="shared" si="6"/>
        <v>150.87303700128405</v>
      </c>
      <c r="AA36" s="290">
        <f t="shared" si="6"/>
        <v>171.15395912880993</v>
      </c>
      <c r="AB36" s="290">
        <f t="shared" si="6"/>
        <v>180.55257216240722</v>
      </c>
      <c r="AC36" s="290">
        <f t="shared" si="6"/>
        <v>192.3602938159656</v>
      </c>
      <c r="AD36" s="290">
        <f t="shared" si="6"/>
        <v>217.69574074296509</v>
      </c>
      <c r="AE36" s="290">
        <f t="shared" si="6"/>
        <v>255.48484004450162</v>
      </c>
      <c r="AF36" s="290">
        <f t="shared" si="6"/>
        <v>305.85949207229743</v>
      </c>
      <c r="AG36" s="290">
        <f t="shared" si="6"/>
        <v>319.47433109182992</v>
      </c>
      <c r="AH36" s="290">
        <f t="shared" si="6"/>
        <v>356.5855886169328</v>
      </c>
      <c r="AI36" s="290">
        <f t="shared" si="6"/>
        <v>402.92180749652169</v>
      </c>
      <c r="AJ36" s="290">
        <f t="shared" ref="AJ36:BO36" si="7">(AJ26/1000000)*(AJ35/AJ33)</f>
        <v>448.62151298926949</v>
      </c>
      <c r="AK36" s="290">
        <f t="shared" si="7"/>
        <v>512.02437360885483</v>
      </c>
      <c r="AL36" s="290">
        <f t="shared" si="7"/>
        <v>555.66517498304188</v>
      </c>
      <c r="AM36" s="290">
        <f t="shared" si="7"/>
        <v>618.23447373871477</v>
      </c>
      <c r="AN36" s="290">
        <f t="shared" si="7"/>
        <v>632.46576061769952</v>
      </c>
      <c r="AO36" s="290">
        <f t="shared" si="7"/>
        <v>673.28748132214685</v>
      </c>
      <c r="AP36" s="290">
        <f t="shared" si="7"/>
        <v>745.48610438022331</v>
      </c>
      <c r="AQ36" s="290">
        <f t="shared" si="7"/>
        <v>816.6092674480941</v>
      </c>
      <c r="AR36" s="290">
        <f t="shared" si="7"/>
        <v>863.73345827911351</v>
      </c>
      <c r="AS36" s="290">
        <f t="shared" si="7"/>
        <v>1001.0835274673241</v>
      </c>
      <c r="AT36" s="290">
        <f t="shared" si="7"/>
        <v>1033.0372161461623</v>
      </c>
      <c r="AU36" s="290">
        <f t="shared" si="7"/>
        <v>1085.4260484451499</v>
      </c>
      <c r="AV36" s="290">
        <f t="shared" si="7"/>
        <v>1117.8659765449588</v>
      </c>
      <c r="AW36" s="290">
        <f t="shared" si="7"/>
        <v>1136.6205207754281</v>
      </c>
      <c r="AX36" s="290">
        <f t="shared" si="7"/>
        <v>1197.2066482062226</v>
      </c>
      <c r="AY36" s="290">
        <f t="shared" si="7"/>
        <v>1248.1807153567675</v>
      </c>
      <c r="AZ36" s="290">
        <f t="shared" si="7"/>
        <v>1497.3096862916916</v>
      </c>
      <c r="BA36" s="290">
        <f t="shared" si="7"/>
        <v>1398.7712255896906</v>
      </c>
      <c r="BB36" s="290">
        <f t="shared" si="7"/>
        <v>1462.1430433999501</v>
      </c>
      <c r="BC36" s="290">
        <f t="shared" si="7"/>
        <v>1528.9685730887372</v>
      </c>
      <c r="BD36" s="290">
        <f t="shared" si="7"/>
        <v>1584.0415359713077</v>
      </c>
      <c r="BE36" s="290">
        <f t="shared" si="7"/>
        <v>1689.7026792623369</v>
      </c>
      <c r="BF36" s="290">
        <f t="shared" si="7"/>
        <v>1816.0446863635439</v>
      </c>
      <c r="BG36" s="290">
        <f t="shared" si="7"/>
        <v>1786.6163472184146</v>
      </c>
      <c r="BH36" s="290">
        <f t="shared" si="7"/>
        <v>1874.0735822511861</v>
      </c>
      <c r="BI36" s="290">
        <f t="shared" si="7"/>
        <v>1978.6162598011001</v>
      </c>
      <c r="BJ36" s="290">
        <f t="shared" si="7"/>
        <v>2187.029189209532</v>
      </c>
      <c r="BK36" s="290">
        <f t="shared" si="7"/>
        <v>2394.0856296596257</v>
      </c>
      <c r="BL36" s="290">
        <f t="shared" si="7"/>
        <v>2578.0911416919548</v>
      </c>
      <c r="BM36" s="290">
        <f t="shared" si="7"/>
        <v>2676.2145302377912</v>
      </c>
      <c r="BN36" s="290">
        <f t="shared" si="7"/>
        <v>2675.8930681927864</v>
      </c>
      <c r="BO36" s="290">
        <f t="shared" si="7"/>
        <v>2562.0641598565662</v>
      </c>
      <c r="BP36" s="290">
        <f>(BP26/1000000)*(BP35/BP33)</f>
        <v>2726.9972616749069</v>
      </c>
      <c r="BQ36" s="290">
        <f>(BQ26/1000000)*(BQ35/BQ33)</f>
        <v>2937.5306801676561</v>
      </c>
    </row>
    <row r="37" spans="1:69" s="2" customFormat="1" x14ac:dyDescent="0.35">
      <c r="A37" s="247"/>
      <c r="C37" s="337"/>
      <c r="D37" s="255"/>
      <c r="E37" s="255"/>
      <c r="F37" s="255"/>
      <c r="G37" s="255"/>
      <c r="H37" s="255"/>
      <c r="I37" s="255"/>
      <c r="J37" s="255"/>
      <c r="K37" s="255"/>
      <c r="L37" s="255"/>
      <c r="M37" s="255"/>
      <c r="N37" s="255"/>
      <c r="O37" s="255"/>
      <c r="P37" s="255"/>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5"/>
      <c r="BD37" s="255"/>
      <c r="BE37" s="255"/>
      <c r="BF37" s="255"/>
      <c r="BG37" s="255"/>
      <c r="BH37" s="255"/>
      <c r="BI37" s="255"/>
      <c r="BJ37" s="255"/>
      <c r="BK37" s="255"/>
      <c r="BL37" s="255"/>
      <c r="BM37" s="255"/>
      <c r="BN37" s="255"/>
      <c r="BO37" s="255"/>
      <c r="BP37" s="255"/>
      <c r="BQ37" s="255"/>
    </row>
    <row r="38" spans="1:69" s="2" customFormat="1" x14ac:dyDescent="0.35">
      <c r="A38" s="2" t="s">
        <v>466</v>
      </c>
      <c r="B38" s="2" t="s">
        <v>468</v>
      </c>
      <c r="C38" s="337" t="s">
        <v>467</v>
      </c>
      <c r="D38" s="338">
        <f t="shared" ref="D38:AI38" si="8">(D26/1000000)/D33</f>
        <v>0.33484148632118405</v>
      </c>
      <c r="E38" s="338">
        <f t="shared" si="8"/>
        <v>0.36478096895851464</v>
      </c>
      <c r="F38" s="338">
        <f t="shared" si="8"/>
        <v>0.36563546054486518</v>
      </c>
      <c r="G38" s="338">
        <f t="shared" si="8"/>
        <v>0.31811516727824962</v>
      </c>
      <c r="H38" s="338">
        <f t="shared" si="8"/>
        <v>0.36366800719861925</v>
      </c>
      <c r="I38" s="338">
        <f t="shared" si="8"/>
        <v>0.39303753626796756</v>
      </c>
      <c r="J38" s="338">
        <f t="shared" si="8"/>
        <v>0.36915570223118338</v>
      </c>
      <c r="K38" s="338">
        <f t="shared" si="8"/>
        <v>0.34803328974351699</v>
      </c>
      <c r="L38" s="338">
        <f t="shared" si="8"/>
        <v>0.31497619329887816</v>
      </c>
      <c r="M38" s="338">
        <f t="shared" si="8"/>
        <v>0.33373329251233685</v>
      </c>
      <c r="N38" s="338">
        <f t="shared" si="8"/>
        <v>0.3424986429496012</v>
      </c>
      <c r="O38" s="338">
        <f t="shared" si="8"/>
        <v>0.32438483251257311</v>
      </c>
      <c r="P38" s="338">
        <f t="shared" si="8"/>
        <v>0.30782486681316679</v>
      </c>
      <c r="Q38" s="338">
        <f t="shared" si="8"/>
        <v>0.32328933868614718</v>
      </c>
      <c r="R38" s="338">
        <f t="shared" si="8"/>
        <v>0.31666121874663256</v>
      </c>
      <c r="S38" s="338">
        <f t="shared" si="8"/>
        <v>0.31432169624586159</v>
      </c>
      <c r="T38" s="338">
        <f t="shared" si="8"/>
        <v>0.31707790368988209</v>
      </c>
      <c r="U38" s="338">
        <f t="shared" si="8"/>
        <v>0.32104035188003027</v>
      </c>
      <c r="V38" s="338">
        <f t="shared" si="8"/>
        <v>0.32303617398883899</v>
      </c>
      <c r="W38" s="338">
        <f t="shared" si="8"/>
        <v>0.33746585502417076</v>
      </c>
      <c r="X38" s="338">
        <f t="shared" si="8"/>
        <v>0.34823984279262377</v>
      </c>
      <c r="Y38" s="338">
        <f t="shared" si="8"/>
        <v>0.34997242120997119</v>
      </c>
      <c r="Z38" s="338">
        <f t="shared" si="8"/>
        <v>0.35452676036368697</v>
      </c>
      <c r="AA38" s="338">
        <f t="shared" si="8"/>
        <v>0.37033343913352446</v>
      </c>
      <c r="AB38" s="338">
        <f t="shared" si="8"/>
        <v>0.35847980043993222</v>
      </c>
      <c r="AC38" s="338">
        <f t="shared" si="8"/>
        <v>0.35362833029761537</v>
      </c>
      <c r="AD38" s="338">
        <f t="shared" si="8"/>
        <v>0.37259966423213325</v>
      </c>
      <c r="AE38" s="338">
        <f t="shared" si="8"/>
        <v>0.40414471521619771</v>
      </c>
      <c r="AF38" s="338">
        <f t="shared" si="8"/>
        <v>0.4412526824638095</v>
      </c>
      <c r="AG38" s="338">
        <f t="shared" si="8"/>
        <v>0.41779822404696737</v>
      </c>
      <c r="AH38" s="338">
        <f t="shared" si="8"/>
        <v>0.42809358103980216</v>
      </c>
      <c r="AI38" s="338">
        <f t="shared" si="8"/>
        <v>0.44317944188387659</v>
      </c>
      <c r="AJ38" s="338">
        <f t="shared" ref="AJ38:BQ38" si="9">(AJ26/1000000)/AJ33</f>
        <v>0.44622893437842337</v>
      </c>
      <c r="AK38" s="338">
        <f t="shared" si="9"/>
        <v>0.45261352011144612</v>
      </c>
      <c r="AL38" s="338">
        <f t="shared" si="9"/>
        <v>0.43243712483223457</v>
      </c>
      <c r="AM38" s="338">
        <f t="shared" si="9"/>
        <v>0.42664466409588969</v>
      </c>
      <c r="AN38" s="338">
        <f t="shared" si="9"/>
        <v>0.38638923013514676</v>
      </c>
      <c r="AO38" s="338">
        <f t="shared" si="9"/>
        <v>0.3721543816982974</v>
      </c>
      <c r="AP38" s="338">
        <f t="shared" si="9"/>
        <v>0.37998910745624154</v>
      </c>
      <c r="AQ38" s="338">
        <f t="shared" si="9"/>
        <v>0.37866259031742866</v>
      </c>
      <c r="AR38" s="338">
        <f t="shared" si="9"/>
        <v>0.36622745718115191</v>
      </c>
      <c r="AS38" s="338">
        <f t="shared" si="9"/>
        <v>0.39547232553924044</v>
      </c>
      <c r="AT38" s="338">
        <f t="shared" si="9"/>
        <v>0.38440571203182716</v>
      </c>
      <c r="AU38" s="338">
        <f t="shared" si="9"/>
        <v>0.38004291727890188</v>
      </c>
      <c r="AV38" s="338">
        <f t="shared" si="9"/>
        <v>0.36720428780610043</v>
      </c>
      <c r="AW38" s="338">
        <f t="shared" si="9"/>
        <v>0.35040197154878311</v>
      </c>
      <c r="AX38" s="338">
        <f t="shared" si="9"/>
        <v>0.35143102770353701</v>
      </c>
      <c r="AY38" s="338">
        <f t="shared" si="9"/>
        <v>0.34990863731581934</v>
      </c>
      <c r="AZ38" s="338">
        <f t="shared" si="9"/>
        <v>0.39839424100364906</v>
      </c>
      <c r="BA38" s="338">
        <f t="shared" si="9"/>
        <v>0.35145343224059</v>
      </c>
      <c r="BB38" s="338">
        <f t="shared" si="9"/>
        <v>0.34436085892739249</v>
      </c>
      <c r="BC38" s="338">
        <f t="shared" si="9"/>
        <v>0.33691363360261761</v>
      </c>
      <c r="BD38" s="338">
        <f t="shared" si="9"/>
        <v>0.32621895590451039</v>
      </c>
      <c r="BE38" s="338">
        <f t="shared" si="9"/>
        <v>0.32493896279742368</v>
      </c>
      <c r="BF38" s="338">
        <f t="shared" si="9"/>
        <v>0.32597819950640922</v>
      </c>
      <c r="BG38" s="338">
        <f t="shared" si="9"/>
        <v>0.2986922619890372</v>
      </c>
      <c r="BH38" s="338">
        <f t="shared" si="9"/>
        <v>0.29726147123903712</v>
      </c>
      <c r="BI38" s="338">
        <f t="shared" si="9"/>
        <v>0.30450735632968834</v>
      </c>
      <c r="BJ38" s="338">
        <f t="shared" si="9"/>
        <v>0.32727896742829093</v>
      </c>
      <c r="BK38" s="338">
        <f t="shared" si="9"/>
        <v>0.34623822998150844</v>
      </c>
      <c r="BL38" s="338">
        <f t="shared" si="9"/>
        <v>0.35681135732733238</v>
      </c>
      <c r="BM38" s="338">
        <f t="shared" si="9"/>
        <v>0.35076450432265416</v>
      </c>
      <c r="BN38" s="338">
        <f t="shared" si="9"/>
        <v>0.33064038592344736</v>
      </c>
      <c r="BO38" s="338">
        <f t="shared" si="9"/>
        <v>0.3001388930830432</v>
      </c>
      <c r="BP38" s="338">
        <f t="shared" si="9"/>
        <v>0.31339890612119686</v>
      </c>
      <c r="BQ38" s="338">
        <f t="shared" si="9"/>
        <v>0.33093113696755821</v>
      </c>
    </row>
    <row r="39" spans="1:69" x14ac:dyDescent="0.35">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row>
    <row r="40" spans="1:69" s="2" customFormat="1" x14ac:dyDescent="0.35">
      <c r="A40" s="2" t="s">
        <v>484</v>
      </c>
      <c r="B40" s="2" t="s">
        <v>485</v>
      </c>
      <c r="C40" s="337" t="s">
        <v>486</v>
      </c>
      <c r="D40" s="255">
        <f t="shared" ref="D40:AI40" si="10">D38*D35</f>
        <v>20.679205132210768</v>
      </c>
      <c r="E40" s="255">
        <f t="shared" si="10"/>
        <v>25.192420766142593</v>
      </c>
      <c r="F40" s="255">
        <f t="shared" si="10"/>
        <v>28.798097438081573</v>
      </c>
      <c r="G40" s="255">
        <f t="shared" si="10"/>
        <v>28.522770172059257</v>
      </c>
      <c r="H40" s="255">
        <f t="shared" si="10"/>
        <v>35.698296662308245</v>
      </c>
      <c r="I40" s="255">
        <f t="shared" si="10"/>
        <v>42.236510818829736</v>
      </c>
      <c r="J40" s="255">
        <f t="shared" si="10"/>
        <v>44.247657279215701</v>
      </c>
      <c r="K40" s="255">
        <f t="shared" si="10"/>
        <v>46.101106902196861</v>
      </c>
      <c r="L40" s="255">
        <f t="shared" si="10"/>
        <v>46.037479118531458</v>
      </c>
      <c r="M40" s="255">
        <f t="shared" si="10"/>
        <v>52.783849521132417</v>
      </c>
      <c r="N40" s="255">
        <f t="shared" si="10"/>
        <v>58.828174438416603</v>
      </c>
      <c r="O40" s="255">
        <f t="shared" si="10"/>
        <v>61.555841212633254</v>
      </c>
      <c r="P40" s="255">
        <f t="shared" si="10"/>
        <v>64.385195163559331</v>
      </c>
      <c r="Q40" s="255">
        <f t="shared" si="10"/>
        <v>71.887190802107952</v>
      </c>
      <c r="R40" s="255">
        <f t="shared" si="10"/>
        <v>75.131602454697997</v>
      </c>
      <c r="S40" s="255">
        <f t="shared" si="10"/>
        <v>79.951424202115419</v>
      </c>
      <c r="T40" s="255">
        <f t="shared" si="10"/>
        <v>85.598913314109879</v>
      </c>
      <c r="U40" s="255">
        <f t="shared" si="10"/>
        <v>92.286829014028442</v>
      </c>
      <c r="V40" s="255">
        <f t="shared" si="10"/>
        <v>98.739809944220298</v>
      </c>
      <c r="W40" s="255">
        <f t="shared" si="10"/>
        <v>110.67590041194183</v>
      </c>
      <c r="X40" s="255">
        <f t="shared" si="10"/>
        <v>124.34313597668944</v>
      </c>
      <c r="Y40" s="255">
        <f t="shared" si="10"/>
        <v>137.24580548411166</v>
      </c>
      <c r="Z40" s="255">
        <f t="shared" si="10"/>
        <v>150.87303700128405</v>
      </c>
      <c r="AA40" s="255">
        <f t="shared" si="10"/>
        <v>171.1539591288099</v>
      </c>
      <c r="AB40" s="255">
        <f t="shared" si="10"/>
        <v>180.55257216240719</v>
      </c>
      <c r="AC40" s="255">
        <f t="shared" si="10"/>
        <v>192.3602938159656</v>
      </c>
      <c r="AD40" s="255">
        <f t="shared" si="10"/>
        <v>217.69574074296506</v>
      </c>
      <c r="AE40" s="255">
        <f t="shared" si="10"/>
        <v>255.48484004450162</v>
      </c>
      <c r="AF40" s="255">
        <f t="shared" si="10"/>
        <v>305.85949207229743</v>
      </c>
      <c r="AG40" s="255">
        <f t="shared" si="10"/>
        <v>319.47433109182992</v>
      </c>
      <c r="AH40" s="255">
        <f t="shared" si="10"/>
        <v>356.5855886169328</v>
      </c>
      <c r="AI40" s="255">
        <f t="shared" si="10"/>
        <v>402.92180749652164</v>
      </c>
      <c r="AJ40" s="255">
        <f t="shared" ref="AJ40:BQ40" si="11">AJ38*AJ35</f>
        <v>448.62151298926955</v>
      </c>
      <c r="AK40" s="255">
        <f t="shared" si="11"/>
        <v>512.02437360885483</v>
      </c>
      <c r="AL40" s="255">
        <f t="shared" si="11"/>
        <v>555.66517498304188</v>
      </c>
      <c r="AM40" s="255">
        <f t="shared" si="11"/>
        <v>618.23447373871477</v>
      </c>
      <c r="AN40" s="255">
        <f t="shared" si="11"/>
        <v>632.46576061769952</v>
      </c>
      <c r="AO40" s="255">
        <f t="shared" si="11"/>
        <v>673.28748132214673</v>
      </c>
      <c r="AP40" s="255">
        <f t="shared" si="11"/>
        <v>745.48610438022342</v>
      </c>
      <c r="AQ40" s="255">
        <f t="shared" si="11"/>
        <v>816.60926744809422</v>
      </c>
      <c r="AR40" s="255">
        <f t="shared" si="11"/>
        <v>863.73345827911339</v>
      </c>
      <c r="AS40" s="255">
        <f t="shared" si="11"/>
        <v>1001.0835274673242</v>
      </c>
      <c r="AT40" s="255">
        <f t="shared" si="11"/>
        <v>1033.0372161461623</v>
      </c>
      <c r="AU40" s="255">
        <f t="shared" si="11"/>
        <v>1085.4260484451499</v>
      </c>
      <c r="AV40" s="255">
        <f t="shared" si="11"/>
        <v>1117.865976544959</v>
      </c>
      <c r="AW40" s="255">
        <f t="shared" si="11"/>
        <v>1136.6205207754281</v>
      </c>
      <c r="AX40" s="255">
        <f t="shared" si="11"/>
        <v>1197.2066482062226</v>
      </c>
      <c r="AY40" s="255">
        <f t="shared" si="11"/>
        <v>1248.1807153567672</v>
      </c>
      <c r="AZ40" s="255">
        <f t="shared" si="11"/>
        <v>1497.3096862916916</v>
      </c>
      <c r="BA40" s="255">
        <f t="shared" si="11"/>
        <v>1398.7712255896909</v>
      </c>
      <c r="BB40" s="255">
        <f t="shared" si="11"/>
        <v>1462.1430433999501</v>
      </c>
      <c r="BC40" s="255">
        <f t="shared" si="11"/>
        <v>1528.9685730887372</v>
      </c>
      <c r="BD40" s="255">
        <f t="shared" si="11"/>
        <v>1584.0415359713077</v>
      </c>
      <c r="BE40" s="255">
        <f t="shared" si="11"/>
        <v>1689.7026792623367</v>
      </c>
      <c r="BF40" s="255">
        <f t="shared" si="11"/>
        <v>1816.0446863635439</v>
      </c>
      <c r="BG40" s="255">
        <f t="shared" si="11"/>
        <v>1786.6163472184146</v>
      </c>
      <c r="BH40" s="255">
        <f t="shared" si="11"/>
        <v>1874.0735822511861</v>
      </c>
      <c r="BI40" s="255">
        <f t="shared" si="11"/>
        <v>1978.6162598011003</v>
      </c>
      <c r="BJ40" s="255">
        <f t="shared" si="11"/>
        <v>2187.029189209532</v>
      </c>
      <c r="BK40" s="255">
        <f t="shared" si="11"/>
        <v>2394.0856296596257</v>
      </c>
      <c r="BL40" s="255">
        <f t="shared" si="11"/>
        <v>2578.0911416919544</v>
      </c>
      <c r="BM40" s="255">
        <f t="shared" si="11"/>
        <v>2676.2145302377912</v>
      </c>
      <c r="BN40" s="255">
        <f t="shared" si="11"/>
        <v>2675.8930681927868</v>
      </c>
      <c r="BO40" s="255">
        <f t="shared" si="11"/>
        <v>2562.0641598565667</v>
      </c>
      <c r="BP40" s="255">
        <f t="shared" si="11"/>
        <v>2726.9972616749073</v>
      </c>
      <c r="BQ40" s="255">
        <f t="shared" si="11"/>
        <v>2937.5306801676561</v>
      </c>
    </row>
    <row r="41" spans="1:69" s="2" customFormat="1" ht="29" x14ac:dyDescent="0.35">
      <c r="A41" s="2" t="s">
        <v>507</v>
      </c>
      <c r="B41" t="s">
        <v>483</v>
      </c>
      <c r="C41" s="2" t="s">
        <v>326</v>
      </c>
      <c r="D41" s="226">
        <f>'Appndx 6.8.II.5'!Y17</f>
        <v>152.54296239785796</v>
      </c>
      <c r="E41" s="226">
        <f>'Appndx 6.8.II.5'!Z17</f>
        <v>170.58283370974769</v>
      </c>
      <c r="F41" s="226">
        <f>'Appndx 6.8.II.5'!AA17</f>
        <v>191.68359280651978</v>
      </c>
      <c r="G41" s="226">
        <f>'Appndx 6.8.II.5'!AB17</f>
        <v>200.7047696097666</v>
      </c>
      <c r="H41" s="226">
        <f>'Appndx 6.8.II.5'!AC17</f>
        <v>230.20600652901382</v>
      </c>
      <c r="I41" s="226">
        <f>'Appndx 6.8.II.5'!AD17</f>
        <v>255.84979414602253</v>
      </c>
      <c r="J41" s="226">
        <f>'Appndx 6.8.II.5'!AE17</f>
        <v>276.73284181520842</v>
      </c>
      <c r="K41" s="226">
        <f>'Appndx 6.8.II.5'!AF17</f>
        <v>296.53555848647704</v>
      </c>
      <c r="L41" s="226">
        <f>'Appndx 6.8.II.5'!AG17</f>
        <v>311.23510269058767</v>
      </c>
      <c r="M41" s="226">
        <f>'Appndx 6.8.II.5'!AH17</f>
        <v>347.98339125729046</v>
      </c>
      <c r="N41" s="226">
        <f>'Appndx 6.8.II.5'!AI17</f>
        <v>391.84737262800849</v>
      </c>
      <c r="O41" s="226">
        <f>'Appndx 6.8.II.5'!AJ17</f>
        <v>426.58610936054731</v>
      </c>
      <c r="P41" s="226">
        <f>'Appndx 6.8.II.5'!AK17</f>
        <v>442.59008309327965</v>
      </c>
      <c r="Q41" s="226">
        <f>'Appndx 6.8.II.5'!AL17</f>
        <v>469.2512596112735</v>
      </c>
      <c r="R41" s="226">
        <f>'Appndx 6.8.II.5'!AM17</f>
        <v>484.93225288290358</v>
      </c>
      <c r="S41" s="226">
        <f>'Appndx 6.8.II.5'!AN17</f>
        <v>503.27763471608745</v>
      </c>
      <c r="T41" s="226">
        <f>'Appndx 6.8.II.5'!AO17</f>
        <v>525.44923899800187</v>
      </c>
      <c r="U41" s="226">
        <f>'Appndx 6.8.II.5'!AP17</f>
        <v>548.43172015159848</v>
      </c>
      <c r="V41" s="226">
        <f>'Appndx 6.8.II.5'!AQ17</f>
        <v>584.41674060841797</v>
      </c>
      <c r="W41" s="226">
        <f>'Appndx 6.8.II.5'!AR17</f>
        <v>629.51384997359241</v>
      </c>
      <c r="X41" s="226">
        <f>'Appndx 6.8.II.5'!AS17</f>
        <v>689.33894427325106</v>
      </c>
      <c r="Y41" s="226">
        <f>'Appndx 6.8.II.5'!AT17</f>
        <v>753.33113522681447</v>
      </c>
      <c r="Z41" s="226">
        <f>'Appndx 6.8.II.5'!AU17</f>
        <v>835.85126617602316</v>
      </c>
      <c r="AA41" s="226">
        <f>'Appndx 6.8.II.5'!AV17</f>
        <v>928.3262407092185</v>
      </c>
      <c r="AB41" s="226">
        <f>'Appndx 6.8.II.5'!AW17</f>
        <v>1032.4109896184032</v>
      </c>
      <c r="AC41" s="226">
        <f>'Appndx 6.8.II.5'!AX17</f>
        <v>1145.8564474489679</v>
      </c>
      <c r="AD41" s="226">
        <f>'Appndx 6.8.II.5'!AY17</f>
        <v>1256.3166880969834</v>
      </c>
      <c r="AE41" s="226">
        <f>'Appndx 6.8.II.5'!AZ17</f>
        <v>1429.5600183096158</v>
      </c>
      <c r="AF41" s="226">
        <f>'Appndx 6.8.II.5'!BA17</f>
        <v>1763.5896893717152</v>
      </c>
      <c r="AG41" s="226">
        <f>'Appndx 6.8.II.5'!BB17</f>
        <v>1983.0408217262741</v>
      </c>
      <c r="AH41" s="226">
        <f>'Appndx 6.8.II.5'!BC17</f>
        <v>2204.9619793215516</v>
      </c>
      <c r="AI41" s="226">
        <f>'Appndx 6.8.II.5'!BD17</f>
        <v>2477.8222116408642</v>
      </c>
      <c r="AJ41" s="226">
        <f>'Appndx 6.8.II.5'!BE17</f>
        <v>2835.8341845926311</v>
      </c>
      <c r="AK41" s="226">
        <f>'Appndx 6.8.II.5'!BF17</f>
        <v>3283.9472079486031</v>
      </c>
      <c r="AL41" s="226">
        <f>'Appndx 6.8.II.5'!BG17</f>
        <v>3800.0711216002469</v>
      </c>
      <c r="AM41" s="226">
        <f>'Appndx 6.8.II.5'!BH17</f>
        <v>4326.9839530503541</v>
      </c>
      <c r="AN41" s="226">
        <f>'Appndx 6.8.II.5'!BI17</f>
        <v>4638.9577760993016</v>
      </c>
      <c r="AO41" s="226">
        <f>'Appndx 6.8.II.5'!BJ17</f>
        <v>4822.6751063715528</v>
      </c>
      <c r="AP41" s="226">
        <f>'Appndx 6.8.II.5'!BK17</f>
        <v>5136.9718432926129</v>
      </c>
      <c r="AQ41" s="226">
        <f>'Appndx 6.8.II.5'!BL17</f>
        <v>5450.7339934434549</v>
      </c>
      <c r="AR41" s="226">
        <f>'Appndx 6.8.II.5'!BM17</f>
        <v>5739.714132823804</v>
      </c>
      <c r="AS41" s="226">
        <f>'Appndx 6.8.II.5'!BN17</f>
        <v>6092.1964278163705</v>
      </c>
      <c r="AT41" s="226">
        <f>'Appndx 6.8.II.5'!BO17</f>
        <v>6531.1328708283454</v>
      </c>
      <c r="AU41" s="226">
        <f>'Appndx 6.8.II.5'!BP17</f>
        <v>6967.2695129476142</v>
      </c>
      <c r="AV41" s="226">
        <f>'Appndx 6.8.II.5'!BQ17</f>
        <v>7416.8195516211827</v>
      </c>
      <c r="AW41" s="226">
        <f>'Appndx 6.8.II.5'!BR17</f>
        <v>7670.8141193721458</v>
      </c>
      <c r="AX41" s="226">
        <f>'Appndx 6.8.II.5'!BS17</f>
        <v>8013.0348011428432</v>
      </c>
      <c r="AY41" s="226">
        <f>'Appndx 6.8.II.5'!BT17</f>
        <v>8456.6793089390594</v>
      </c>
      <c r="AZ41" s="226">
        <f>'Appndx 6.8.II.5'!BU17</f>
        <v>8977.8033935969743</v>
      </c>
      <c r="BA41" s="226">
        <f>'Appndx 6.8.II.5'!BV17</f>
        <v>9530.4326970320108</v>
      </c>
      <c r="BB41" s="226">
        <f>'Appndx 6.8.II.5'!BW17</f>
        <v>10053.447802744928</v>
      </c>
      <c r="BC41" s="226">
        <f>'Appndx 6.8.II.5'!BX17</f>
        <v>10645.467618064265</v>
      </c>
      <c r="BD41" s="226">
        <f>'Appndx 6.8.II.5'!BY17</f>
        <v>11273.091065707426</v>
      </c>
      <c r="BE41" s="226">
        <f>'Appndx 6.8.II.5'!BZ17</f>
        <v>11967.667396537861</v>
      </c>
      <c r="BF41" s="226">
        <f>'Appndx 6.8.II.5'!CA17</f>
        <v>12840.566656941339</v>
      </c>
      <c r="BG41" s="226">
        <f>'Appndx 6.8.II.5'!CB17</f>
        <v>13620.733166343192</v>
      </c>
      <c r="BH41" s="226">
        <f>'Appndx 6.8.II.5'!CC17</f>
        <v>14281.233872520141</v>
      </c>
      <c r="BI41" s="226">
        <f>'Appndx 6.8.II.5'!CD17</f>
        <v>14892.479153434093</v>
      </c>
      <c r="BJ41" s="226">
        <f>'Appndx 6.8.II.5'!CE17</f>
        <v>16199.660108377739</v>
      </c>
      <c r="BK41" s="226">
        <f>'Appndx 6.8.II.5'!CF17</f>
        <v>17723.462355358093</v>
      </c>
      <c r="BL41" s="226">
        <f>'Appndx 6.8.II.5'!CG17</f>
        <v>19265.16196987102</v>
      </c>
      <c r="BM41" s="226">
        <f>'Appndx 6.8.II.5'!CH17</f>
        <v>20353.558169953449</v>
      </c>
      <c r="BN41" s="226">
        <f>'Appndx 6.8.II.5'!CI17</f>
        <v>21776.885775207476</v>
      </c>
      <c r="BO41" s="226">
        <f>'Appndx 6.8.II.5'!CJ17</f>
        <v>21294.719040537588</v>
      </c>
      <c r="BP41" s="226">
        <f>'Appndx 6.8.II.5'!CK17</f>
        <v>21982.081961583935</v>
      </c>
      <c r="BQ41" s="226">
        <f>'Appndx 6.8.II.5'!CL17</f>
        <v>23023.968602353023</v>
      </c>
    </row>
    <row r="42" spans="1:69" s="2" customFormat="1" ht="29" x14ac:dyDescent="0.35">
      <c r="A42" s="2" t="s">
        <v>506</v>
      </c>
      <c r="B42" s="262" t="s">
        <v>495</v>
      </c>
      <c r="C42" s="262" t="s">
        <v>496</v>
      </c>
      <c r="D42" s="255">
        <f>D41+D40</f>
        <v>173.22216753006873</v>
      </c>
      <c r="E42" s="255">
        <f>E41+E40</f>
        <v>195.77525447589028</v>
      </c>
      <c r="F42" s="255">
        <f>F41+F40</f>
        <v>220.48169024460137</v>
      </c>
      <c r="G42" s="255">
        <f t="shared" ref="G42:BQ42" si="12">G41+G40</f>
        <v>229.22753978182587</v>
      </c>
      <c r="H42" s="255">
        <f t="shared" si="12"/>
        <v>265.90430319132207</v>
      </c>
      <c r="I42" s="255">
        <f t="shared" si="12"/>
        <v>298.08630496485227</v>
      </c>
      <c r="J42" s="255">
        <f t="shared" si="12"/>
        <v>320.98049909442409</v>
      </c>
      <c r="K42" s="255">
        <f t="shared" si="12"/>
        <v>342.63666538867392</v>
      </c>
      <c r="L42" s="255">
        <f t="shared" si="12"/>
        <v>357.27258180911912</v>
      </c>
      <c r="M42" s="255">
        <f t="shared" si="12"/>
        <v>400.76724077842289</v>
      </c>
      <c r="N42" s="255">
        <f t="shared" si="12"/>
        <v>450.67554706642511</v>
      </c>
      <c r="O42" s="255">
        <f t="shared" si="12"/>
        <v>488.14195057318057</v>
      </c>
      <c r="P42" s="255">
        <f t="shared" si="12"/>
        <v>506.97527825683898</v>
      </c>
      <c r="Q42" s="255">
        <f t="shared" si="12"/>
        <v>541.13845041338141</v>
      </c>
      <c r="R42" s="255">
        <f t="shared" si="12"/>
        <v>560.06385533760158</v>
      </c>
      <c r="S42" s="255">
        <f t="shared" si="12"/>
        <v>583.2290589182029</v>
      </c>
      <c r="T42" s="255">
        <f t="shared" si="12"/>
        <v>611.04815231211171</v>
      </c>
      <c r="U42" s="255">
        <f t="shared" si="12"/>
        <v>640.71854916562688</v>
      </c>
      <c r="V42" s="255">
        <f t="shared" si="12"/>
        <v>683.15655055263824</v>
      </c>
      <c r="W42" s="255">
        <f t="shared" si="12"/>
        <v>740.18975038553424</v>
      </c>
      <c r="X42" s="255">
        <f t="shared" si="12"/>
        <v>813.68208024994055</v>
      </c>
      <c r="Y42" s="255">
        <f t="shared" si="12"/>
        <v>890.57694071092612</v>
      </c>
      <c r="Z42" s="255">
        <f t="shared" si="12"/>
        <v>986.72430317730721</v>
      </c>
      <c r="AA42" s="255">
        <f t="shared" si="12"/>
        <v>1099.4801998380285</v>
      </c>
      <c r="AB42" s="255">
        <f t="shared" si="12"/>
        <v>1212.9635617808103</v>
      </c>
      <c r="AC42" s="255">
        <f t="shared" si="12"/>
        <v>1338.2167412649335</v>
      </c>
      <c r="AD42" s="255">
        <f t="shared" si="12"/>
        <v>1474.0124288399484</v>
      </c>
      <c r="AE42" s="255">
        <f t="shared" si="12"/>
        <v>1685.0448583541174</v>
      </c>
      <c r="AF42" s="255">
        <f t="shared" si="12"/>
        <v>2069.4491814440125</v>
      </c>
      <c r="AG42" s="255">
        <f t="shared" si="12"/>
        <v>2302.5151528181041</v>
      </c>
      <c r="AH42" s="255">
        <f t="shared" si="12"/>
        <v>2561.5475679384845</v>
      </c>
      <c r="AI42" s="255">
        <f t="shared" si="12"/>
        <v>2880.7440191373857</v>
      </c>
      <c r="AJ42" s="255">
        <f t="shared" si="12"/>
        <v>3284.4556975819005</v>
      </c>
      <c r="AK42" s="255">
        <f t="shared" si="12"/>
        <v>3795.9715815574582</v>
      </c>
      <c r="AL42" s="255">
        <f t="shared" si="12"/>
        <v>4355.736296583289</v>
      </c>
      <c r="AM42" s="255">
        <f t="shared" si="12"/>
        <v>4945.2184267890689</v>
      </c>
      <c r="AN42" s="255">
        <f t="shared" si="12"/>
        <v>5271.4235367170013</v>
      </c>
      <c r="AO42" s="255">
        <f t="shared" si="12"/>
        <v>5495.9625876936998</v>
      </c>
      <c r="AP42" s="255">
        <f t="shared" si="12"/>
        <v>5882.4579476728359</v>
      </c>
      <c r="AQ42" s="255">
        <f t="shared" si="12"/>
        <v>6267.3432608915491</v>
      </c>
      <c r="AR42" s="255">
        <f t="shared" si="12"/>
        <v>6603.4475911029176</v>
      </c>
      <c r="AS42" s="255">
        <f t="shared" si="12"/>
        <v>7093.279955283695</v>
      </c>
      <c r="AT42" s="255">
        <f t="shared" si="12"/>
        <v>7564.1700869745073</v>
      </c>
      <c r="AU42" s="255">
        <f t="shared" si="12"/>
        <v>8052.6955613927639</v>
      </c>
      <c r="AV42" s="255">
        <f t="shared" si="12"/>
        <v>8534.685528166141</v>
      </c>
      <c r="AW42" s="255">
        <f t="shared" si="12"/>
        <v>8807.4346401475741</v>
      </c>
      <c r="AX42" s="255">
        <f t="shared" si="12"/>
        <v>9210.2414493490651</v>
      </c>
      <c r="AY42" s="255">
        <f t="shared" si="12"/>
        <v>9704.8600242958273</v>
      </c>
      <c r="AZ42" s="255">
        <f t="shared" si="12"/>
        <v>10475.113079888666</v>
      </c>
      <c r="BA42" s="255">
        <f t="shared" si="12"/>
        <v>10929.203922621702</v>
      </c>
      <c r="BB42" s="255">
        <f t="shared" si="12"/>
        <v>11515.590846144878</v>
      </c>
      <c r="BC42" s="255">
        <f t="shared" si="12"/>
        <v>12174.436191153003</v>
      </c>
      <c r="BD42" s="255">
        <f t="shared" si="12"/>
        <v>12857.132601678733</v>
      </c>
      <c r="BE42" s="255">
        <f t="shared" si="12"/>
        <v>13657.370075800198</v>
      </c>
      <c r="BF42" s="255">
        <f t="shared" si="12"/>
        <v>14656.611343304883</v>
      </c>
      <c r="BG42" s="255">
        <f t="shared" si="12"/>
        <v>15407.349513561607</v>
      </c>
      <c r="BH42" s="255">
        <f t="shared" si="12"/>
        <v>16155.307454771326</v>
      </c>
      <c r="BI42" s="255">
        <f t="shared" si="12"/>
        <v>16871.095413235194</v>
      </c>
      <c r="BJ42" s="255">
        <f t="shared" si="12"/>
        <v>18386.689297587269</v>
      </c>
      <c r="BK42" s="255">
        <f t="shared" si="12"/>
        <v>20117.547985017718</v>
      </c>
      <c r="BL42" s="255">
        <f t="shared" si="12"/>
        <v>21843.253111562975</v>
      </c>
      <c r="BM42" s="255">
        <f t="shared" si="12"/>
        <v>23029.772700191239</v>
      </c>
      <c r="BN42" s="255">
        <f t="shared" si="12"/>
        <v>24452.778843400265</v>
      </c>
      <c r="BO42" s="255">
        <f t="shared" si="12"/>
        <v>23856.783200394155</v>
      </c>
      <c r="BP42" s="255">
        <f t="shared" si="12"/>
        <v>24709.079223258843</v>
      </c>
      <c r="BQ42" s="255">
        <f t="shared" si="12"/>
        <v>25961.499282520679</v>
      </c>
    </row>
    <row r="44" spans="1:69" x14ac:dyDescent="0.35">
      <c r="C44" s="263"/>
    </row>
    <row r="45" spans="1:69" x14ac:dyDescent="0.35">
      <c r="C45" s="263"/>
    </row>
    <row r="46" spans="1:69" x14ac:dyDescent="0.35">
      <c r="C46" s="263"/>
    </row>
    <row r="47" spans="1:69" x14ac:dyDescent="0.35">
      <c r="C47" s="263"/>
    </row>
    <row r="48" spans="1:69" x14ac:dyDescent="0.35">
      <c r="C48" s="263"/>
    </row>
    <row r="49" spans="3:3" x14ac:dyDescent="0.35">
      <c r="C49" s="263"/>
    </row>
    <row r="50" spans="3:3" x14ac:dyDescent="0.35">
      <c r="C50" s="263"/>
    </row>
    <row r="51" spans="3:3" x14ac:dyDescent="0.35">
      <c r="C51" s="263"/>
    </row>
    <row r="52" spans="3:3" x14ac:dyDescent="0.35">
      <c r="C52" s="263"/>
    </row>
    <row r="53" spans="3:3" x14ac:dyDescent="0.35">
      <c r="C53" s="263"/>
    </row>
    <row r="54" spans="3:3" x14ac:dyDescent="0.35">
      <c r="C54" s="263"/>
    </row>
    <row r="55" spans="3:3" x14ac:dyDescent="0.35">
      <c r="C55" s="263"/>
    </row>
    <row r="56" spans="3:3" x14ac:dyDescent="0.35">
      <c r="C56" s="263"/>
    </row>
    <row r="57" spans="3:3" x14ac:dyDescent="0.35">
      <c r="C57" s="263"/>
    </row>
    <row r="58" spans="3:3" x14ac:dyDescent="0.35">
      <c r="C58" s="263"/>
    </row>
    <row r="59" spans="3:3" x14ac:dyDescent="0.35">
      <c r="C59" s="263"/>
    </row>
    <row r="60" spans="3:3" x14ac:dyDescent="0.35">
      <c r="C60" s="263"/>
    </row>
    <row r="61" spans="3:3" x14ac:dyDescent="0.35">
      <c r="C61" s="263"/>
    </row>
    <row r="62" spans="3:3" x14ac:dyDescent="0.35">
      <c r="C62" s="263"/>
    </row>
    <row r="63" spans="3:3" x14ac:dyDescent="0.35">
      <c r="C63" s="263"/>
    </row>
    <row r="64" spans="3:3" x14ac:dyDescent="0.35">
      <c r="C64" s="263"/>
    </row>
    <row r="65" spans="3:3" x14ac:dyDescent="0.35">
      <c r="C65" s="263"/>
    </row>
    <row r="66" spans="3:3" x14ac:dyDescent="0.35">
      <c r="C66" s="263"/>
    </row>
    <row r="67" spans="3:3" x14ac:dyDescent="0.35">
      <c r="C67" s="263"/>
    </row>
    <row r="68" spans="3:3" x14ac:dyDescent="0.35">
      <c r="C68" s="263"/>
    </row>
    <row r="69" spans="3:3" x14ac:dyDescent="0.35">
      <c r="C69" s="263"/>
    </row>
    <row r="70" spans="3:3" x14ac:dyDescent="0.35">
      <c r="C70" s="263"/>
    </row>
    <row r="71" spans="3:3" x14ac:dyDescent="0.35">
      <c r="C71" s="263"/>
    </row>
    <row r="72" spans="3:3" x14ac:dyDescent="0.35">
      <c r="C72" s="263"/>
    </row>
    <row r="73" spans="3:3" x14ac:dyDescent="0.35">
      <c r="C73" s="263"/>
    </row>
    <row r="74" spans="3:3" x14ac:dyDescent="0.35">
      <c r="C74" s="263"/>
    </row>
    <row r="75" spans="3:3" x14ac:dyDescent="0.35">
      <c r="C75" s="263"/>
    </row>
    <row r="76" spans="3:3" x14ac:dyDescent="0.35">
      <c r="C76" s="263"/>
    </row>
    <row r="77" spans="3:3" x14ac:dyDescent="0.35">
      <c r="C77" s="263"/>
    </row>
    <row r="78" spans="3:3" x14ac:dyDescent="0.35">
      <c r="C78" s="263"/>
    </row>
    <row r="79" spans="3:3" x14ac:dyDescent="0.35">
      <c r="C79" s="263"/>
    </row>
    <row r="80" spans="3:3" x14ac:dyDescent="0.35">
      <c r="C80" s="263"/>
    </row>
    <row r="81" spans="3:3" x14ac:dyDescent="0.35">
      <c r="C81" s="263"/>
    </row>
    <row r="82" spans="3:3" x14ac:dyDescent="0.35">
      <c r="C82" s="263"/>
    </row>
    <row r="83" spans="3:3" x14ac:dyDescent="0.35">
      <c r="C83" s="263"/>
    </row>
    <row r="84" spans="3:3" x14ac:dyDescent="0.35">
      <c r="C84" s="263"/>
    </row>
  </sheetData>
  <pageMargins left="0.7" right="0.7" top="0.75" bottom="0.75" header="0.3" footer="0.3"/>
  <drawing r:id="rId1"/>
  <legacyDrawing r:id="rId2"/>
  <oleObjects>
    <mc:AlternateContent xmlns:mc="http://schemas.openxmlformats.org/markup-compatibility/2006">
      <mc:Choice Requires="x14">
        <oleObject progId="Word.Document.12" shapeId="31745" r:id="rId3">
          <objectPr defaultSize="0" r:id="rId4">
            <anchor moveWithCells="1">
              <from>
                <xdr:col>0</xdr:col>
                <xdr:colOff>101600</xdr:colOff>
                <xdr:row>0</xdr:row>
                <xdr:rowOff>127000</xdr:rowOff>
              </from>
              <to>
                <xdr:col>1</xdr:col>
                <xdr:colOff>3657600</xdr:colOff>
                <xdr:row>21</xdr:row>
                <xdr:rowOff>107950</xdr:rowOff>
              </to>
            </anchor>
          </objectPr>
        </oleObject>
      </mc:Choice>
      <mc:Fallback>
        <oleObject progId="Word.Document.12" shapeId="31745" r:id="rId3"/>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CN113"/>
  <sheetViews>
    <sheetView zoomScale="120" zoomScaleNormal="120" workbookViewId="0">
      <pane xSplit="4" ySplit="1" topLeftCell="F110" activePane="bottomRight" state="frozen"/>
      <selection pane="topRight" activeCell="E1" sqref="E1"/>
      <selection pane="bottomLeft" activeCell="A2" sqref="A2"/>
      <selection pane="bottomRight" activeCell="A74" sqref="A74"/>
    </sheetView>
  </sheetViews>
  <sheetFormatPr defaultColWidth="8.81640625" defaultRowHeight="14.5" x14ac:dyDescent="0.35"/>
  <cols>
    <col min="1" max="1" width="8.81640625" customWidth="1"/>
    <col min="2" max="2" width="34.81640625" style="113" customWidth="1"/>
    <col min="3" max="3" width="31.453125" style="113" customWidth="1"/>
    <col min="4" max="4" width="18.6328125" style="113" customWidth="1"/>
    <col min="5" max="5" width="9.6328125" style="113" customWidth="1"/>
    <col min="6" max="6" width="12" style="113" customWidth="1"/>
    <col min="7" max="7" width="8.453125" style="113" customWidth="1"/>
    <col min="8" max="55" width="7" style="113" customWidth="1"/>
    <col min="56" max="71" width="7.453125" style="113" customWidth="1"/>
  </cols>
  <sheetData>
    <row r="1" spans="2:92" x14ac:dyDescent="0.35">
      <c r="E1" s="59">
        <v>1946</v>
      </c>
      <c r="F1" s="59">
        <v>1946</v>
      </c>
      <c r="G1" s="59">
        <v>1947</v>
      </c>
      <c r="H1" s="59">
        <v>1948</v>
      </c>
      <c r="I1" s="59">
        <v>1949</v>
      </c>
      <c r="J1" s="59">
        <v>1950</v>
      </c>
      <c r="K1" s="59">
        <v>1951</v>
      </c>
      <c r="L1" s="59">
        <v>1952</v>
      </c>
      <c r="M1" s="59">
        <v>1953</v>
      </c>
      <c r="N1" s="59">
        <v>1954</v>
      </c>
      <c r="O1" s="59">
        <v>1955</v>
      </c>
      <c r="P1" s="59">
        <v>1956</v>
      </c>
      <c r="Q1" s="59">
        <v>1957</v>
      </c>
      <c r="R1" s="59">
        <v>1958</v>
      </c>
      <c r="S1" s="59">
        <v>1959</v>
      </c>
      <c r="T1" s="59">
        <v>1960</v>
      </c>
      <c r="U1" s="59">
        <v>1961</v>
      </c>
      <c r="V1" s="59">
        <v>1962</v>
      </c>
      <c r="W1" s="59">
        <v>1963</v>
      </c>
      <c r="X1" s="59">
        <v>1964</v>
      </c>
      <c r="Y1" s="59">
        <v>1965</v>
      </c>
      <c r="Z1" s="59">
        <v>1966</v>
      </c>
      <c r="AA1" s="59">
        <v>1967</v>
      </c>
      <c r="AB1" s="59">
        <v>1968</v>
      </c>
      <c r="AC1" s="59">
        <v>1969</v>
      </c>
      <c r="AD1" s="59">
        <v>1970</v>
      </c>
      <c r="AE1" s="59">
        <v>1971</v>
      </c>
      <c r="AF1" s="59">
        <v>1972</v>
      </c>
      <c r="AG1" s="59">
        <v>1973</v>
      </c>
      <c r="AH1" s="59">
        <v>1974</v>
      </c>
      <c r="AI1" s="59">
        <v>1975</v>
      </c>
      <c r="AJ1" s="59">
        <v>1976</v>
      </c>
      <c r="AK1" s="59">
        <v>1977</v>
      </c>
      <c r="AL1" s="59">
        <v>1978</v>
      </c>
      <c r="AM1" s="59">
        <v>1979</v>
      </c>
      <c r="AN1" s="59">
        <v>1980</v>
      </c>
      <c r="AO1" s="59">
        <v>1981</v>
      </c>
      <c r="AP1" s="59">
        <v>1982</v>
      </c>
      <c r="AQ1" s="59">
        <v>1983</v>
      </c>
      <c r="AR1" s="59">
        <v>1984</v>
      </c>
      <c r="AS1" s="59">
        <v>1985</v>
      </c>
      <c r="AT1" s="59">
        <v>1986</v>
      </c>
      <c r="AU1" s="59">
        <v>1987</v>
      </c>
      <c r="AV1" s="59">
        <v>1988</v>
      </c>
      <c r="AW1" s="59">
        <v>1989</v>
      </c>
      <c r="AX1" s="59">
        <v>1990</v>
      </c>
      <c r="AY1" s="59">
        <v>1991</v>
      </c>
      <c r="AZ1" s="59">
        <v>1992</v>
      </c>
      <c r="BA1" s="59">
        <v>1993</v>
      </c>
      <c r="BB1" s="59">
        <v>1994</v>
      </c>
      <c r="BC1" s="59">
        <v>1995</v>
      </c>
      <c r="BD1" s="59">
        <v>1996</v>
      </c>
      <c r="BE1" s="59">
        <v>1997</v>
      </c>
      <c r="BF1" s="59">
        <v>1998</v>
      </c>
      <c r="BG1" s="59">
        <v>1999</v>
      </c>
      <c r="BH1" s="59">
        <v>2000</v>
      </c>
      <c r="BI1" s="59">
        <v>2001</v>
      </c>
      <c r="BJ1" s="59">
        <v>2002</v>
      </c>
      <c r="BK1" s="59">
        <v>2003</v>
      </c>
      <c r="BL1" s="59">
        <v>2004</v>
      </c>
      <c r="BM1" s="59">
        <v>2005</v>
      </c>
      <c r="BN1" s="59">
        <v>2006</v>
      </c>
      <c r="BO1" s="59">
        <v>2007</v>
      </c>
      <c r="BP1" s="59">
        <v>2008</v>
      </c>
      <c r="BQ1" s="59">
        <v>2009</v>
      </c>
      <c r="BR1" s="59">
        <v>2010</v>
      </c>
      <c r="BS1" s="59">
        <v>2011</v>
      </c>
    </row>
    <row r="12" spans="2:92" x14ac:dyDescent="0.35">
      <c r="B12" s="112"/>
      <c r="E12" s="112"/>
      <c r="F12" s="112"/>
      <c r="BT12" s="54"/>
      <c r="BU12" s="54"/>
      <c r="BV12" s="54"/>
      <c r="BW12" s="54"/>
      <c r="BX12" s="54"/>
      <c r="BY12" s="54"/>
      <c r="BZ12" s="54"/>
      <c r="CA12" s="54"/>
      <c r="CB12" s="54"/>
      <c r="CC12" s="54"/>
      <c r="CD12" s="54"/>
      <c r="CE12" s="54"/>
      <c r="CF12" s="54"/>
      <c r="CG12" s="54"/>
      <c r="CH12" s="54"/>
      <c r="CI12" s="54"/>
      <c r="CJ12" s="54"/>
      <c r="CK12" s="54"/>
      <c r="CL12" s="54"/>
      <c r="CM12" s="54"/>
      <c r="CN12" s="54"/>
    </row>
    <row r="13" spans="2:92" x14ac:dyDescent="0.35">
      <c r="B13" s="112"/>
      <c r="E13" s="112"/>
      <c r="F13" s="112"/>
      <c r="BT13" s="54"/>
      <c r="BU13" s="54"/>
      <c r="BV13" s="54"/>
      <c r="BW13" s="54"/>
      <c r="BX13" s="54"/>
      <c r="BY13" s="54"/>
      <c r="BZ13" s="54"/>
      <c r="CA13" s="54"/>
      <c r="CB13" s="54"/>
      <c r="CC13" s="54"/>
      <c r="CD13" s="54"/>
      <c r="CE13" s="54"/>
      <c r="CF13" s="54"/>
      <c r="CG13" s="54"/>
      <c r="CH13" s="54"/>
      <c r="CI13" s="54"/>
      <c r="CJ13" s="54"/>
      <c r="CK13" s="54"/>
      <c r="CL13" s="54"/>
      <c r="CM13" s="54"/>
      <c r="CN13" s="54"/>
    </row>
    <row r="14" spans="2:92" x14ac:dyDescent="0.35">
      <c r="B14" s="112"/>
      <c r="E14" s="112"/>
      <c r="F14" s="112"/>
      <c r="BT14" s="54"/>
      <c r="BU14" s="54"/>
      <c r="BV14" s="54"/>
      <c r="BW14" s="54"/>
      <c r="BX14" s="54"/>
      <c r="BY14" s="54"/>
      <c r="BZ14" s="54"/>
      <c r="CA14" s="54"/>
      <c r="CB14" s="54"/>
      <c r="CC14" s="54"/>
      <c r="CD14" s="54"/>
      <c r="CE14" s="54"/>
      <c r="CF14" s="54"/>
      <c r="CG14" s="54"/>
      <c r="CH14" s="54"/>
      <c r="CI14" s="54"/>
      <c r="CJ14" s="54"/>
      <c r="CK14" s="54"/>
      <c r="CL14" s="54"/>
      <c r="CM14" s="54"/>
      <c r="CN14" s="54"/>
    </row>
    <row r="15" spans="2:92" x14ac:dyDescent="0.35">
      <c r="B15" s="112"/>
      <c r="E15" s="112"/>
      <c r="F15" s="112"/>
      <c r="BT15" s="54"/>
      <c r="BU15" s="54"/>
      <c r="BV15" s="54"/>
      <c r="BW15" s="54"/>
      <c r="BX15" s="54"/>
      <c r="BY15" s="54"/>
      <c r="BZ15" s="54"/>
      <c r="CA15" s="54"/>
      <c r="CB15" s="54"/>
      <c r="CC15" s="54"/>
      <c r="CD15" s="54"/>
      <c r="CE15" s="54"/>
      <c r="CF15" s="54"/>
      <c r="CG15" s="54"/>
      <c r="CH15" s="54"/>
      <c r="CI15" s="54"/>
      <c r="CJ15" s="54"/>
      <c r="CK15" s="54"/>
      <c r="CL15" s="54"/>
      <c r="CM15" s="54"/>
      <c r="CN15" s="54"/>
    </row>
    <row r="16" spans="2:92" x14ac:dyDescent="0.35">
      <c r="B16" s="112"/>
      <c r="E16" s="112"/>
      <c r="F16" s="112"/>
      <c r="BT16" s="54"/>
      <c r="BU16" s="54"/>
      <c r="BV16" s="54"/>
      <c r="BW16" s="54"/>
      <c r="BX16" s="54"/>
      <c r="BY16" s="54"/>
      <c r="BZ16" s="54"/>
      <c r="CA16" s="54"/>
      <c r="CB16" s="54"/>
      <c r="CC16" s="54"/>
      <c r="CD16" s="54"/>
      <c r="CE16" s="54"/>
      <c r="CF16" s="54"/>
      <c r="CG16" s="54"/>
      <c r="CH16" s="54"/>
      <c r="CI16" s="54"/>
      <c r="CJ16" s="54"/>
      <c r="CK16" s="54"/>
      <c r="CL16" s="54"/>
      <c r="CM16" s="54"/>
      <c r="CN16" s="54"/>
    </row>
    <row r="17" spans="1:92" x14ac:dyDescent="0.35">
      <c r="B17" s="112"/>
      <c r="E17" s="112"/>
      <c r="F17" s="112"/>
      <c r="BT17" s="54"/>
      <c r="BU17" s="54"/>
      <c r="BV17" s="54"/>
      <c r="BW17" s="54"/>
      <c r="BX17" s="54"/>
      <c r="BY17" s="54"/>
      <c r="BZ17" s="54"/>
      <c r="CA17" s="54"/>
      <c r="CB17" s="54"/>
      <c r="CC17" s="54"/>
      <c r="CD17" s="54"/>
      <c r="CE17" s="54"/>
      <c r="CF17" s="54"/>
      <c r="CG17" s="54"/>
      <c r="CH17" s="54"/>
      <c r="CI17" s="54"/>
      <c r="CJ17" s="54"/>
      <c r="CK17" s="54"/>
      <c r="CL17" s="54"/>
      <c r="CM17" s="54"/>
      <c r="CN17" s="54"/>
    </row>
    <row r="18" spans="1:92" x14ac:dyDescent="0.35">
      <c r="B18" s="112"/>
      <c r="E18" s="112"/>
      <c r="F18" s="112"/>
      <c r="BT18" s="54"/>
      <c r="BU18" s="54"/>
      <c r="BV18" s="54"/>
      <c r="BW18" s="54"/>
      <c r="BX18" s="54"/>
      <c r="BY18" s="54"/>
      <c r="BZ18" s="54"/>
      <c r="CA18" s="54"/>
      <c r="CB18" s="54"/>
      <c r="CC18" s="54"/>
      <c r="CD18" s="54"/>
      <c r="CE18" s="54"/>
      <c r="CF18" s="54"/>
      <c r="CG18" s="54"/>
      <c r="CH18" s="54"/>
      <c r="CI18" s="54"/>
      <c r="CJ18" s="54"/>
      <c r="CK18" s="54"/>
      <c r="CL18" s="54"/>
      <c r="CM18" s="54"/>
      <c r="CN18" s="54"/>
    </row>
    <row r="19" spans="1:92" x14ac:dyDescent="0.35">
      <c r="B19" s="54"/>
      <c r="C19" s="54"/>
      <c r="D19" s="54"/>
      <c r="E19" s="59">
        <v>1946</v>
      </c>
      <c r="F19" s="59">
        <v>1946</v>
      </c>
      <c r="G19" s="59">
        <v>1947</v>
      </c>
      <c r="H19" s="59">
        <v>1948</v>
      </c>
      <c r="I19" s="59">
        <v>1949</v>
      </c>
      <c r="J19" s="59">
        <v>1950</v>
      </c>
      <c r="K19" s="59">
        <v>1951</v>
      </c>
      <c r="L19" s="59">
        <v>1952</v>
      </c>
      <c r="M19" s="59">
        <v>1953</v>
      </c>
      <c r="N19" s="59">
        <v>1954</v>
      </c>
      <c r="O19" s="59">
        <v>1955</v>
      </c>
      <c r="P19" s="59">
        <v>1956</v>
      </c>
      <c r="Q19" s="59">
        <v>1957</v>
      </c>
      <c r="R19" s="59">
        <v>1958</v>
      </c>
      <c r="S19" s="59">
        <v>1959</v>
      </c>
      <c r="T19" s="59">
        <v>1960</v>
      </c>
      <c r="U19" s="59">
        <v>1961</v>
      </c>
      <c r="V19" s="59">
        <v>1962</v>
      </c>
      <c r="W19" s="59">
        <v>1963</v>
      </c>
      <c r="X19" s="59">
        <v>1964</v>
      </c>
      <c r="Y19" s="59">
        <v>1965</v>
      </c>
      <c r="Z19" s="59">
        <v>1966</v>
      </c>
      <c r="AA19" s="59">
        <v>1967</v>
      </c>
      <c r="AB19" s="59">
        <v>1968</v>
      </c>
      <c r="AC19" s="59">
        <v>1969</v>
      </c>
      <c r="AD19" s="59">
        <v>1970</v>
      </c>
      <c r="AE19" s="59">
        <v>1971</v>
      </c>
      <c r="AF19" s="59">
        <v>1972</v>
      </c>
      <c r="AG19" s="59">
        <v>1973</v>
      </c>
      <c r="AH19" s="59">
        <v>1974</v>
      </c>
      <c r="AI19" s="59">
        <v>1975</v>
      </c>
      <c r="AJ19" s="59">
        <v>1976</v>
      </c>
      <c r="AK19" s="59">
        <v>1977</v>
      </c>
      <c r="AL19" s="59">
        <v>1978</v>
      </c>
      <c r="AM19" s="59">
        <v>1979</v>
      </c>
      <c r="AN19" s="59">
        <v>1980</v>
      </c>
      <c r="AO19" s="59">
        <v>1981</v>
      </c>
      <c r="AP19" s="59">
        <v>1982</v>
      </c>
      <c r="AQ19" s="59">
        <v>1983</v>
      </c>
      <c r="AR19" s="59">
        <v>1984</v>
      </c>
      <c r="AS19" s="59">
        <v>1985</v>
      </c>
      <c r="AT19" s="59">
        <v>1986</v>
      </c>
      <c r="AU19" s="59">
        <v>1987</v>
      </c>
      <c r="AV19" s="59">
        <v>1988</v>
      </c>
      <c r="AW19" s="59">
        <v>1989</v>
      </c>
      <c r="AX19" s="59">
        <v>1990</v>
      </c>
      <c r="AY19" s="59">
        <v>1991</v>
      </c>
      <c r="AZ19" s="59">
        <v>1992</v>
      </c>
      <c r="BA19" s="59">
        <v>1993</v>
      </c>
      <c r="BB19" s="59">
        <v>1994</v>
      </c>
      <c r="BC19" s="59">
        <v>1995</v>
      </c>
      <c r="BD19" s="59">
        <v>1996</v>
      </c>
      <c r="BE19" s="59">
        <v>1997</v>
      </c>
      <c r="BF19" s="59">
        <v>1998</v>
      </c>
      <c r="BG19" s="59">
        <v>1999</v>
      </c>
      <c r="BH19" s="59">
        <v>2000</v>
      </c>
      <c r="BI19" s="59">
        <v>2001</v>
      </c>
      <c r="BJ19" s="59">
        <v>2002</v>
      </c>
      <c r="BK19" s="59">
        <v>2003</v>
      </c>
      <c r="BL19" s="59">
        <v>2004</v>
      </c>
      <c r="BM19" s="59">
        <v>2005</v>
      </c>
      <c r="BN19" s="59">
        <v>2006</v>
      </c>
      <c r="BO19" s="59">
        <v>2007</v>
      </c>
      <c r="BP19" s="59">
        <v>2008</v>
      </c>
      <c r="BQ19" s="59">
        <v>2009</v>
      </c>
      <c r="BR19" s="59">
        <v>2010</v>
      </c>
      <c r="BS19" s="59">
        <v>2011</v>
      </c>
      <c r="BT19" s="54"/>
      <c r="BU19" s="54"/>
      <c r="BV19" s="54"/>
      <c r="BW19" s="54"/>
      <c r="BX19" s="54"/>
      <c r="BY19" s="54"/>
      <c r="BZ19" s="54"/>
      <c r="CA19" s="54"/>
      <c r="CB19" s="54"/>
      <c r="CC19" s="54"/>
      <c r="CD19" s="54"/>
      <c r="CE19" s="54"/>
      <c r="CF19" s="54"/>
      <c r="CG19" s="54"/>
      <c r="CH19" s="54"/>
      <c r="CI19" s="54"/>
      <c r="CJ19" s="54"/>
      <c r="CK19" s="54"/>
      <c r="CL19" s="54"/>
      <c r="CM19" s="54"/>
      <c r="CN19" s="54"/>
    </row>
    <row r="20" spans="1:92" x14ac:dyDescent="0.35">
      <c r="A20" s="54" t="s">
        <v>510</v>
      </c>
      <c r="B20" s="57" t="s">
        <v>0</v>
      </c>
      <c r="C20" s="57" t="s">
        <v>1</v>
      </c>
      <c r="D20" s="57" t="s">
        <v>2</v>
      </c>
      <c r="E20" s="57"/>
      <c r="F20" s="57"/>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row>
    <row r="21" spans="1:92" x14ac:dyDescent="0.35">
      <c r="A21" s="267" t="s">
        <v>543</v>
      </c>
      <c r="C21" s="57"/>
      <c r="D21" s="57"/>
      <c r="E21" s="57"/>
      <c r="F21" s="57"/>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row>
    <row r="22" spans="1:92" s="8" customFormat="1" ht="24" x14ac:dyDescent="0.35">
      <c r="A22" s="21"/>
      <c r="B22" s="21" t="s">
        <v>508</v>
      </c>
      <c r="C22" s="367" t="s">
        <v>649</v>
      </c>
      <c r="D22" s="130" t="s">
        <v>149</v>
      </c>
      <c r="E22" s="130"/>
      <c r="F22" s="130"/>
      <c r="G22" s="109">
        <f>'Appndx6.8.I.1-3'!D128</f>
        <v>118.6</v>
      </c>
      <c r="H22" s="109">
        <f>'Appndx6.8.I.1-3'!E128</f>
        <v>136</v>
      </c>
      <c r="I22" s="109">
        <f>'Appndx6.8.I.1-3'!F128</f>
        <v>132.4</v>
      </c>
      <c r="J22" s="109">
        <f>'Appndx6.8.I.1-3'!G128</f>
        <v>150.6</v>
      </c>
      <c r="K22" s="109">
        <f>'Appndx6.8.I.1-3'!H128</f>
        <v>172.9</v>
      </c>
      <c r="L22" s="109">
        <f>'Appndx6.8.I.1-3'!I128</f>
        <v>180.9</v>
      </c>
      <c r="M22" s="109">
        <f>'Appndx6.8.I.1-3'!J128</f>
        <v>193.6</v>
      </c>
      <c r="N22" s="109">
        <f>'Appndx6.8.I.1-3'!K128</f>
        <v>190.4</v>
      </c>
      <c r="O22" s="109">
        <f>'Appndx6.8.I.1-3'!L128</f>
        <v>215.70000000000002</v>
      </c>
      <c r="P22" s="109">
        <f>'Appndx6.8.I.1-3'!M128</f>
        <v>230</v>
      </c>
      <c r="Q22" s="109">
        <f>'Appndx6.8.I.1-3'!N128</f>
        <v>239.69999999999996</v>
      </c>
      <c r="R22" s="109">
        <f>'Appndx6.8.I.1-3'!O128</f>
        <v>233.50000000000003</v>
      </c>
      <c r="S22" s="109">
        <f>'Appndx6.8.I.1-3'!P128</f>
        <v>263.5</v>
      </c>
      <c r="T22" s="109">
        <f>'Appndx6.8.I.1-3'!Q128</f>
        <v>275.79999999999995</v>
      </c>
      <c r="U22" s="109">
        <f>'Appndx6.8.I.1-3'!R128</f>
        <v>283.40000000000003</v>
      </c>
      <c r="V22" s="109">
        <f>'Appndx6.8.I.1-3'!S128</f>
        <v>309.89999999999998</v>
      </c>
      <c r="W22" s="109">
        <f>'Appndx6.8.I.1-3'!T128</f>
        <v>330</v>
      </c>
      <c r="X22" s="109">
        <f>'Appndx6.8.I.1-3'!U128</f>
        <v>356.9</v>
      </c>
      <c r="Y22" s="109">
        <f>'Appndx6.8.I.1-3'!V128</f>
        <v>392.1</v>
      </c>
      <c r="Z22" s="109">
        <f>'Appndx6.8.I.1-3'!W128</f>
        <v>429.40000000000003</v>
      </c>
      <c r="AA22" s="109">
        <f>'Appndx6.8.I.1-3'!X128</f>
        <v>451.3</v>
      </c>
      <c r="AB22" s="109">
        <f>'Appndx6.8.I.1-3'!Y128</f>
        <v>499.4</v>
      </c>
      <c r="AC22" s="109">
        <f>'Appndx6.8.I.1-3'!Z128</f>
        <v>542.6</v>
      </c>
      <c r="AD22" s="109">
        <f>'Appndx6.8.I.1-3'!AA128</f>
        <v>559.79999999999995</v>
      </c>
      <c r="AE22" s="109">
        <f>'Appndx6.8.I.1-3'!AB128</f>
        <v>604.1</v>
      </c>
      <c r="AF22" s="109">
        <f>'Appndx6.8.I.1-3'!AC128</f>
        <v>671.5</v>
      </c>
      <c r="AG22" s="109">
        <f>'Appndx6.8.I.1-3'!AD128</f>
        <v>753.30000000000007</v>
      </c>
      <c r="AH22" s="109">
        <f>'Appndx6.8.I.1-3'!AE128</f>
        <v>808.5</v>
      </c>
      <c r="AI22" s="109">
        <f>'Appndx6.8.I.1-3'!AF128</f>
        <v>865.4</v>
      </c>
      <c r="AJ22" s="109">
        <f>'Appndx6.8.I.1-3'!AG128</f>
        <v>977.40000000000009</v>
      </c>
      <c r="AK22" s="109">
        <f>'Appndx6.8.I.1-3'!AH128</f>
        <v>1105.5</v>
      </c>
      <c r="AL22" s="109">
        <f>'Appndx6.8.I.1-3'!AI128</f>
        <v>1263.6999999999998</v>
      </c>
      <c r="AM22" s="109">
        <f>'Appndx6.8.I.1-3'!AJ128</f>
        <v>1400.1000000000001</v>
      </c>
      <c r="AN22" s="109">
        <f>'Appndx6.8.I.1-3'!AK128</f>
        <v>1504.4</v>
      </c>
      <c r="AO22" s="109">
        <f>'Appndx6.8.I.1-3'!AL128</f>
        <v>1697.8</v>
      </c>
      <c r="AP22" s="109">
        <f>'Appndx6.8.I.1-3'!AM128</f>
        <v>1751.1999999999998</v>
      </c>
      <c r="AQ22" s="109">
        <f>'Appndx6.8.I.1-3'!AN128</f>
        <v>1888.6999999999996</v>
      </c>
      <c r="AR22" s="109">
        <f>'Appndx6.8.I.1-3'!AO128</f>
        <v>2133.1999999999998</v>
      </c>
      <c r="AS22" s="109">
        <f>'Appndx6.8.I.1-3'!AP128</f>
        <v>2276.8000000000002</v>
      </c>
      <c r="AT22" s="109">
        <f>'Appndx6.8.I.1-3'!AQ128</f>
        <v>2372.3999999999996</v>
      </c>
      <c r="AU22" s="109">
        <f>'Appndx6.8.I.1-3'!AR128</f>
        <v>2552.2999999999997</v>
      </c>
      <c r="AV22" s="109">
        <f>'Appndx6.8.I.1-3'!AS128</f>
        <v>2780.8999999999996</v>
      </c>
      <c r="AW22" s="109">
        <f>'Appndx6.8.I.1-3'!AT128</f>
        <v>2930.2999999999997</v>
      </c>
      <c r="AX22" s="109">
        <f>'Appndx6.8.I.1-3'!AU128</f>
        <v>3064.9</v>
      </c>
      <c r="AY22" s="109">
        <f>'Appndx6.8.I.1-3'!AV128</f>
        <v>3149.4</v>
      </c>
      <c r="AZ22" s="109">
        <f>'Appndx6.8.I.1-3'!AW128</f>
        <v>3310</v>
      </c>
      <c r="BA22" s="109">
        <f>'Appndx6.8.I.1-3'!AX128</f>
        <v>3471.4</v>
      </c>
      <c r="BB22" s="109">
        <f>'Appndx6.8.I.1-3'!AY128</f>
        <v>3737</v>
      </c>
      <c r="BC22" s="109">
        <f>'Appndx6.8.I.1-3'!AZ128</f>
        <v>3980.2999999999997</v>
      </c>
      <c r="BD22" s="109">
        <f>'Appndx6.8.I.1-3'!BA128</f>
        <v>4212.7</v>
      </c>
      <c r="BE22" s="109">
        <f>'Appndx6.8.I.1-3'!BB128</f>
        <v>4521.5</v>
      </c>
      <c r="BF22" s="109">
        <f>'Appndx6.8.I.1-3'!BC128</f>
        <v>4781.7</v>
      </c>
      <c r="BG22" s="109">
        <f>'Appndx6.8.I.1-3'!BD128</f>
        <v>5082.7</v>
      </c>
      <c r="BH22" s="109">
        <f>'Appndx6.8.I.1-3'!BE128</f>
        <v>5424.4999999999991</v>
      </c>
      <c r="BI22" s="109">
        <f>'Appndx6.8.I.1-3'!BF128</f>
        <v>5414.9999999999991</v>
      </c>
      <c r="BJ22" s="109">
        <f>'Appndx6.8.I.1-3'!BG128</f>
        <v>5482.4000000000005</v>
      </c>
      <c r="BK22" s="109">
        <f>'Appndx6.8.I.1-3'!BH128</f>
        <v>5707.3</v>
      </c>
      <c r="BL22" s="109">
        <f>'Appndx6.8.I.1-3'!BI128</f>
        <v>6127.4</v>
      </c>
      <c r="BM22" s="109">
        <f>'Appndx6.8.I.1-3'!BJ128</f>
        <v>6606.5</v>
      </c>
      <c r="BN22" s="109">
        <f>'Appndx6.8.I.1-3'!BK128</f>
        <v>7031.2000000000007</v>
      </c>
      <c r="BO22" s="109">
        <f>'Appndx6.8.I.1-3'!BL128</f>
        <v>7147.1000000000013</v>
      </c>
      <c r="BP22" s="109">
        <f>'Appndx6.8.I.1-3'!BM128</f>
        <v>6975.3</v>
      </c>
      <c r="BQ22" s="109">
        <f>'Appndx6.8.I.1-3'!BN128</f>
        <v>6762.9</v>
      </c>
      <c r="BR22" s="109">
        <f>'Appndx6.8.I.1-3'!BO128</f>
        <v>7205.5</v>
      </c>
      <c r="BS22" s="109">
        <f>'Appndx6.8.I.1-3'!BP128</f>
        <v>7614.3</v>
      </c>
    </row>
    <row r="23" spans="1:92" s="8" customFormat="1" ht="24" x14ac:dyDescent="0.35">
      <c r="A23" s="21"/>
      <c r="B23" s="21" t="s">
        <v>509</v>
      </c>
      <c r="C23" s="367" t="s">
        <v>650</v>
      </c>
      <c r="D23" s="21" t="s">
        <v>524</v>
      </c>
      <c r="E23" s="21"/>
      <c r="F23" s="21"/>
      <c r="G23" s="8">
        <f>'Appndx6.8.I.1-3'!D129</f>
        <v>24.9</v>
      </c>
      <c r="H23" s="8">
        <f>'Appndx6.8.I.1-3'!E129</f>
        <v>32.1</v>
      </c>
      <c r="I23" s="8">
        <f>'Appndx6.8.I.1-3'!F129</f>
        <v>30.2</v>
      </c>
      <c r="J23" s="8">
        <f>'Appndx6.8.I.1-3'!G129</f>
        <v>37.200000000000003</v>
      </c>
      <c r="K23" s="8">
        <f>'Appndx6.8.I.1-3'!H129</f>
        <v>42.5</v>
      </c>
      <c r="L23" s="8">
        <f>'Appndx6.8.I.1-3'!I129</f>
        <v>40.6</v>
      </c>
      <c r="M23" s="8">
        <f>'Appndx6.8.I.1-3'!J129</f>
        <v>41.099999999999994</v>
      </c>
      <c r="N23" s="8">
        <f>'Appndx6.8.I.1-3'!K129</f>
        <v>40.299999999999997</v>
      </c>
      <c r="O23" s="8">
        <f>'Appndx6.8.I.1-3'!L129</f>
        <v>51.300000000000004</v>
      </c>
      <c r="P23" s="8">
        <f>'Appndx6.8.I.1-3'!M129</f>
        <v>50.300000000000004</v>
      </c>
      <c r="Q23" s="8">
        <f>'Appndx6.8.I.1-3'!N129</f>
        <v>50.5</v>
      </c>
      <c r="R23" s="8">
        <f>'Appndx6.8.I.1-3'!O129</f>
        <v>46.4</v>
      </c>
      <c r="S23" s="8">
        <f>'Appndx6.8.I.1-3'!P129</f>
        <v>57.699999999999996</v>
      </c>
      <c r="T23" s="8">
        <f>'Appndx6.8.I.1-3'!Q129</f>
        <v>57.199999999999996</v>
      </c>
      <c r="U23" s="8">
        <f>'Appndx6.8.I.1-3'!R129</f>
        <v>58.900000000000006</v>
      </c>
      <c r="V23" s="8">
        <f>'Appndx6.8.I.1-3'!S129</f>
        <v>67.7</v>
      </c>
      <c r="W23" s="8">
        <f>'Appndx6.8.I.1-3'!T129</f>
        <v>74.2</v>
      </c>
      <c r="X23" s="8">
        <f>'Appndx6.8.I.1-3'!U129</f>
        <v>82.1</v>
      </c>
      <c r="Y23" s="8">
        <f>'Appndx6.8.I.1-3'!V129</f>
        <v>94.4</v>
      </c>
      <c r="Z23" s="8">
        <f>'Appndx6.8.I.1-3'!W129</f>
        <v>102</v>
      </c>
      <c r="AA23" s="8">
        <f>'Appndx6.8.I.1-3'!X129</f>
        <v>101.5</v>
      </c>
      <c r="AB23" s="8">
        <f>'Appndx6.8.I.1-3'!Y129</f>
        <v>110.3</v>
      </c>
      <c r="AC23" s="8">
        <f>'Appndx6.8.I.1-3'!Z129</f>
        <v>111</v>
      </c>
      <c r="AD23" s="8">
        <f>'Appndx6.8.I.1-3'!AA129</f>
        <v>102.60000000000001</v>
      </c>
      <c r="AE23" s="8">
        <f>'Appndx6.8.I.1-3'!AB129</f>
        <v>116.00000000000001</v>
      </c>
      <c r="AF23" s="8">
        <f>'Appndx6.8.I.1-3'!AC129</f>
        <v>131.69999999999999</v>
      </c>
      <c r="AG23" s="8">
        <f>'Appndx6.8.I.1-3'!AD129</f>
        <v>145.19999999999999</v>
      </c>
      <c r="AH23" s="8">
        <f>'Appndx6.8.I.1-3'!AE129</f>
        <v>142.4</v>
      </c>
      <c r="AI23" s="8">
        <f>'Appndx6.8.I.1-3'!AF129</f>
        <v>166.10000000000002</v>
      </c>
      <c r="AJ23" s="8">
        <f>'Appndx6.8.I.1-3'!AG129</f>
        <v>190.70000000000002</v>
      </c>
      <c r="AK23" s="8">
        <f>'Appndx6.8.I.1-3'!AH129</f>
        <v>220.70000000000002</v>
      </c>
      <c r="AL23" s="8">
        <f>'Appndx6.8.I.1-3'!AI129</f>
        <v>253.10000000000002</v>
      </c>
      <c r="AM23" s="8">
        <f>'Appndx6.8.I.1-3'!AJ129</f>
        <v>263.10000000000002</v>
      </c>
      <c r="AN23" s="8">
        <f>'Appndx6.8.I.1-3'!AK129</f>
        <v>255.7</v>
      </c>
      <c r="AO23" s="8">
        <f>'Appndx6.8.I.1-3'!AL129</f>
        <v>303.2999999999999</v>
      </c>
      <c r="AP23" s="8">
        <f>'Appndx6.8.I.1-3'!AM129</f>
        <v>296.10000000000002</v>
      </c>
      <c r="AQ23" s="8">
        <f>'Appndx6.8.I.1-3'!AN129</f>
        <v>344.09999999999991</v>
      </c>
      <c r="AR23" s="8">
        <f>'Appndx6.8.I.1-3'!AO129</f>
        <v>423.69999999999993</v>
      </c>
      <c r="AS23" s="8">
        <f>'Appndx6.8.I.1-3'!AP129</f>
        <v>445.29999999999995</v>
      </c>
      <c r="AT23" s="8">
        <f>'Appndx6.8.I.1-3'!AQ129</f>
        <v>432.39999999999992</v>
      </c>
      <c r="AU23" s="8">
        <f>'Appndx6.8.I.1-3'!AR129</f>
        <v>478.9</v>
      </c>
      <c r="AV23" s="8">
        <f>'Appndx6.8.I.1-3'!AS129</f>
        <v>548.5</v>
      </c>
      <c r="AW23" s="8">
        <f>'Appndx6.8.I.1-3'!AT129</f>
        <v>574.4</v>
      </c>
      <c r="AX23" s="8">
        <f>'Appndx6.8.I.1-3'!AU129</f>
        <v>579.79999999999995</v>
      </c>
      <c r="AY23" s="8">
        <f>'Appndx6.8.I.1-3'!AV129</f>
        <v>592.1</v>
      </c>
      <c r="AZ23" s="8">
        <f>'Appndx6.8.I.1-3'!AW129</f>
        <v>608.6</v>
      </c>
      <c r="BA23" s="8">
        <f>'Appndx6.8.I.1-3'!AX129</f>
        <v>641.19999999999993</v>
      </c>
      <c r="BB23" s="8">
        <f>'Appndx6.8.I.1-3'!AY129</f>
        <v>729.90000000000009</v>
      </c>
      <c r="BC23" s="8">
        <f>'Appndx6.8.I.1-3'!AZ129</f>
        <v>825.2</v>
      </c>
      <c r="BD23" s="8">
        <f>'Appndx6.8.I.1-3'!BA129</f>
        <v>907.09999999999991</v>
      </c>
      <c r="BE23" s="8">
        <f>'Appndx6.8.I.1-3'!BB129</f>
        <v>990.80000000000007</v>
      </c>
      <c r="BF23" s="8">
        <f>'Appndx6.8.I.1-3'!BC129</f>
        <v>966.4</v>
      </c>
      <c r="BG23" s="8">
        <f>'Appndx6.8.I.1-3'!BD129</f>
        <v>1012.6000000000004</v>
      </c>
      <c r="BH23" s="8">
        <f>'Appndx6.8.I.1-3'!BE129</f>
        <v>1007.2999999999998</v>
      </c>
      <c r="BI23" s="8">
        <f>'Appndx6.8.I.1-3'!BF129</f>
        <v>966.3</v>
      </c>
      <c r="BJ23" s="8">
        <f>'Appndx6.8.I.1-3'!BG129</f>
        <v>1009.5000000000001</v>
      </c>
      <c r="BK23" s="8">
        <f>'Appndx6.8.I.1-3'!BH129</f>
        <v>1084.5</v>
      </c>
      <c r="BL23" s="8">
        <f>'Appndx6.8.I.1-3'!BI129</f>
        <v>1307.8000000000002</v>
      </c>
      <c r="BM23" s="8">
        <f>'Appndx6.8.I.1-3'!BJ129</f>
        <v>1511.3000000000002</v>
      </c>
      <c r="BN23" s="8">
        <f>'Appndx6.8.I.1-3'!BK129</f>
        <v>1654.1</v>
      </c>
      <c r="BO23" s="8">
        <f>'Appndx6.8.I.1-3'!BL129</f>
        <v>1551.4000000000003</v>
      </c>
      <c r="BP23" s="8">
        <f>'Appndx6.8.I.1-3'!BM129</f>
        <v>1288.4999999999998</v>
      </c>
      <c r="BQ23" s="8">
        <f>'Appndx6.8.I.1-3'!BN129</f>
        <v>1416.8</v>
      </c>
      <c r="BR23" s="8">
        <f>'Appndx6.8.I.1-3'!BO129</f>
        <v>1738.6</v>
      </c>
      <c r="BS23" s="8">
        <f>'Appndx6.8.I.1-3'!BP129</f>
        <v>1862.3999999999999</v>
      </c>
    </row>
    <row r="24" spans="1:92" s="8" customFormat="1" ht="12" x14ac:dyDescent="0.3">
      <c r="A24" s="21"/>
      <c r="B24" s="21" t="s">
        <v>491</v>
      </c>
      <c r="C24" s="367" t="s">
        <v>651</v>
      </c>
      <c r="D24" s="30" t="s">
        <v>529</v>
      </c>
      <c r="G24" s="8">
        <f>'Appndx6.8.I.1-3'!D132</f>
        <v>22.5</v>
      </c>
      <c r="H24" s="8">
        <f>'Appndx6.8.I.1-3'!E132</f>
        <v>29.6</v>
      </c>
      <c r="I24" s="8">
        <f>'Appndx6.8.I.1-3'!F132</f>
        <v>27.6</v>
      </c>
      <c r="J24" s="8">
        <f>'Appndx6.8.I.1-3'!G132</f>
        <v>34.4</v>
      </c>
      <c r="K24" s="8">
        <f>'Appndx6.8.I.1-3'!H132</f>
        <v>39.1</v>
      </c>
      <c r="L24" s="8">
        <f>'Appndx6.8.I.1-3'!I132</f>
        <v>37</v>
      </c>
      <c r="M24" s="8">
        <f>'Appndx6.8.I.1-3'!J132</f>
        <v>37.299999999999997</v>
      </c>
      <c r="N24" s="8">
        <f>'Appndx6.8.I.1-3'!K132</f>
        <v>36.4</v>
      </c>
      <c r="O24" s="8">
        <f>'Appndx6.8.I.1-3'!L132</f>
        <v>46.6</v>
      </c>
      <c r="P24" s="8">
        <f>'Appndx6.8.I.1-3'!M132</f>
        <v>45.2</v>
      </c>
      <c r="Q24" s="8">
        <f>'Appndx6.8.I.1-3'!N132</f>
        <v>44.5</v>
      </c>
      <c r="R24" s="8">
        <f>'Appndx6.8.I.1-3'!O132</f>
        <v>39.9</v>
      </c>
      <c r="S24" s="8">
        <f>'Appndx6.8.I.1-3'!P132</f>
        <v>51.1</v>
      </c>
      <c r="T24" s="8">
        <f>'Appndx6.8.I.1-3'!Q132</f>
        <v>50</v>
      </c>
      <c r="U24" s="8">
        <f>'Appndx6.8.I.1-3'!R132</f>
        <v>50.9</v>
      </c>
      <c r="V24" s="8">
        <f>'Appndx6.8.I.1-3'!S132</f>
        <v>58.6</v>
      </c>
      <c r="W24" s="8">
        <f>'Appndx6.8.I.1-3'!T132</f>
        <v>64.3</v>
      </c>
      <c r="X24" s="8">
        <f>'Appndx6.8.I.1-3'!U132</f>
        <v>71.099999999999994</v>
      </c>
      <c r="Y24" s="8">
        <f>'Appndx6.8.I.1-3'!V132</f>
        <v>81.8</v>
      </c>
      <c r="Z24" s="8">
        <f>'Appndx6.8.I.1-3'!W132</f>
        <v>88</v>
      </c>
      <c r="AA24" s="8">
        <f>'Appndx6.8.I.1-3'!X132</f>
        <v>85.4</v>
      </c>
      <c r="AB24" s="8">
        <f>'Appndx6.8.I.1-3'!Y132</f>
        <v>91.6</v>
      </c>
      <c r="AC24" s="8">
        <f>'Appndx6.8.I.1-3'!Z132</f>
        <v>87.9</v>
      </c>
      <c r="AD24" s="8">
        <f>'Appndx6.8.I.1-3'!AA132</f>
        <v>75.400000000000006</v>
      </c>
      <c r="AE24" s="8">
        <f>'Appndx6.8.I.1-3'!AB132</f>
        <v>88.2</v>
      </c>
      <c r="AF24" s="8">
        <f>'Appndx6.8.I.1-3'!AC132</f>
        <v>101.9</v>
      </c>
      <c r="AG24" s="8">
        <f>'Appndx6.8.I.1-3'!AD132</f>
        <v>109.6</v>
      </c>
      <c r="AH24" s="8">
        <f>'Appndx6.8.I.1-3'!AE132</f>
        <v>97.7</v>
      </c>
      <c r="AI24" s="8">
        <f>'Appndx6.8.I.1-3'!AF132</f>
        <v>118.7</v>
      </c>
      <c r="AJ24" s="8">
        <f>'Appndx6.8.I.1-3'!AG132</f>
        <v>145.1</v>
      </c>
      <c r="AK24" s="8">
        <f>'Appndx6.8.I.1-3'!AH132</f>
        <v>172.7</v>
      </c>
      <c r="AL24" s="8">
        <f>'Appndx6.8.I.1-3'!AI132</f>
        <v>195.6</v>
      </c>
      <c r="AM24" s="8">
        <f>'Appndx6.8.I.1-3'!AJ132</f>
        <v>190.7</v>
      </c>
      <c r="AN24" s="8">
        <f>'Appndx6.8.I.1-3'!AK132</f>
        <v>166</v>
      </c>
      <c r="AO24" s="8">
        <f>'Appndx6.8.I.1-3'!AL132</f>
        <v>193.6</v>
      </c>
      <c r="AP24" s="8">
        <f>'Appndx6.8.I.1-3'!AM132</f>
        <v>173.1</v>
      </c>
      <c r="AQ24" s="8">
        <f>'Appndx6.8.I.1-3'!AN132</f>
        <v>224.8</v>
      </c>
      <c r="AR24" s="8">
        <f>'Appndx6.8.I.1-3'!AO132</f>
        <v>282</v>
      </c>
      <c r="AS24" s="8">
        <f>'Appndx6.8.I.1-3'!AP132</f>
        <v>294.39999999999998</v>
      </c>
      <c r="AT24" s="8">
        <f>'Appndx6.8.I.1-3'!AQ132</f>
        <v>274.7</v>
      </c>
      <c r="AU24" s="8">
        <f>'Appndx6.8.I.1-3'!AR132</f>
        <v>319.8</v>
      </c>
      <c r="AV24" s="8">
        <f>'Appndx6.8.I.1-3'!AS132</f>
        <v>369.6</v>
      </c>
      <c r="AW24" s="8">
        <f>'Appndx6.8.I.1-3'!AT132</f>
        <v>358.4</v>
      </c>
      <c r="AX24" s="8">
        <f>'Appndx6.8.I.1-3'!AU132</f>
        <v>358.4</v>
      </c>
      <c r="AY24" s="8">
        <f>'Appndx6.8.I.1-3'!AV132</f>
        <v>380.8</v>
      </c>
      <c r="AZ24" s="8">
        <f>'Appndx6.8.I.1-3'!AW132</f>
        <v>423.1</v>
      </c>
      <c r="BA24" s="8">
        <f>'Appndx6.8.I.1-3'!AX132</f>
        <v>466.8</v>
      </c>
      <c r="BB24" s="8">
        <f>'Appndx6.8.I.1-3'!AY132</f>
        <v>550.29999999999995</v>
      </c>
      <c r="BC24" s="8">
        <f>'Appndx6.8.I.1-3'!AZ132</f>
        <v>623.20000000000005</v>
      </c>
      <c r="BD24" s="8">
        <f>'Appndx6.8.I.1-3'!BA132</f>
        <v>699.5</v>
      </c>
      <c r="BE24" s="8">
        <f>'Appndx6.8.I.1-3'!BB132</f>
        <v>777.3</v>
      </c>
      <c r="BF24" s="8">
        <f>'Appndx6.8.I.1-3'!BC132</f>
        <v>709.7</v>
      </c>
      <c r="BG24" s="8">
        <f>'Appndx6.8.I.1-3'!BD132</f>
        <v>734.8</v>
      </c>
      <c r="BH24" s="8">
        <f>'Appndx6.8.I.1-3'!BE132</f>
        <v>673.6</v>
      </c>
      <c r="BI24" s="8">
        <f>'Appndx6.8.I.1-3'!BF132</f>
        <v>614.5</v>
      </c>
      <c r="BJ24" s="8">
        <f>'Appndx6.8.I.1-3'!BG132</f>
        <v>714.3</v>
      </c>
      <c r="BK24" s="8">
        <f>'Appndx6.8.I.1-3'!BH132</f>
        <v>812</v>
      </c>
      <c r="BL24" s="8">
        <f>'Appndx6.8.I.1-3'!BI132</f>
        <v>1041.9000000000001</v>
      </c>
      <c r="BM24" s="8">
        <f>'Appndx6.8.I.1-3'!BJ132</f>
        <v>1216.5999999999999</v>
      </c>
      <c r="BN24" s="8">
        <f>'Appndx6.8.I.1-3'!BK132</f>
        <v>1351.5</v>
      </c>
      <c r="BO24" s="8">
        <f>'Appndx6.8.I.1-3'!BL132</f>
        <v>1159.8</v>
      </c>
      <c r="BP24" s="8">
        <f>'Appndx6.8.I.1-3'!BM132</f>
        <v>841.8</v>
      </c>
      <c r="BQ24" s="8">
        <f>'Appndx6.8.I.1-3'!BN132</f>
        <v>989.5</v>
      </c>
      <c r="BR24" s="8">
        <f>'Appndx6.8.I.1-3'!BO132</f>
        <v>1300.9000000000001</v>
      </c>
      <c r="BS24" s="8">
        <f>'Appndx6.8.I.1-3'!BP132</f>
        <v>1388.1</v>
      </c>
    </row>
    <row r="25" spans="1:92" s="8" customFormat="1" ht="12" x14ac:dyDescent="0.3">
      <c r="A25" s="21"/>
      <c r="B25" s="21" t="s">
        <v>498</v>
      </c>
      <c r="C25" s="21" t="s">
        <v>526</v>
      </c>
      <c r="D25" s="30" t="s">
        <v>525</v>
      </c>
      <c r="G25" s="24">
        <f>'Appndx6.8.I.1-3'!D130+'Appndx6.8.I.1-3'!D131</f>
        <v>2.3999999999999995</v>
      </c>
      <c r="H25" s="24">
        <f>'Appndx6.8.I.1-3'!E130+'Appndx6.8.I.1-3'!E131</f>
        <v>2.4999999999999996</v>
      </c>
      <c r="I25" s="24">
        <f>'Appndx6.8.I.1-3'!F130+'Appndx6.8.I.1-3'!F131</f>
        <v>2.6999999999999988</v>
      </c>
      <c r="J25" s="24">
        <f>'Appndx6.8.I.1-3'!G130+'Appndx6.8.I.1-3'!G131</f>
        <v>2.8000000000000007</v>
      </c>
      <c r="K25" s="24">
        <f>'Appndx6.8.I.1-3'!H130+'Appndx6.8.I.1-3'!H131</f>
        <v>3.4999999999999996</v>
      </c>
      <c r="L25" s="24">
        <f>'Appndx6.8.I.1-3'!I130+'Appndx6.8.I.1-3'!I131</f>
        <v>3.7000000000000011</v>
      </c>
      <c r="M25" s="24">
        <f>'Appndx6.8.I.1-3'!J130+'Appndx6.8.I.1-3'!J131</f>
        <v>3.7999999999999976</v>
      </c>
      <c r="N25" s="24">
        <f>'Appndx6.8.I.1-3'!K130+'Appndx6.8.I.1-3'!K131</f>
        <v>4.0000000000000009</v>
      </c>
      <c r="O25" s="24">
        <f>'Appndx6.8.I.1-3'!L130+'Appndx6.8.I.1-3'!L131</f>
        <v>4.7000000000000037</v>
      </c>
      <c r="P25" s="24">
        <f>'Appndx6.8.I.1-3'!M130+'Appndx6.8.I.1-3'!M131</f>
        <v>5.1000000000000014</v>
      </c>
      <c r="Q25" s="24">
        <f>'Appndx6.8.I.1-3'!N130+'Appndx6.8.I.1-3'!N131</f>
        <v>6.0000000000000009</v>
      </c>
      <c r="R25" s="24">
        <f>'Appndx6.8.I.1-3'!O130+'Appndx6.8.I.1-3'!O131</f>
        <v>6.4999999999999991</v>
      </c>
      <c r="S25" s="24">
        <f>'Appndx6.8.I.1-3'!P130+'Appndx6.8.I.1-3'!P131</f>
        <v>6.6</v>
      </c>
      <c r="T25" s="24">
        <f>'Appndx6.8.I.1-3'!Q130+'Appndx6.8.I.1-3'!Q131</f>
        <v>7.2999999999999989</v>
      </c>
      <c r="U25" s="24">
        <f>'Appndx6.8.I.1-3'!R130+'Appndx6.8.I.1-3'!R131</f>
        <v>8.1000000000000085</v>
      </c>
      <c r="V25" s="24">
        <f>'Appndx6.8.I.1-3'!S130+'Appndx6.8.I.1-3'!S131</f>
        <v>9.1000000000000014</v>
      </c>
      <c r="W25" s="24">
        <f>'Appndx6.8.I.1-3'!T130+'Appndx6.8.I.1-3'!T131</f>
        <v>10.000000000000005</v>
      </c>
      <c r="X25" s="24">
        <f>'Appndx6.8.I.1-3'!U130+'Appndx6.8.I.1-3'!U131</f>
        <v>11.099999999999998</v>
      </c>
      <c r="Y25" s="24">
        <f>'Appndx6.8.I.1-3'!V130+'Appndx6.8.I.1-3'!V131</f>
        <v>12.600000000000001</v>
      </c>
      <c r="Z25" s="24">
        <f>'Appndx6.8.I.1-3'!W130+'Appndx6.8.I.1-3'!W131</f>
        <v>13.999999999999996</v>
      </c>
      <c r="AA25" s="24">
        <f>'Appndx6.8.I.1-3'!X130+'Appndx6.8.I.1-3'!X131</f>
        <v>16.099999999999998</v>
      </c>
      <c r="AB25" s="24">
        <f>'Appndx6.8.I.1-3'!Y130+'Appndx6.8.I.1-3'!Y131</f>
        <v>18.599999999999998</v>
      </c>
      <c r="AC25" s="24">
        <f>'Appndx6.8.I.1-3'!Z130+'Appndx6.8.I.1-3'!Z131</f>
        <v>23.20000000000001</v>
      </c>
      <c r="AD25" s="24">
        <f>'Appndx6.8.I.1-3'!AA130+'Appndx6.8.I.1-3'!AA131</f>
        <v>27.20000000000001</v>
      </c>
      <c r="AE25" s="24">
        <f>'Appndx6.8.I.1-3'!AB130+'Appndx6.8.I.1-3'!AB131</f>
        <v>27.800000000000008</v>
      </c>
      <c r="AF25" s="24">
        <f>'Appndx6.8.I.1-3'!AC130+'Appndx6.8.I.1-3'!AC131</f>
        <v>29.799999999999983</v>
      </c>
      <c r="AG25" s="24">
        <f>'Appndx6.8.I.1-3'!AD130+'Appndx6.8.I.1-3'!AD131</f>
        <v>35.6</v>
      </c>
      <c r="AH25" s="24">
        <f>'Appndx6.8.I.1-3'!AE130+'Appndx6.8.I.1-3'!AE131</f>
        <v>44.70000000000001</v>
      </c>
      <c r="AI25" s="24">
        <f>'Appndx6.8.I.1-3'!AF130+'Appndx6.8.I.1-3'!AF131</f>
        <v>47.400000000000027</v>
      </c>
      <c r="AJ25" s="24">
        <f>'Appndx6.8.I.1-3'!AG130+'Appndx6.8.I.1-3'!AG131</f>
        <v>45.700000000000017</v>
      </c>
      <c r="AK25" s="24">
        <f>'Appndx6.8.I.1-3'!AH130+'Appndx6.8.I.1-3'!AH131</f>
        <v>47.999999999999993</v>
      </c>
      <c r="AL25" s="24">
        <f>'Appndx6.8.I.1-3'!AI130+'Appndx6.8.I.1-3'!AI131</f>
        <v>57.500000000000014</v>
      </c>
      <c r="AM25" s="24">
        <f>'Appndx6.8.I.1-3'!AJ130+'Appndx6.8.I.1-3'!AJ131</f>
        <v>72.399999999999991</v>
      </c>
      <c r="AN25" s="24">
        <f>'Appndx6.8.I.1-3'!AK130+'Appndx6.8.I.1-3'!AK131</f>
        <v>89.699999999999989</v>
      </c>
      <c r="AO25" s="24">
        <f>'Appndx6.8.I.1-3'!AL130+'Appndx6.8.I.1-3'!AL131</f>
        <v>109.69999999999993</v>
      </c>
      <c r="AP25" s="24">
        <f>'Appndx6.8.I.1-3'!AM130+'Appndx6.8.I.1-3'!AM131</f>
        <v>123</v>
      </c>
      <c r="AQ25" s="24">
        <f>'Appndx6.8.I.1-3'!AN130+'Appndx6.8.I.1-3'!AN131</f>
        <v>119.29999999999988</v>
      </c>
      <c r="AR25" s="24">
        <f>'Appndx6.8.I.1-3'!AO130+'Appndx6.8.I.1-3'!AO131</f>
        <v>141.59999999999994</v>
      </c>
      <c r="AS25" s="24">
        <f>'Appndx6.8.I.1-3'!AP130+'Appndx6.8.I.1-3'!AP131</f>
        <v>150.79999999999993</v>
      </c>
      <c r="AT25" s="24">
        <f>'Appndx6.8.I.1-3'!AQ130+'Appndx6.8.I.1-3'!AQ131</f>
        <v>157.7999999999999</v>
      </c>
      <c r="AU25" s="24">
        <f>'Appndx6.8.I.1-3'!AR130+'Appndx6.8.I.1-3'!AR131</f>
        <v>159.10000000000002</v>
      </c>
      <c r="AV25" s="24">
        <f>'Appndx6.8.I.1-3'!AS130+'Appndx6.8.I.1-3'!AS131</f>
        <v>178.90000000000006</v>
      </c>
      <c r="AW25" s="24">
        <f>'Appndx6.8.I.1-3'!AT130+'Appndx6.8.I.1-3'!AT131</f>
        <v>216.00000000000009</v>
      </c>
      <c r="AX25" s="24">
        <f>'Appndx6.8.I.1-3'!AU130+'Appndx6.8.I.1-3'!AU131</f>
        <v>221.49999999999994</v>
      </c>
      <c r="AY25" s="24">
        <f>'Appndx6.8.I.1-3'!AV130+'Appndx6.8.I.1-3'!AV131</f>
        <v>211.29999999999998</v>
      </c>
      <c r="AZ25" s="24">
        <f>'Appndx6.8.I.1-3'!AW130+'Appndx6.8.I.1-3'!AW131</f>
        <v>185.50000000000003</v>
      </c>
      <c r="BA25" s="24">
        <f>'Appndx6.8.I.1-3'!AX130+'Appndx6.8.I.1-3'!AX131</f>
        <v>174.5</v>
      </c>
      <c r="BB25" s="24">
        <f>'Appndx6.8.I.1-3'!AY130+'Appndx6.8.I.1-3'!AY131</f>
        <v>179.60000000000008</v>
      </c>
      <c r="BC25" s="24">
        <f>'Appndx6.8.I.1-3'!AZ130+'Appndx6.8.I.1-3'!AZ131</f>
        <v>202</v>
      </c>
      <c r="BD25" s="24">
        <f>'Appndx6.8.I.1-3'!BA130+'Appndx6.8.I.1-3'!BA131</f>
        <v>207.59999999999994</v>
      </c>
      <c r="BE25" s="24">
        <f>'Appndx6.8.I.1-3'!BB130+'Appndx6.8.I.1-3'!BB131</f>
        <v>213.50000000000006</v>
      </c>
      <c r="BF25" s="24">
        <f>'Appndx6.8.I.1-3'!BC130+'Appndx6.8.I.1-3'!BC131</f>
        <v>256.69999999999987</v>
      </c>
      <c r="BG25" s="24">
        <f>'Appndx6.8.I.1-3'!BD130+'Appndx6.8.I.1-3'!BD131</f>
        <v>277.90000000000038</v>
      </c>
      <c r="BH25" s="24">
        <f>'Appndx6.8.I.1-3'!BE130+'Appndx6.8.I.1-3'!BE131</f>
        <v>333.59999999999985</v>
      </c>
      <c r="BI25" s="24">
        <f>'Appndx6.8.I.1-3'!BF130+'Appndx6.8.I.1-3'!BF131</f>
        <v>351.79999999999984</v>
      </c>
      <c r="BJ25" s="24">
        <f>'Appndx6.8.I.1-3'!BG130+'Appndx6.8.I.1-3'!BG131</f>
        <v>295.30000000000013</v>
      </c>
      <c r="BK25" s="24">
        <f>'Appndx6.8.I.1-3'!BH130+'Appndx6.8.I.1-3'!BH131</f>
        <v>272.39999999999998</v>
      </c>
      <c r="BL25" s="24">
        <f>'Appndx6.8.I.1-3'!BI130+'Appndx6.8.I.1-3'!BI131</f>
        <v>265.90000000000009</v>
      </c>
      <c r="BM25" s="24">
        <f>'Appndx6.8.I.1-3'!BJ130+'Appndx6.8.I.1-3'!BJ131</f>
        <v>294.70000000000016</v>
      </c>
      <c r="BN25" s="24">
        <f>'Appndx6.8.I.1-3'!BK130+'Appndx6.8.I.1-3'!BK131</f>
        <v>302.60000000000002</v>
      </c>
      <c r="BO25" s="24">
        <f>'Appndx6.8.I.1-3'!BL130+'Appndx6.8.I.1-3'!BL131</f>
        <v>391.70000000000027</v>
      </c>
      <c r="BP25" s="24">
        <f>'Appndx6.8.I.1-3'!BM130+'Appndx6.8.I.1-3'!BM131</f>
        <v>446.69999999999976</v>
      </c>
      <c r="BQ25" s="24">
        <f>'Appndx6.8.I.1-3'!BN130+'Appndx6.8.I.1-3'!BN131</f>
        <v>427.19999999999993</v>
      </c>
      <c r="BR25" s="24">
        <f>'Appndx6.8.I.1-3'!BO130+'Appndx6.8.I.1-3'!BO131</f>
        <v>437.7000000000001</v>
      </c>
      <c r="BS25" s="24">
        <f>'Appndx6.8.I.1-3'!BP130+'Appndx6.8.I.1-3'!BP131</f>
        <v>474.29999999999995</v>
      </c>
    </row>
    <row r="26" spans="1:92" s="8" customFormat="1" ht="24" x14ac:dyDescent="0.3">
      <c r="A26" s="21"/>
      <c r="B26" s="21" t="s">
        <v>493</v>
      </c>
      <c r="C26" s="152" t="s">
        <v>511</v>
      </c>
      <c r="D26" s="30" t="s">
        <v>326</v>
      </c>
      <c r="E26" s="167">
        <f>'Appndx 6.8.II.5'!Y17</f>
        <v>152.54296239785796</v>
      </c>
      <c r="F26" s="167"/>
      <c r="G26" s="167">
        <f>'Appndx 6.8.II.5'!Z17</f>
        <v>170.58283370974769</v>
      </c>
      <c r="H26" s="167">
        <f>'Appndx 6.8.II.5'!AA17</f>
        <v>191.68359280651978</v>
      </c>
      <c r="I26" s="167">
        <f>'Appndx 6.8.II.5'!AB17</f>
        <v>200.7047696097666</v>
      </c>
      <c r="J26" s="167">
        <f>'Appndx 6.8.II.5'!AC17</f>
        <v>230.20600652901382</v>
      </c>
      <c r="K26" s="167">
        <f>'Appndx 6.8.II.5'!AD17</f>
        <v>255.84979414602253</v>
      </c>
      <c r="L26" s="167">
        <f>'Appndx 6.8.II.5'!AE17</f>
        <v>276.73284181520842</v>
      </c>
      <c r="M26" s="167">
        <f>'Appndx 6.8.II.5'!AF17</f>
        <v>296.53555848647704</v>
      </c>
      <c r="N26" s="167">
        <f>'Appndx 6.8.II.5'!AG17</f>
        <v>311.23510269058767</v>
      </c>
      <c r="O26" s="167">
        <f>'Appndx 6.8.II.5'!AH17</f>
        <v>347.98339125729046</v>
      </c>
      <c r="P26" s="167">
        <f>'Appndx 6.8.II.5'!AI17</f>
        <v>391.84737262800849</v>
      </c>
      <c r="Q26" s="167">
        <f>'Appndx 6.8.II.5'!AJ17</f>
        <v>426.58610936054731</v>
      </c>
      <c r="R26" s="167">
        <f>'Appndx 6.8.II.5'!AK17</f>
        <v>442.59008309327965</v>
      </c>
      <c r="S26" s="167">
        <f>'Appndx 6.8.II.5'!AL17</f>
        <v>469.2512596112735</v>
      </c>
      <c r="T26" s="167">
        <f>'Appndx 6.8.II.5'!AM17</f>
        <v>484.93225288290358</v>
      </c>
      <c r="U26" s="167">
        <f>'Appndx 6.8.II.5'!AN17</f>
        <v>503.27763471608745</v>
      </c>
      <c r="V26" s="167">
        <f>'Appndx 6.8.II.5'!AO17</f>
        <v>525.44923899800187</v>
      </c>
      <c r="W26" s="167">
        <f>'Appndx 6.8.II.5'!AP17</f>
        <v>548.43172015159848</v>
      </c>
      <c r="X26" s="167">
        <f>'Appndx 6.8.II.5'!AQ17</f>
        <v>584.41674060841797</v>
      </c>
      <c r="Y26" s="167">
        <f>'Appndx 6.8.II.5'!AR17</f>
        <v>629.51384997359241</v>
      </c>
      <c r="Z26" s="167">
        <f>'Appndx 6.8.II.5'!AS17</f>
        <v>689.33894427325106</v>
      </c>
      <c r="AA26" s="167">
        <f>'Appndx 6.8.II.5'!AT17</f>
        <v>753.33113522681447</v>
      </c>
      <c r="AB26" s="167">
        <f>'Appndx 6.8.II.5'!AU17</f>
        <v>835.85126617602316</v>
      </c>
      <c r="AC26" s="167">
        <f>'Appndx 6.8.II.5'!AV17</f>
        <v>928.3262407092185</v>
      </c>
      <c r="AD26" s="167">
        <f>'Appndx 6.8.II.5'!AW17</f>
        <v>1032.4109896184032</v>
      </c>
      <c r="AE26" s="167">
        <f>'Appndx 6.8.II.5'!AX17</f>
        <v>1145.8564474489679</v>
      </c>
      <c r="AF26" s="167">
        <f>'Appndx 6.8.II.5'!AY17</f>
        <v>1256.3166880969834</v>
      </c>
      <c r="AG26" s="167">
        <f>'Appndx 6.8.II.5'!AZ17</f>
        <v>1429.5600183096158</v>
      </c>
      <c r="AH26" s="167">
        <f>'Appndx 6.8.II.5'!BA17</f>
        <v>1763.5896893717152</v>
      </c>
      <c r="AI26" s="167">
        <f>'Appndx 6.8.II.5'!BB17</f>
        <v>1983.0408217262741</v>
      </c>
      <c r="AJ26" s="167">
        <f>'Appndx 6.8.II.5'!BC17</f>
        <v>2204.9619793215516</v>
      </c>
      <c r="AK26" s="167">
        <f>'Appndx 6.8.II.5'!BD17</f>
        <v>2477.8222116408642</v>
      </c>
      <c r="AL26" s="167">
        <f>'Appndx 6.8.II.5'!BE17</f>
        <v>2835.8341845926311</v>
      </c>
      <c r="AM26" s="167">
        <f>'Appndx 6.8.II.5'!BF17</f>
        <v>3283.9472079486031</v>
      </c>
      <c r="AN26" s="167">
        <f>'Appndx 6.8.II.5'!BG17</f>
        <v>3800.0711216002469</v>
      </c>
      <c r="AO26" s="167">
        <f>'Appndx 6.8.II.5'!BH17</f>
        <v>4326.9839530503541</v>
      </c>
      <c r="AP26" s="167">
        <f>'Appndx 6.8.II.5'!BI17</f>
        <v>4638.9577760993016</v>
      </c>
      <c r="AQ26" s="167">
        <f>'Appndx 6.8.II.5'!BJ17</f>
        <v>4822.6751063715528</v>
      </c>
      <c r="AR26" s="167">
        <f>'Appndx 6.8.II.5'!BK17</f>
        <v>5136.9718432926129</v>
      </c>
      <c r="AS26" s="167">
        <f>'Appndx 6.8.II.5'!BL17</f>
        <v>5450.7339934434549</v>
      </c>
      <c r="AT26" s="167">
        <f>'Appndx 6.8.II.5'!BM17</f>
        <v>5739.714132823804</v>
      </c>
      <c r="AU26" s="167">
        <f>'Appndx 6.8.II.5'!BN17</f>
        <v>6092.1964278163705</v>
      </c>
      <c r="AV26" s="167">
        <f>'Appndx 6.8.II.5'!BO17</f>
        <v>6531.1328708283454</v>
      </c>
      <c r="AW26" s="167">
        <f>'Appndx 6.8.II.5'!BP17</f>
        <v>6967.2695129476142</v>
      </c>
      <c r="AX26" s="167">
        <f>'Appndx 6.8.II.5'!BQ17</f>
        <v>7416.8195516211827</v>
      </c>
      <c r="AY26" s="167">
        <f>'Appndx 6.8.II.5'!BR17</f>
        <v>7670.8141193721458</v>
      </c>
      <c r="AZ26" s="167">
        <f>'Appndx 6.8.II.5'!BS17</f>
        <v>8013.0348011428432</v>
      </c>
      <c r="BA26" s="167">
        <f>'Appndx 6.8.II.5'!BT17</f>
        <v>8456.6793089390594</v>
      </c>
      <c r="BB26" s="167">
        <f>'Appndx 6.8.II.5'!BU17</f>
        <v>8977.8033935969743</v>
      </c>
      <c r="BC26" s="167">
        <f>'Appndx 6.8.II.5'!BV17</f>
        <v>9530.4326970320108</v>
      </c>
      <c r="BD26" s="167">
        <f>'Appndx 6.8.II.5'!BW17</f>
        <v>10053.447802744928</v>
      </c>
      <c r="BE26" s="167">
        <f>'Appndx 6.8.II.5'!BX17</f>
        <v>10645.467618064265</v>
      </c>
      <c r="BF26" s="167">
        <f>'Appndx 6.8.II.5'!BY17</f>
        <v>11273.091065707426</v>
      </c>
      <c r="BG26" s="167">
        <f>'Appndx 6.8.II.5'!BZ17</f>
        <v>11967.667396537861</v>
      </c>
      <c r="BH26" s="167">
        <f>'Appndx 6.8.II.5'!CA17</f>
        <v>12840.566656941339</v>
      </c>
      <c r="BI26" s="167">
        <f>'Appndx 6.8.II.5'!CB17</f>
        <v>13620.733166343192</v>
      </c>
      <c r="BJ26" s="167">
        <f>'Appndx 6.8.II.5'!CC17</f>
        <v>14281.233872520141</v>
      </c>
      <c r="BK26" s="167">
        <f>'Appndx 6.8.II.5'!CD17</f>
        <v>14892.479153434093</v>
      </c>
      <c r="BL26" s="167">
        <f>'Appndx 6.8.II.5'!CE17</f>
        <v>16199.660108377739</v>
      </c>
      <c r="BM26" s="167">
        <f>'Appndx 6.8.II.5'!CF17</f>
        <v>17723.462355358093</v>
      </c>
      <c r="BN26" s="167">
        <f>'Appndx 6.8.II.5'!CG17</f>
        <v>19265.16196987102</v>
      </c>
      <c r="BO26" s="167">
        <f>'Appndx 6.8.II.5'!CH17</f>
        <v>20353.558169953449</v>
      </c>
      <c r="BP26" s="167">
        <f>'Appndx 6.8.II.5'!CI17</f>
        <v>21776.885775207476</v>
      </c>
      <c r="BQ26" s="167">
        <f>'Appndx 6.8.II.5'!CJ17</f>
        <v>21294.719040537588</v>
      </c>
      <c r="BR26" s="167">
        <f>'Appndx 6.8.II.5'!CK17</f>
        <v>21982.081961583935</v>
      </c>
      <c r="BS26" s="167">
        <f>'Appndx 6.8.II.5'!CL17</f>
        <v>23023.968602353023</v>
      </c>
      <c r="BT26" s="167"/>
    </row>
    <row r="27" spans="1:92" s="8" customFormat="1" ht="12" x14ac:dyDescent="0.3">
      <c r="A27" s="21"/>
      <c r="B27" s="21" t="s">
        <v>492</v>
      </c>
      <c r="C27" s="152" t="s">
        <v>512</v>
      </c>
      <c r="D27" s="30" t="s">
        <v>486</v>
      </c>
      <c r="E27" s="251">
        <f>'Appndx 6.8.II.6'!D36</f>
        <v>20.679205132210768</v>
      </c>
      <c r="F27" s="251">
        <f>'Appndx 6.8.II.6'!D36</f>
        <v>20.679205132210768</v>
      </c>
      <c r="G27" s="251">
        <f>'Appndx 6.8.II.6'!E36</f>
        <v>25.192420766142597</v>
      </c>
      <c r="H27" s="251">
        <f>'Appndx 6.8.II.6'!F36</f>
        <v>28.798097438081573</v>
      </c>
      <c r="I27" s="251">
        <f>'Appndx 6.8.II.6'!G36</f>
        <v>28.522770172059257</v>
      </c>
      <c r="J27" s="251">
        <f>'Appndx 6.8.II.6'!H36</f>
        <v>35.698296662308252</v>
      </c>
      <c r="K27" s="251">
        <f>'Appndx 6.8.II.6'!I36</f>
        <v>42.236510818829736</v>
      </c>
      <c r="L27" s="251">
        <f>'Appndx 6.8.II.6'!J36</f>
        <v>44.247657279215701</v>
      </c>
      <c r="M27" s="251">
        <f>'Appndx 6.8.II.6'!K36</f>
        <v>46.101106902196868</v>
      </c>
      <c r="N27" s="251">
        <f>'Appndx 6.8.II.6'!L36</f>
        <v>46.037479118531458</v>
      </c>
      <c r="O27" s="251">
        <f>'Appndx 6.8.II.6'!M36</f>
        <v>52.783849521132417</v>
      </c>
      <c r="P27" s="251">
        <f>'Appndx 6.8.II.6'!N36</f>
        <v>58.82817443841661</v>
      </c>
      <c r="Q27" s="251">
        <f>'Appndx 6.8.II.6'!O36</f>
        <v>61.555841212633254</v>
      </c>
      <c r="R27" s="251">
        <f>'Appndx 6.8.II.6'!P36</f>
        <v>64.385195163559317</v>
      </c>
      <c r="S27" s="251">
        <f>'Appndx 6.8.II.6'!Q36</f>
        <v>71.887190802107952</v>
      </c>
      <c r="T27" s="251">
        <f>'Appndx 6.8.II.6'!R36</f>
        <v>75.131602454698012</v>
      </c>
      <c r="U27" s="251">
        <f>'Appndx 6.8.II.6'!S36</f>
        <v>79.951424202115419</v>
      </c>
      <c r="V27" s="251">
        <f>'Appndx 6.8.II.6'!T36</f>
        <v>85.598913314109865</v>
      </c>
      <c r="W27" s="251">
        <f>'Appndx 6.8.II.6'!U36</f>
        <v>92.286829014028442</v>
      </c>
      <c r="X27" s="251">
        <f>'Appndx 6.8.II.6'!V36</f>
        <v>98.739809944220298</v>
      </c>
      <c r="Y27" s="251">
        <f>'Appndx 6.8.II.6'!W36</f>
        <v>110.67590041194181</v>
      </c>
      <c r="Z27" s="251">
        <f>'Appndx 6.8.II.6'!X36</f>
        <v>124.34313597668942</v>
      </c>
      <c r="AA27" s="251">
        <f>'Appndx 6.8.II.6'!Y36</f>
        <v>137.24580548411166</v>
      </c>
      <c r="AB27" s="251">
        <f>'Appndx 6.8.II.6'!Z36</f>
        <v>150.87303700128405</v>
      </c>
      <c r="AC27" s="251">
        <f>'Appndx 6.8.II.6'!AA36</f>
        <v>171.15395912880993</v>
      </c>
      <c r="AD27" s="251">
        <f>'Appndx 6.8.II.6'!AB36</f>
        <v>180.55257216240722</v>
      </c>
      <c r="AE27" s="251">
        <f>'Appndx 6.8.II.6'!AC36</f>
        <v>192.3602938159656</v>
      </c>
      <c r="AF27" s="251">
        <f>'Appndx 6.8.II.6'!AD36</f>
        <v>217.69574074296509</v>
      </c>
      <c r="AG27" s="251">
        <f>'Appndx 6.8.II.6'!AE36</f>
        <v>255.48484004450162</v>
      </c>
      <c r="AH27" s="251">
        <f>'Appndx 6.8.II.6'!AF36</f>
        <v>305.85949207229743</v>
      </c>
      <c r="AI27" s="251">
        <f>'Appndx 6.8.II.6'!AG36</f>
        <v>319.47433109182992</v>
      </c>
      <c r="AJ27" s="251">
        <f>'Appndx 6.8.II.6'!AH36</f>
        <v>356.5855886169328</v>
      </c>
      <c r="AK27" s="251">
        <f>'Appndx 6.8.II.6'!AI36</f>
        <v>402.92180749652169</v>
      </c>
      <c r="AL27" s="251">
        <f>'Appndx 6.8.II.6'!AJ36</f>
        <v>448.62151298926949</v>
      </c>
      <c r="AM27" s="251">
        <f>'Appndx 6.8.II.6'!AK36</f>
        <v>512.02437360885483</v>
      </c>
      <c r="AN27" s="251">
        <f>'Appndx 6.8.II.6'!AL36</f>
        <v>555.66517498304188</v>
      </c>
      <c r="AO27" s="251">
        <f>'Appndx 6.8.II.6'!AM36</f>
        <v>618.23447373871477</v>
      </c>
      <c r="AP27" s="251">
        <f>'Appndx 6.8.II.6'!AN36</f>
        <v>632.46576061769952</v>
      </c>
      <c r="AQ27" s="251">
        <f>'Appndx 6.8.II.6'!AO36</f>
        <v>673.28748132214685</v>
      </c>
      <c r="AR27" s="251">
        <f>'Appndx 6.8.II.6'!AP36</f>
        <v>745.48610438022331</v>
      </c>
      <c r="AS27" s="251">
        <f>'Appndx 6.8.II.6'!AQ36</f>
        <v>816.6092674480941</v>
      </c>
      <c r="AT27" s="251">
        <f>'Appndx 6.8.II.6'!AR36</f>
        <v>863.73345827911351</v>
      </c>
      <c r="AU27" s="251">
        <f>'Appndx 6.8.II.6'!AS36</f>
        <v>1001.0835274673241</v>
      </c>
      <c r="AV27" s="251">
        <f>'Appndx 6.8.II.6'!AT36</f>
        <v>1033.0372161461623</v>
      </c>
      <c r="AW27" s="251">
        <f>'Appndx 6.8.II.6'!AU36</f>
        <v>1085.4260484451499</v>
      </c>
      <c r="AX27" s="251">
        <f>'Appndx 6.8.II.6'!AV36</f>
        <v>1117.8659765449588</v>
      </c>
      <c r="AY27" s="251">
        <f>'Appndx 6.8.II.6'!AW36</f>
        <v>1136.6205207754281</v>
      </c>
      <c r="AZ27" s="251">
        <f>'Appndx 6.8.II.6'!AX36</f>
        <v>1197.2066482062226</v>
      </c>
      <c r="BA27" s="251">
        <f>'Appndx 6.8.II.6'!AY36</f>
        <v>1248.1807153567675</v>
      </c>
      <c r="BB27" s="251">
        <f>'Appndx 6.8.II.6'!AZ36</f>
        <v>1497.3096862916916</v>
      </c>
      <c r="BC27" s="251">
        <f>'Appndx 6.8.II.6'!BA36</f>
        <v>1398.7712255896906</v>
      </c>
      <c r="BD27" s="251">
        <f>'Appndx 6.8.II.6'!BB36</f>
        <v>1462.1430433999501</v>
      </c>
      <c r="BE27" s="251">
        <f>'Appndx 6.8.II.6'!BC36</f>
        <v>1528.9685730887372</v>
      </c>
      <c r="BF27" s="251">
        <f>'Appndx 6.8.II.6'!BD36</f>
        <v>1584.0415359713077</v>
      </c>
      <c r="BG27" s="251">
        <f>'Appndx 6.8.II.6'!BE36</f>
        <v>1689.7026792623369</v>
      </c>
      <c r="BH27" s="251">
        <f>'Appndx 6.8.II.6'!BF36</f>
        <v>1816.0446863635439</v>
      </c>
      <c r="BI27" s="251">
        <f>'Appndx 6.8.II.6'!BG36</f>
        <v>1786.6163472184146</v>
      </c>
      <c r="BJ27" s="251">
        <f>'Appndx 6.8.II.6'!BH36</f>
        <v>1874.0735822511861</v>
      </c>
      <c r="BK27" s="251">
        <f>'Appndx 6.8.II.6'!BI36</f>
        <v>1978.6162598011001</v>
      </c>
      <c r="BL27" s="251">
        <f>'Appndx 6.8.II.6'!BJ36</f>
        <v>2187.029189209532</v>
      </c>
      <c r="BM27" s="251">
        <f>'Appndx 6.8.II.6'!BK36</f>
        <v>2394.0856296596257</v>
      </c>
      <c r="BN27" s="251">
        <f>'Appndx 6.8.II.6'!BL36</f>
        <v>2578.0911416919548</v>
      </c>
      <c r="BO27" s="251">
        <f>'Appndx 6.8.II.6'!BM36</f>
        <v>2676.2145302377912</v>
      </c>
      <c r="BP27" s="251">
        <f>'Appndx 6.8.II.6'!BN36</f>
        <v>2675.8930681927864</v>
      </c>
      <c r="BQ27" s="251">
        <f>'Appndx 6.8.II.6'!BO36</f>
        <v>2562.0641598565662</v>
      </c>
      <c r="BR27" s="251">
        <f>'Appndx 6.8.II.6'!BP36</f>
        <v>2726.9972616749069</v>
      </c>
      <c r="BS27" s="251">
        <f>'Appndx 6.8.II.6'!BQ36</f>
        <v>2937.5306801676561</v>
      </c>
    </row>
    <row r="28" spans="1:92" s="8" customFormat="1" ht="24" x14ac:dyDescent="0.3">
      <c r="A28" s="21"/>
      <c r="B28" s="21" t="s">
        <v>494</v>
      </c>
      <c r="C28" s="152" t="s">
        <v>495</v>
      </c>
      <c r="D28" s="30" t="s">
        <v>496</v>
      </c>
      <c r="E28" s="167">
        <f>E26+E27</f>
        <v>173.22216753006873</v>
      </c>
      <c r="F28" s="167">
        <f>E28</f>
        <v>173.22216753006873</v>
      </c>
      <c r="G28" s="167">
        <f t="shared" ref="G28:BR28" si="0">G26+G27</f>
        <v>195.77525447589028</v>
      </c>
      <c r="H28" s="167">
        <f t="shared" si="0"/>
        <v>220.48169024460137</v>
      </c>
      <c r="I28" s="167">
        <f t="shared" si="0"/>
        <v>229.22753978182587</v>
      </c>
      <c r="J28" s="167">
        <f t="shared" si="0"/>
        <v>265.90430319132207</v>
      </c>
      <c r="K28" s="167">
        <f t="shared" si="0"/>
        <v>298.08630496485227</v>
      </c>
      <c r="L28" s="167">
        <f t="shared" si="0"/>
        <v>320.98049909442409</v>
      </c>
      <c r="M28" s="167">
        <f t="shared" si="0"/>
        <v>342.63666538867392</v>
      </c>
      <c r="N28" s="167">
        <f t="shared" si="0"/>
        <v>357.27258180911912</v>
      </c>
      <c r="O28" s="167">
        <f t="shared" si="0"/>
        <v>400.76724077842289</v>
      </c>
      <c r="P28" s="167">
        <f t="shared" si="0"/>
        <v>450.67554706642511</v>
      </c>
      <c r="Q28" s="167">
        <f t="shared" si="0"/>
        <v>488.14195057318057</v>
      </c>
      <c r="R28" s="167">
        <f t="shared" si="0"/>
        <v>506.97527825683898</v>
      </c>
      <c r="S28" s="167">
        <f t="shared" si="0"/>
        <v>541.13845041338141</v>
      </c>
      <c r="T28" s="167">
        <f t="shared" si="0"/>
        <v>560.06385533760158</v>
      </c>
      <c r="U28" s="167">
        <f t="shared" si="0"/>
        <v>583.2290589182029</v>
      </c>
      <c r="V28" s="167">
        <f t="shared" si="0"/>
        <v>611.04815231211171</v>
      </c>
      <c r="W28" s="167">
        <f t="shared" si="0"/>
        <v>640.71854916562688</v>
      </c>
      <c r="X28" s="167">
        <f t="shared" si="0"/>
        <v>683.15655055263824</v>
      </c>
      <c r="Y28" s="167">
        <f t="shared" si="0"/>
        <v>740.18975038553424</v>
      </c>
      <c r="Z28" s="167">
        <f t="shared" si="0"/>
        <v>813.68208024994044</v>
      </c>
      <c r="AA28" s="167">
        <f t="shared" si="0"/>
        <v>890.57694071092612</v>
      </c>
      <c r="AB28" s="167">
        <f t="shared" si="0"/>
        <v>986.72430317730721</v>
      </c>
      <c r="AC28" s="167">
        <f t="shared" si="0"/>
        <v>1099.4801998380285</v>
      </c>
      <c r="AD28" s="167">
        <f t="shared" si="0"/>
        <v>1212.9635617808103</v>
      </c>
      <c r="AE28" s="167">
        <f t="shared" si="0"/>
        <v>1338.2167412649335</v>
      </c>
      <c r="AF28" s="167">
        <f t="shared" si="0"/>
        <v>1474.0124288399484</v>
      </c>
      <c r="AG28" s="167">
        <f t="shared" si="0"/>
        <v>1685.0448583541174</v>
      </c>
      <c r="AH28" s="167">
        <f t="shared" si="0"/>
        <v>2069.4491814440125</v>
      </c>
      <c r="AI28" s="167">
        <f t="shared" si="0"/>
        <v>2302.5151528181041</v>
      </c>
      <c r="AJ28" s="167">
        <f t="shared" si="0"/>
        <v>2561.5475679384845</v>
      </c>
      <c r="AK28" s="167">
        <f t="shared" si="0"/>
        <v>2880.7440191373857</v>
      </c>
      <c r="AL28" s="167">
        <f t="shared" si="0"/>
        <v>3284.4556975819005</v>
      </c>
      <c r="AM28" s="167">
        <f t="shared" si="0"/>
        <v>3795.9715815574582</v>
      </c>
      <c r="AN28" s="167">
        <f t="shared" si="0"/>
        <v>4355.736296583289</v>
      </c>
      <c r="AO28" s="167">
        <f t="shared" si="0"/>
        <v>4945.2184267890689</v>
      </c>
      <c r="AP28" s="167">
        <f t="shared" si="0"/>
        <v>5271.4235367170013</v>
      </c>
      <c r="AQ28" s="167">
        <f t="shared" si="0"/>
        <v>5495.9625876936998</v>
      </c>
      <c r="AR28" s="167">
        <f t="shared" si="0"/>
        <v>5882.4579476728359</v>
      </c>
      <c r="AS28" s="167">
        <f t="shared" si="0"/>
        <v>6267.3432608915491</v>
      </c>
      <c r="AT28" s="167">
        <f t="shared" si="0"/>
        <v>6603.4475911029176</v>
      </c>
      <c r="AU28" s="167">
        <f t="shared" si="0"/>
        <v>7093.279955283695</v>
      </c>
      <c r="AV28" s="167">
        <f t="shared" si="0"/>
        <v>7564.1700869745073</v>
      </c>
      <c r="AW28" s="167">
        <f t="shared" si="0"/>
        <v>8052.6955613927639</v>
      </c>
      <c r="AX28" s="167">
        <f t="shared" si="0"/>
        <v>8534.685528166141</v>
      </c>
      <c r="AY28" s="167">
        <f t="shared" si="0"/>
        <v>8807.4346401475741</v>
      </c>
      <c r="AZ28" s="167">
        <f t="shared" si="0"/>
        <v>9210.2414493490651</v>
      </c>
      <c r="BA28" s="167">
        <f t="shared" si="0"/>
        <v>9704.8600242958273</v>
      </c>
      <c r="BB28" s="167">
        <f t="shared" si="0"/>
        <v>10475.113079888666</v>
      </c>
      <c r="BC28" s="167">
        <f t="shared" si="0"/>
        <v>10929.203922621702</v>
      </c>
      <c r="BD28" s="167">
        <f t="shared" si="0"/>
        <v>11515.590846144878</v>
      </c>
      <c r="BE28" s="167">
        <f t="shared" si="0"/>
        <v>12174.436191153003</v>
      </c>
      <c r="BF28" s="167">
        <f t="shared" si="0"/>
        <v>12857.132601678733</v>
      </c>
      <c r="BG28" s="167">
        <f t="shared" si="0"/>
        <v>13657.370075800198</v>
      </c>
      <c r="BH28" s="167">
        <f t="shared" si="0"/>
        <v>14656.611343304883</v>
      </c>
      <c r="BI28" s="167">
        <f t="shared" si="0"/>
        <v>15407.349513561607</v>
      </c>
      <c r="BJ28" s="167">
        <f t="shared" si="0"/>
        <v>16155.307454771326</v>
      </c>
      <c r="BK28" s="167">
        <f t="shared" si="0"/>
        <v>16871.095413235194</v>
      </c>
      <c r="BL28" s="167">
        <f t="shared" si="0"/>
        <v>18386.689297587269</v>
      </c>
      <c r="BM28" s="167">
        <f t="shared" si="0"/>
        <v>20117.547985017718</v>
      </c>
      <c r="BN28" s="167">
        <f t="shared" si="0"/>
        <v>21843.253111562975</v>
      </c>
      <c r="BO28" s="167">
        <f t="shared" si="0"/>
        <v>23029.772700191239</v>
      </c>
      <c r="BP28" s="167">
        <f t="shared" si="0"/>
        <v>24452.778843400261</v>
      </c>
      <c r="BQ28" s="167">
        <f t="shared" si="0"/>
        <v>23856.783200394155</v>
      </c>
      <c r="BR28" s="167">
        <f t="shared" si="0"/>
        <v>24709.079223258843</v>
      </c>
      <c r="BS28" s="167">
        <f>BS26+BS27</f>
        <v>25961.499282520679</v>
      </c>
    </row>
    <row r="29" spans="1:92" s="8" customFormat="1" ht="12" x14ac:dyDescent="0.3">
      <c r="A29" s="21"/>
      <c r="B29" s="21"/>
      <c r="C29" s="152"/>
      <c r="D29" s="30"/>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c r="AG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7"/>
      <c r="BF29" s="167"/>
      <c r="BG29" s="167"/>
      <c r="BH29" s="167"/>
      <c r="BI29" s="167"/>
      <c r="BJ29" s="167"/>
      <c r="BK29" s="167"/>
      <c r="BL29" s="167"/>
      <c r="BM29" s="167"/>
      <c r="BN29" s="167"/>
      <c r="BO29" s="167"/>
      <c r="BP29" s="167"/>
      <c r="BQ29" s="167"/>
      <c r="BR29" s="167"/>
      <c r="BS29" s="167"/>
    </row>
    <row r="30" spans="1:92" s="8" customFormat="1" ht="24" x14ac:dyDescent="0.3">
      <c r="A30" s="300">
        <f>AVERAGE(G30:BS30)</f>
        <v>0.45506548072058151</v>
      </c>
      <c r="B30" s="21" t="s">
        <v>517</v>
      </c>
      <c r="C30" s="130" t="s">
        <v>516</v>
      </c>
      <c r="D30" s="21" t="s">
        <v>331</v>
      </c>
      <c r="G30" s="131">
        <f>G22/E28</f>
        <v>0.68466987621207798</v>
      </c>
      <c r="H30" s="131">
        <f t="shared" ref="H30:AL30" si="1">H22/G28</f>
        <v>0.69467410661314399</v>
      </c>
      <c r="I30" s="131">
        <f t="shared" si="1"/>
        <v>0.60050337900220219</v>
      </c>
      <c r="J30" s="131">
        <f t="shared" si="1"/>
        <v>0.65698912156601263</v>
      </c>
      <c r="K30" s="131">
        <f t="shared" si="1"/>
        <v>0.65023392974425054</v>
      </c>
      <c r="L30" s="131">
        <f t="shared" si="1"/>
        <v>0.60687122147839079</v>
      </c>
      <c r="M30" s="131">
        <f t="shared" si="1"/>
        <v>0.60315190656815554</v>
      </c>
      <c r="N30" s="131">
        <f t="shared" si="1"/>
        <v>0.55569067538063255</v>
      </c>
      <c r="O30" s="131">
        <f t="shared" si="1"/>
        <v>0.6037407038283239</v>
      </c>
      <c r="P30" s="131">
        <f t="shared" si="1"/>
        <v>0.57389920282222595</v>
      </c>
      <c r="Q30" s="131">
        <f t="shared" si="1"/>
        <v>0.53186821774617066</v>
      </c>
      <c r="R30" s="131">
        <f t="shared" si="1"/>
        <v>0.47834446460875218</v>
      </c>
      <c r="S30" s="131">
        <f t="shared" si="1"/>
        <v>0.51974920928295865</v>
      </c>
      <c r="T30" s="131">
        <f t="shared" si="1"/>
        <v>0.50966624121666726</v>
      </c>
      <c r="U30" s="131">
        <f t="shared" si="1"/>
        <v>0.50601372914731124</v>
      </c>
      <c r="V30" s="131">
        <f t="shared" si="1"/>
        <v>0.53135212531216325</v>
      </c>
      <c r="W30" s="131">
        <f t="shared" si="1"/>
        <v>0.54005563841627058</v>
      </c>
      <c r="X30" s="131">
        <f t="shared" si="1"/>
        <v>0.55703085303956246</v>
      </c>
      <c r="Y30" s="131">
        <f t="shared" si="1"/>
        <v>0.57395336351940329</v>
      </c>
      <c r="Z30" s="131">
        <f t="shared" si="1"/>
        <v>0.58012151583609928</v>
      </c>
      <c r="AA30" s="131">
        <f t="shared" si="1"/>
        <v>0.55463922698331181</v>
      </c>
      <c r="AB30" s="131">
        <f t="shared" si="1"/>
        <v>0.56076008390846166</v>
      </c>
      <c r="AC30" s="131">
        <f t="shared" si="1"/>
        <v>0.5499003097955506</v>
      </c>
      <c r="AD30" s="131">
        <f t="shared" si="1"/>
        <v>0.50914968735450417</v>
      </c>
      <c r="AE30" s="131">
        <f t="shared" si="1"/>
        <v>0.49803639534982541</v>
      </c>
      <c r="AF30" s="131">
        <f t="shared" si="1"/>
        <v>0.50178717639212356</v>
      </c>
      <c r="AG30" s="131">
        <f t="shared" si="1"/>
        <v>0.51105403540786232</v>
      </c>
      <c r="AH30" s="131">
        <f t="shared" si="1"/>
        <v>0.47980918489594965</v>
      </c>
      <c r="AI30" s="131">
        <f t="shared" si="1"/>
        <v>0.41817890855195794</v>
      </c>
      <c r="AJ30" s="131">
        <f t="shared" si="1"/>
        <v>0.4244923204104592</v>
      </c>
      <c r="AK30" s="131">
        <f t="shared" si="1"/>
        <v>0.43157504230526494</v>
      </c>
      <c r="AL30" s="131">
        <f t="shared" si="1"/>
        <v>0.43867139586335202</v>
      </c>
      <c r="AM30" s="131">
        <f t="shared" ref="AM30:BS30" si="2">AM22/AL28</f>
        <v>0.42628067750488741</v>
      </c>
      <c r="AN30" s="131">
        <f t="shared" si="2"/>
        <v>0.39631487424960021</v>
      </c>
      <c r="AO30" s="131">
        <f t="shared" si="2"/>
        <v>0.38978484563718474</v>
      </c>
      <c r="AP30" s="131">
        <f t="shared" si="2"/>
        <v>0.35411984848100114</v>
      </c>
      <c r="AQ30" s="131">
        <f t="shared" si="2"/>
        <v>0.35829031510077947</v>
      </c>
      <c r="AR30" s="131">
        <f t="shared" si="2"/>
        <v>0.38813946892152446</v>
      </c>
      <c r="AS30" s="131">
        <f t="shared" si="2"/>
        <v>0.38704909074628013</v>
      </c>
      <c r="AT30" s="131">
        <f t="shared" si="2"/>
        <v>0.37853359888612809</v>
      </c>
      <c r="AU30" s="131">
        <f t="shared" si="2"/>
        <v>0.38651022284765507</v>
      </c>
      <c r="AV30" s="131">
        <f t="shared" si="2"/>
        <v>0.39204712312652235</v>
      </c>
      <c r="AW30" s="131">
        <f t="shared" si="2"/>
        <v>0.38739213506660475</v>
      </c>
      <c r="AX30" s="131">
        <f t="shared" si="2"/>
        <v>0.3806054726188986</v>
      </c>
      <c r="AY30" s="131">
        <f t="shared" si="2"/>
        <v>0.36901183876152915</v>
      </c>
      <c r="AZ30" s="131">
        <f t="shared" si="2"/>
        <v>0.37581885477886884</v>
      </c>
      <c r="BA30" s="131">
        <f t="shared" si="2"/>
        <v>0.37690651424185428</v>
      </c>
      <c r="BB30" s="131">
        <f t="shared" si="2"/>
        <v>0.38506480161944967</v>
      </c>
      <c r="BC30" s="131">
        <f t="shared" si="2"/>
        <v>0.37997680498951752</v>
      </c>
      <c r="BD30" s="131">
        <f t="shared" si="2"/>
        <v>0.38545350876657952</v>
      </c>
      <c r="BE30" s="131">
        <f t="shared" si="2"/>
        <v>0.39264159871689791</v>
      </c>
      <c r="BF30" s="131">
        <f t="shared" si="2"/>
        <v>0.39276562174392898</v>
      </c>
      <c r="BG30" s="131">
        <f t="shared" si="2"/>
        <v>0.39532142643814377</v>
      </c>
      <c r="BH30" s="131">
        <f t="shared" si="2"/>
        <v>0.39718481449161236</v>
      </c>
      <c r="BI30" s="131">
        <f t="shared" si="2"/>
        <v>0.36945784214122335</v>
      </c>
      <c r="BJ30" s="131">
        <f t="shared" si="2"/>
        <v>0.35583018319759485</v>
      </c>
      <c r="BK30" s="131">
        <f t="shared" si="2"/>
        <v>0.35327708964860338</v>
      </c>
      <c r="BL30" s="131">
        <f t="shared" si="2"/>
        <v>0.36318922096742573</v>
      </c>
      <c r="BM30" s="131">
        <f t="shared" si="2"/>
        <v>0.35930883983920453</v>
      </c>
      <c r="BN30" s="131">
        <f t="shared" si="2"/>
        <v>0.34950581478599657</v>
      </c>
      <c r="BO30" s="131">
        <f t="shared" si="2"/>
        <v>0.32719943149020247</v>
      </c>
      <c r="BP30" s="131">
        <f t="shared" si="2"/>
        <v>0.30288184303017796</v>
      </c>
      <c r="BQ30" s="131">
        <f t="shared" si="2"/>
        <v>0.27656979369546331</v>
      </c>
      <c r="BR30" s="131">
        <f t="shared" si="2"/>
        <v>0.30203149936329021</v>
      </c>
      <c r="BS30" s="131">
        <f t="shared" si="2"/>
        <v>0.30815798238376291</v>
      </c>
    </row>
    <row r="31" spans="1:92" x14ac:dyDescent="0.35">
      <c r="A31" s="300">
        <f>AVERAGE(G31:BS31)</f>
        <v>0.20595245776565563</v>
      </c>
      <c r="B31" s="21" t="s">
        <v>519</v>
      </c>
      <c r="C31" s="130" t="s">
        <v>503</v>
      </c>
      <c r="D31" s="80" t="s">
        <v>332</v>
      </c>
      <c r="G31" s="118">
        <f>G23/G22</f>
        <v>0.20994940978077573</v>
      </c>
      <c r="H31" s="118">
        <f t="shared" ref="H31:BS31" si="3">H23/H22</f>
        <v>0.2360294117647059</v>
      </c>
      <c r="I31" s="118">
        <f t="shared" si="3"/>
        <v>0.22809667673716011</v>
      </c>
      <c r="J31" s="118">
        <f t="shared" si="3"/>
        <v>0.24701195219123509</v>
      </c>
      <c r="K31" s="118">
        <f t="shared" si="3"/>
        <v>0.24580682475419316</v>
      </c>
      <c r="L31" s="118">
        <f t="shared" si="3"/>
        <v>0.2244333886124931</v>
      </c>
      <c r="M31" s="118">
        <f t="shared" si="3"/>
        <v>0.21229338842975204</v>
      </c>
      <c r="N31" s="118">
        <f t="shared" si="3"/>
        <v>0.21165966386554619</v>
      </c>
      <c r="O31" s="118">
        <f t="shared" si="3"/>
        <v>0.23783031988873435</v>
      </c>
      <c r="P31" s="118">
        <f t="shared" si="3"/>
        <v>0.21869565217391307</v>
      </c>
      <c r="Q31" s="118">
        <f t="shared" si="3"/>
        <v>0.21068001668752612</v>
      </c>
      <c r="R31" s="118">
        <f t="shared" si="3"/>
        <v>0.19871520342612417</v>
      </c>
      <c r="S31" s="118">
        <f t="shared" si="3"/>
        <v>0.21897533206831118</v>
      </c>
      <c r="T31" s="118">
        <f t="shared" si="3"/>
        <v>0.20739666424945616</v>
      </c>
      <c r="U31" s="118">
        <f t="shared" si="3"/>
        <v>0.20783345095271699</v>
      </c>
      <c r="V31" s="118">
        <f t="shared" si="3"/>
        <v>0.21845756695708296</v>
      </c>
      <c r="W31" s="118">
        <f t="shared" si="3"/>
        <v>0.22484848484848485</v>
      </c>
      <c r="X31" s="118">
        <f t="shared" si="3"/>
        <v>0.23003642476884281</v>
      </c>
      <c r="Y31" s="118">
        <f t="shared" si="3"/>
        <v>0.24075490946187197</v>
      </c>
      <c r="Z31" s="118">
        <f t="shared" si="3"/>
        <v>0.23754075454122028</v>
      </c>
      <c r="AA31" s="118">
        <f t="shared" si="3"/>
        <v>0.22490582760912917</v>
      </c>
      <c r="AB31" s="118">
        <f t="shared" si="3"/>
        <v>0.2208650380456548</v>
      </c>
      <c r="AC31" s="118">
        <f t="shared" si="3"/>
        <v>0.20457058606708439</v>
      </c>
      <c r="AD31" s="118">
        <f t="shared" si="3"/>
        <v>0.18327974276527334</v>
      </c>
      <c r="AE31" s="118">
        <f t="shared" si="3"/>
        <v>0.19202118854494291</v>
      </c>
      <c r="AF31" s="118">
        <f t="shared" si="3"/>
        <v>0.19612807148175723</v>
      </c>
      <c r="AG31" s="118">
        <f t="shared" si="3"/>
        <v>0.19275189167662282</v>
      </c>
      <c r="AH31" s="118">
        <f t="shared" si="3"/>
        <v>0.17612863327149042</v>
      </c>
      <c r="AI31" s="118">
        <f t="shared" si="3"/>
        <v>0.19193436561127805</v>
      </c>
      <c r="AJ31" s="118">
        <f t="shared" si="3"/>
        <v>0.19510947411499899</v>
      </c>
      <c r="AK31" s="118">
        <f t="shared" si="3"/>
        <v>0.19963817277250115</v>
      </c>
      <c r="AL31" s="118">
        <f t="shared" si="3"/>
        <v>0.20028487773996997</v>
      </c>
      <c r="AM31" s="118">
        <f t="shared" si="3"/>
        <v>0.18791514891793443</v>
      </c>
      <c r="AN31" s="118">
        <f t="shared" si="3"/>
        <v>0.16996809359212975</v>
      </c>
      <c r="AO31" s="118">
        <f t="shared" si="3"/>
        <v>0.1786429496996112</v>
      </c>
      <c r="AP31" s="118">
        <f t="shared" si="3"/>
        <v>0.16908405664687073</v>
      </c>
      <c r="AQ31" s="118">
        <f t="shared" si="3"/>
        <v>0.18218880711600571</v>
      </c>
      <c r="AR31" s="118">
        <f t="shared" si="3"/>
        <v>0.19862178886180384</v>
      </c>
      <c r="AS31" s="118">
        <f t="shared" si="3"/>
        <v>0.19558151791988754</v>
      </c>
      <c r="AT31" s="118">
        <f t="shared" si="3"/>
        <v>0.18226268757376496</v>
      </c>
      <c r="AU31" s="118">
        <f t="shared" si="3"/>
        <v>0.18763468244328646</v>
      </c>
      <c r="AV31" s="118">
        <f t="shared" si="3"/>
        <v>0.19723830414613977</v>
      </c>
      <c r="AW31" s="118">
        <f t="shared" si="3"/>
        <v>0.19602088523359384</v>
      </c>
      <c r="AX31" s="118">
        <f t="shared" si="3"/>
        <v>0.18917419817938594</v>
      </c>
      <c r="AY31" s="118">
        <f t="shared" si="3"/>
        <v>0.18800406426620944</v>
      </c>
      <c r="AZ31" s="118">
        <f t="shared" si="3"/>
        <v>0.18386706948640483</v>
      </c>
      <c r="BA31" s="118">
        <f t="shared" si="3"/>
        <v>0.1847093391715158</v>
      </c>
      <c r="BB31" s="118">
        <f t="shared" si="3"/>
        <v>0.19531709927749535</v>
      </c>
      <c r="BC31" s="118">
        <f t="shared" si="3"/>
        <v>0.20732105620179386</v>
      </c>
      <c r="BD31" s="118">
        <f t="shared" si="3"/>
        <v>0.21532508842310155</v>
      </c>
      <c r="BE31" s="118">
        <f t="shared" si="3"/>
        <v>0.21913081941833465</v>
      </c>
      <c r="BF31" s="118">
        <f t="shared" si="3"/>
        <v>0.20210385427776734</v>
      </c>
      <c r="BG31" s="118">
        <f t="shared" si="3"/>
        <v>0.19922482145316472</v>
      </c>
      <c r="BH31" s="118">
        <f t="shared" si="3"/>
        <v>0.18569453405843855</v>
      </c>
      <c r="BI31" s="118">
        <f t="shared" si="3"/>
        <v>0.17844875346260389</v>
      </c>
      <c r="BJ31" s="118">
        <f t="shared" si="3"/>
        <v>0.18413468553917992</v>
      </c>
      <c r="BK31" s="118">
        <f t="shared" si="3"/>
        <v>0.19001979920452752</v>
      </c>
      <c r="BL31" s="118">
        <f t="shared" si="3"/>
        <v>0.2134347357770017</v>
      </c>
      <c r="BM31" s="118">
        <f t="shared" si="3"/>
        <v>0.22875955498372819</v>
      </c>
      <c r="BN31" s="118">
        <f t="shared" si="3"/>
        <v>0.23525145067698255</v>
      </c>
      <c r="BO31" s="118">
        <f t="shared" si="3"/>
        <v>0.21706706216507396</v>
      </c>
      <c r="BP31" s="118">
        <f t="shared" si="3"/>
        <v>0.18472323771020596</v>
      </c>
      <c r="BQ31" s="118">
        <f t="shared" si="3"/>
        <v>0.20949592630380459</v>
      </c>
      <c r="BR31" s="118">
        <f t="shared" si="3"/>
        <v>0.24128790507251405</v>
      </c>
      <c r="BS31" s="118">
        <f t="shared" si="3"/>
        <v>0.24459241164650722</v>
      </c>
    </row>
    <row r="32" spans="1:92" s="21" customFormat="1" ht="24" x14ac:dyDescent="0.3">
      <c r="A32" s="300">
        <f>AVERAGE(G32:BS32)</f>
        <v>9.4742506689449016E-2</v>
      </c>
      <c r="B32" s="21" t="s">
        <v>518</v>
      </c>
      <c r="C32" s="21" t="s">
        <v>523</v>
      </c>
      <c r="D32" s="30" t="s">
        <v>213</v>
      </c>
      <c r="E32" s="301"/>
      <c r="F32" s="301"/>
      <c r="G32" s="302">
        <f>G23/E28</f>
        <v>0.14374603640540254</v>
      </c>
      <c r="H32" s="302">
        <f t="shared" ref="H32:AL32" si="4">H23/G28</f>
        <v>0.16396352075207296</v>
      </c>
      <c r="I32" s="302">
        <f t="shared" si="4"/>
        <v>0.13697282511983766</v>
      </c>
      <c r="J32" s="302">
        <f t="shared" si="4"/>
        <v>0.16228416548642546</v>
      </c>
      <c r="K32" s="302">
        <f t="shared" si="4"/>
        <v>0.15983193761787534</v>
      </c>
      <c r="L32" s="302">
        <f t="shared" si="4"/>
        <v>0.13620216468779806</v>
      </c>
      <c r="M32" s="302">
        <f t="shared" si="4"/>
        <v>0.12804516198321894</v>
      </c>
      <c r="N32" s="302">
        <f t="shared" si="4"/>
        <v>0.11761730156428303</v>
      </c>
      <c r="O32" s="302">
        <f t="shared" si="4"/>
        <v>0.1435878447213399</v>
      </c>
      <c r="P32" s="302">
        <f t="shared" si="4"/>
        <v>0.12550926044329552</v>
      </c>
      <c r="Q32" s="302">
        <f t="shared" si="4"/>
        <v>0.112054004990328</v>
      </c>
      <c r="R32" s="302">
        <f t="shared" si="4"/>
        <v>9.5054317592488641E-2</v>
      </c>
      <c r="S32" s="302">
        <f t="shared" si="4"/>
        <v>0.11381225569497803</v>
      </c>
      <c r="T32" s="302">
        <f t="shared" si="4"/>
        <v>0.10570307830889546</v>
      </c>
      <c r="U32" s="302">
        <f t="shared" si="4"/>
        <v>0.10516657955813914</v>
      </c>
      <c r="V32" s="302">
        <f t="shared" si="4"/>
        <v>0.11607789249317023</v>
      </c>
      <c r="W32" s="302">
        <f t="shared" si="4"/>
        <v>0.12143069203177961</v>
      </c>
      <c r="X32" s="302">
        <f t="shared" si="4"/>
        <v>0.12813738591915966</v>
      </c>
      <c r="Y32" s="302">
        <f t="shared" si="4"/>
        <v>0.13818209006945084</v>
      </c>
      <c r="Z32" s="302">
        <f t="shared" si="4"/>
        <v>0.13780250259730348</v>
      </c>
      <c r="AA32" s="302">
        <f t="shared" si="4"/>
        <v>0.12474159436916939</v>
      </c>
      <c r="AB32" s="302">
        <f t="shared" si="4"/>
        <v>0.12385229726692695</v>
      </c>
      <c r="AC32" s="302">
        <f t="shared" si="4"/>
        <v>0.11249342865334706</v>
      </c>
      <c r="AD32" s="302">
        <f t="shared" si="4"/>
        <v>9.3316823727352866E-2</v>
      </c>
      <c r="AE32" s="302">
        <f t="shared" si="4"/>
        <v>9.5633540573712553E-2</v>
      </c>
      <c r="AF32" s="302">
        <f t="shared" si="4"/>
        <v>9.8414551200063552E-2</v>
      </c>
      <c r="AG32" s="302">
        <f t="shared" si="4"/>
        <v>9.8506632073837239E-2</v>
      </c>
      <c r="AH32" s="302">
        <f t="shared" si="4"/>
        <v>8.450813596683146E-2</v>
      </c>
      <c r="AI32" s="302">
        <f t="shared" si="4"/>
        <v>8.0262903524936716E-2</v>
      </c>
      <c r="AJ32" s="302">
        <f t="shared" si="4"/>
        <v>8.2822473401140337E-2</v>
      </c>
      <c r="AK32" s="302">
        <f t="shared" si="4"/>
        <v>8.6158852860037979E-2</v>
      </c>
      <c r="AL32" s="302">
        <f t="shared" si="4"/>
        <v>8.7859246888513431E-2</v>
      </c>
      <c r="AM32" s="302">
        <f t="shared" ref="AM32:BS32" si="5">AM23/AL28</f>
        <v>8.01045969941689E-2</v>
      </c>
      <c r="AN32" s="302">
        <f t="shared" si="5"/>
        <v>6.7360883638409169E-2</v>
      </c>
      <c r="AO32" s="302">
        <f t="shared" si="5"/>
        <v>6.9632314572834308E-2</v>
      </c>
      <c r="AP32" s="302">
        <f t="shared" si="5"/>
        <v>5.9876020520342882E-2</v>
      </c>
      <c r="AQ32" s="302">
        <f t="shared" si="5"/>
        <v>6.5276485109428808E-2</v>
      </c>
      <c r="AR32" s="302">
        <f t="shared" si="5"/>
        <v>7.7092955645063702E-2</v>
      </c>
      <c r="AS32" s="302">
        <f t="shared" si="5"/>
        <v>7.5699648677669762E-2</v>
      </c>
      <c r="AT32" s="302">
        <f t="shared" si="5"/>
        <v>6.8992551069955221E-2</v>
      </c>
      <c r="AU32" s="302">
        <f t="shared" si="5"/>
        <v>7.2522722925103644E-2</v>
      </c>
      <c r="AV32" s="302">
        <f t="shared" si="5"/>
        <v>7.7326709710848124E-2</v>
      </c>
      <c r="AW32" s="302">
        <f t="shared" si="5"/>
        <v>7.5936949248287811E-2</v>
      </c>
      <c r="AX32" s="302">
        <f t="shared" si="5"/>
        <v>7.2000735105366379E-2</v>
      </c>
      <c r="AY32" s="302">
        <f t="shared" si="5"/>
        <v>6.9375725449514633E-2</v>
      </c>
      <c r="AZ32" s="302">
        <f t="shared" si="5"/>
        <v>6.9100711485927363E-2</v>
      </c>
      <c r="BA32" s="302">
        <f t="shared" si="5"/>
        <v>6.9618153175052405E-2</v>
      </c>
      <c r="BB32" s="302">
        <f t="shared" si="5"/>
        <v>7.5209740086175092E-2</v>
      </c>
      <c r="BC32" s="302">
        <f t="shared" si="5"/>
        <v>7.8777192542609828E-2</v>
      </c>
      <c r="BD32" s="302">
        <f t="shared" si="5"/>
        <v>8.2997810858158494E-2</v>
      </c>
      <c r="BE32" s="302">
        <f t="shared" si="5"/>
        <v>8.6039875264558766E-2</v>
      </c>
      <c r="BF32" s="302">
        <f t="shared" si="5"/>
        <v>7.9379445982251703E-2</v>
      </c>
      <c r="BG32" s="302">
        <f t="shared" si="5"/>
        <v>7.8757840598749601E-2</v>
      </c>
      <c r="BH32" s="302">
        <f t="shared" si="5"/>
        <v>7.3755049062107308E-2</v>
      </c>
      <c r="BI32" s="302">
        <f t="shared" si="5"/>
        <v>6.5929291387084796E-2</v>
      </c>
      <c r="BJ32" s="302">
        <f t="shared" si="5"/>
        <v>6.5520678888437919E-2</v>
      </c>
      <c r="BK32" s="302">
        <f t="shared" si="5"/>
        <v>6.7129641638587478E-2</v>
      </c>
      <c r="BL32" s="302">
        <f t="shared" si="5"/>
        <v>7.75171954142376E-2</v>
      </c>
      <c r="BM32" s="302">
        <f t="shared" si="5"/>
        <v>8.2195330303336089E-2</v>
      </c>
      <c r="BN32" s="302">
        <f t="shared" si="5"/>
        <v>8.2221749948446471E-2</v>
      </c>
      <c r="BO32" s="302">
        <f t="shared" si="5"/>
        <v>7.1024219335660638E-2</v>
      </c>
      <c r="BP32" s="302">
        <f t="shared" si="5"/>
        <v>5.5949314688168855E-2</v>
      </c>
      <c r="BQ32" s="302">
        <f t="shared" si="5"/>
        <v>5.7940245117883211E-2</v>
      </c>
      <c r="BR32" s="302">
        <f t="shared" si="5"/>
        <v>7.2876547747278655E-2</v>
      </c>
      <c r="BS32" s="302">
        <f t="shared" si="5"/>
        <v>7.5373104079366454E-2</v>
      </c>
    </row>
    <row r="33" spans="1:71" s="14" customFormat="1" ht="9" customHeight="1" x14ac:dyDescent="0.3">
      <c r="A33" s="272"/>
      <c r="E33" s="273"/>
      <c r="F33" s="273"/>
      <c r="G33" s="274"/>
      <c r="H33" s="274"/>
      <c r="I33" s="274"/>
      <c r="J33" s="274"/>
      <c r="K33" s="274"/>
      <c r="L33" s="274"/>
      <c r="M33" s="274"/>
      <c r="N33" s="274"/>
      <c r="O33" s="274"/>
      <c r="P33" s="274"/>
      <c r="Q33" s="274"/>
      <c r="R33" s="274"/>
      <c r="S33" s="274"/>
      <c r="T33" s="274"/>
      <c r="U33" s="274"/>
      <c r="V33" s="274"/>
      <c r="W33" s="274"/>
      <c r="X33" s="274"/>
      <c r="Y33" s="274"/>
      <c r="Z33" s="274"/>
      <c r="AA33" s="274"/>
      <c r="AB33" s="274"/>
      <c r="AC33" s="274"/>
      <c r="AD33" s="274"/>
      <c r="AE33" s="274"/>
      <c r="AF33" s="274"/>
      <c r="AG33" s="274"/>
      <c r="AH33" s="274"/>
      <c r="AI33" s="274"/>
      <c r="AJ33" s="274"/>
      <c r="AK33" s="274"/>
      <c r="AL33" s="274"/>
      <c r="AM33" s="274"/>
      <c r="AN33" s="274"/>
      <c r="AO33" s="274"/>
      <c r="AP33" s="274"/>
      <c r="AQ33" s="274"/>
      <c r="AR33" s="274"/>
      <c r="AS33" s="274"/>
      <c r="AT33" s="274"/>
      <c r="AU33" s="274"/>
      <c r="AV33" s="274"/>
      <c r="AW33" s="274"/>
      <c r="AX33" s="274"/>
      <c r="AY33" s="274"/>
      <c r="AZ33" s="274"/>
      <c r="BA33" s="274"/>
      <c r="BB33" s="274"/>
      <c r="BC33" s="274"/>
      <c r="BD33" s="274"/>
      <c r="BE33" s="274"/>
      <c r="BF33" s="274"/>
      <c r="BG33" s="274"/>
      <c r="BH33" s="274"/>
      <c r="BI33" s="274"/>
      <c r="BJ33" s="274"/>
      <c r="BK33" s="274"/>
      <c r="BL33" s="274"/>
      <c r="BM33" s="274"/>
      <c r="BN33" s="274"/>
      <c r="BO33" s="274"/>
      <c r="BP33" s="274"/>
      <c r="BQ33" s="274"/>
      <c r="BR33" s="274"/>
      <c r="BS33" s="274"/>
    </row>
    <row r="34" spans="1:71" s="8" customFormat="1" ht="12" x14ac:dyDescent="0.3">
      <c r="A34" s="59" t="s">
        <v>547</v>
      </c>
      <c r="C34" s="152"/>
      <c r="D34" s="30"/>
      <c r="E34" s="167"/>
      <c r="F34" s="167"/>
      <c r="G34" s="167"/>
      <c r="H34" s="167"/>
      <c r="I34" s="167"/>
      <c r="J34" s="167"/>
      <c r="K34" s="167"/>
      <c r="L34" s="167"/>
      <c r="M34" s="167"/>
      <c r="N34" s="167"/>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7"/>
      <c r="BQ34" s="167"/>
      <c r="BR34" s="167"/>
      <c r="BS34" s="167"/>
    </row>
    <row r="35" spans="1:71" s="54" customFormat="1" ht="12" x14ac:dyDescent="0.3">
      <c r="B35" s="8" t="s">
        <v>527</v>
      </c>
      <c r="C35" s="367" t="s">
        <v>649</v>
      </c>
      <c r="D35" s="80" t="s">
        <v>140</v>
      </c>
      <c r="G35" s="54">
        <f>'Appndx6.8.I.1-3'!D89</f>
        <v>117.1</v>
      </c>
      <c r="H35" s="54">
        <f>'Appndx6.8.I.1-3'!E89</f>
        <v>134.1</v>
      </c>
      <c r="I35" s="54">
        <f>'Appndx6.8.I.1-3'!F89</f>
        <v>130.30000000000001</v>
      </c>
      <c r="J35" s="54">
        <f>'Appndx6.8.I.1-3'!G89</f>
        <v>148.4</v>
      </c>
      <c r="K35" s="54">
        <f>'Appndx6.8.I.1-3'!H89</f>
        <v>170.3</v>
      </c>
      <c r="L35" s="54">
        <f>'Appndx6.8.I.1-3'!I89</f>
        <v>178.1</v>
      </c>
      <c r="M35" s="54">
        <f>'Appndx6.8.I.1-3'!J89</f>
        <v>190.79999999999998</v>
      </c>
      <c r="N35" s="54">
        <f>'Appndx6.8.I.1-3'!K89</f>
        <v>187.4</v>
      </c>
      <c r="O35" s="54">
        <f>'Appndx6.8.I.1-3'!L89</f>
        <v>212.4</v>
      </c>
      <c r="P35" s="54">
        <f>'Appndx6.8.I.1-3'!M89</f>
        <v>226.4</v>
      </c>
      <c r="Q35" s="54">
        <f>'Appndx6.8.I.1-3'!N89</f>
        <v>235.59999999999997</v>
      </c>
      <c r="R35" s="54">
        <f>'Appndx6.8.I.1-3'!O89</f>
        <v>229.10000000000002</v>
      </c>
      <c r="S35" s="54">
        <f>'Appndx6.8.I.1-3'!P89</f>
        <v>258.2</v>
      </c>
      <c r="T35" s="54">
        <f>'Appndx6.8.I.1-3'!Q89</f>
        <v>269.89999999999998</v>
      </c>
      <c r="U35" s="54">
        <f>'Appndx6.8.I.1-3'!R89</f>
        <v>277.5</v>
      </c>
      <c r="V35" s="54">
        <f>'Appndx6.8.I.1-3'!S89</f>
        <v>303.5</v>
      </c>
      <c r="W35" s="54">
        <f>'Appndx6.8.I.1-3'!T89</f>
        <v>322.8</v>
      </c>
      <c r="X35" s="54">
        <f>'Appndx6.8.I.1-3'!U89</f>
        <v>349.5</v>
      </c>
      <c r="Y35" s="54">
        <f>'Appndx6.8.I.1-3'!V89</f>
        <v>384</v>
      </c>
      <c r="Z35" s="54">
        <f>'Appndx6.8.I.1-3'!W89</f>
        <v>420.70000000000005</v>
      </c>
      <c r="AA35" s="54">
        <f>'Appndx6.8.I.1-3'!X89</f>
        <v>442.5</v>
      </c>
      <c r="AB35" s="54">
        <f>'Appndx6.8.I.1-3'!Y89</f>
        <v>488.5</v>
      </c>
      <c r="AC35" s="54">
        <f>'Appndx6.8.I.1-3'!Z89</f>
        <v>531.6</v>
      </c>
      <c r="AD35" s="54">
        <f>'Appndx6.8.I.1-3'!AA89</f>
        <v>547.79999999999995</v>
      </c>
      <c r="AE35" s="54">
        <f>'Appndx6.8.I.1-3'!AB89</f>
        <v>591.30000000000007</v>
      </c>
      <c r="AF35" s="54">
        <f>'Appndx6.8.I.1-3'!AC89</f>
        <v>657</v>
      </c>
      <c r="AG35" s="54">
        <f>'Appndx6.8.I.1-3'!AD89</f>
        <v>735.7</v>
      </c>
      <c r="AH35" s="54">
        <f>'Appndx6.8.I.1-3'!AE89</f>
        <v>791.1</v>
      </c>
      <c r="AI35" s="54">
        <f>'Appndx6.8.I.1-3'!AF89</f>
        <v>850</v>
      </c>
      <c r="AJ35" s="54">
        <f>'Appndx6.8.I.1-3'!AG89</f>
        <v>958.40000000000009</v>
      </c>
      <c r="AK35" s="54">
        <f>'Appndx6.8.I.1-3'!AH89</f>
        <v>1087.0999999999999</v>
      </c>
      <c r="AL35" s="54">
        <f>'Appndx6.8.I.1-3'!AI89</f>
        <v>1241.8999999999999</v>
      </c>
      <c r="AM35" s="54">
        <f>'Appndx6.8.I.1-3'!AJ89</f>
        <v>1373.9</v>
      </c>
      <c r="AN35" s="54">
        <f>'Appndx6.8.I.1-3'!AK89</f>
        <v>1483.2</v>
      </c>
      <c r="AO35" s="54">
        <f>'Appndx6.8.I.1-3'!AL89</f>
        <v>1680.9</v>
      </c>
      <c r="AP35" s="54">
        <f>'Appndx6.8.I.1-3'!AM89</f>
        <v>1735.8999999999999</v>
      </c>
      <c r="AQ35" s="54">
        <f>'Appndx6.8.I.1-3'!AN89</f>
        <v>1876.2999999999997</v>
      </c>
      <c r="AR35" s="54">
        <f>'Appndx6.8.I.1-3'!AO89</f>
        <v>2118.4</v>
      </c>
      <c r="AS35" s="54">
        <f>'Appndx6.8.I.1-3'!AP89</f>
        <v>2254.8000000000002</v>
      </c>
      <c r="AT35" s="54">
        <f>'Appndx6.8.I.1-3'!AQ89</f>
        <v>2350.7999999999997</v>
      </c>
      <c r="AU35" s="54">
        <f>'Appndx6.8.I.1-3'!AR89</f>
        <v>2526.1</v>
      </c>
      <c r="AV35" s="54">
        <f>'Appndx6.8.I.1-3'!AS89</f>
        <v>2736.7</v>
      </c>
      <c r="AW35" s="54">
        <f>'Appndx6.8.I.1-3'!AT89</f>
        <v>2878.7</v>
      </c>
      <c r="AX35" s="54">
        <f>'Appndx6.8.I.1-3'!AU89</f>
        <v>3004</v>
      </c>
      <c r="AY35" s="54">
        <f>'Appndx6.8.I.1-3'!AV89</f>
        <v>3075.3</v>
      </c>
      <c r="AZ35" s="54">
        <f>'Appndx6.8.I.1-3'!AW89</f>
        <v>3240.2</v>
      </c>
      <c r="BA35" s="54">
        <f>'Appndx6.8.I.1-3'!AX89</f>
        <v>3403.1</v>
      </c>
      <c r="BB35" s="54">
        <f>'Appndx6.8.I.1-3'!AY89</f>
        <v>3665.6</v>
      </c>
      <c r="BC35" s="54">
        <f>'Appndx6.8.I.1-3'!AZ89</f>
        <v>3880.7</v>
      </c>
      <c r="BD35" s="54">
        <f>'Appndx6.8.I.1-3'!BA89</f>
        <v>4119</v>
      </c>
      <c r="BE35" s="54">
        <f>'Appndx6.8.I.1-3'!BB89</f>
        <v>4438</v>
      </c>
      <c r="BF35" s="54">
        <f>'Appndx6.8.I.1-3'!BC89</f>
        <v>4721</v>
      </c>
      <c r="BG35" s="54">
        <f>'Appndx6.8.I.1-3'!BD89</f>
        <v>4998.7</v>
      </c>
      <c r="BH35" s="54">
        <f>'Appndx6.8.I.1-3'!BE89</f>
        <v>5331.2999999999993</v>
      </c>
      <c r="BI35" s="54">
        <f>'Appndx6.8.I.1-3'!BF89</f>
        <v>5304.4</v>
      </c>
      <c r="BJ35" s="54">
        <f>'Appndx6.8.I.1-3'!BG89</f>
        <v>5366.8</v>
      </c>
      <c r="BK35" s="54">
        <f>'Appndx6.8.I.1-3'!BH89</f>
        <v>5585.2</v>
      </c>
      <c r="BL35" s="54">
        <f>'Appndx6.8.I.1-3'!BI89</f>
        <v>5965</v>
      </c>
      <c r="BM35" s="54">
        <f>'Appndx6.8.I.1-3'!BJ89</f>
        <v>6435</v>
      </c>
      <c r="BN35" s="54">
        <f>'Appndx6.8.I.1-3'!BK89</f>
        <v>6897.4000000000005</v>
      </c>
      <c r="BO35" s="54">
        <f>'Appndx6.8.I.1-3'!BL89</f>
        <v>6992.2000000000007</v>
      </c>
      <c r="BP35" s="54">
        <f>'Appndx6.8.I.1-3'!BM89</f>
        <v>6970.5</v>
      </c>
      <c r="BQ35" s="54">
        <f>'Appndx6.8.I.1-3'!BN89</f>
        <v>6629.5</v>
      </c>
      <c r="BR35" s="54">
        <f>'Appndx6.8.I.1-3'!BO89</f>
        <v>7060.2</v>
      </c>
      <c r="BS35" s="54">
        <f>'Appndx6.8.I.1-3'!BP89</f>
        <v>7431.5</v>
      </c>
    </row>
    <row r="36" spans="1:71" s="32" customFormat="1" x14ac:dyDescent="0.35">
      <c r="A36" s="303"/>
      <c r="B36" s="30" t="s">
        <v>530</v>
      </c>
      <c r="C36" s="304" t="s">
        <v>269</v>
      </c>
      <c r="D36" s="168" t="s">
        <v>227</v>
      </c>
      <c r="E36" s="301">
        <f>'Appndx 6.8.II.1'!Y19</f>
        <v>159.4</v>
      </c>
      <c r="F36" s="301"/>
      <c r="G36" s="301">
        <f>'Appndx 6.8.II.1'!Z19</f>
        <v>190.1</v>
      </c>
      <c r="H36" s="301">
        <f>'Appndx 6.8.II.1'!AA19</f>
        <v>208.1</v>
      </c>
      <c r="I36" s="301">
        <f>'Appndx 6.8.II.1'!AB19</f>
        <v>212.2</v>
      </c>
      <c r="J36" s="301">
        <f>'Appndx 6.8.II.1'!AC19</f>
        <v>238.1</v>
      </c>
      <c r="K36" s="301">
        <f>'Appndx 6.8.II.1'!AD19</f>
        <v>258.5</v>
      </c>
      <c r="L36" s="301">
        <f>'Appndx 6.8.II.1'!AE19</f>
        <v>273.5</v>
      </c>
      <c r="M36" s="301">
        <f>'Appndx 6.8.II.1'!AF19</f>
        <v>287</v>
      </c>
      <c r="N36" s="301">
        <f>'Appndx 6.8.II.1'!AG19</f>
        <v>295.3</v>
      </c>
      <c r="O36" s="301">
        <f>'Appndx 6.8.II.1'!AH19</f>
        <v>325</v>
      </c>
      <c r="P36" s="301">
        <f>'Appndx 6.8.II.1'!AI19</f>
        <v>360.7</v>
      </c>
      <c r="Q36" s="301">
        <f>'Appndx 6.8.II.1'!AJ19</f>
        <v>386.9</v>
      </c>
      <c r="R36" s="301">
        <f>'Appndx 6.8.II.1'!AK19</f>
        <v>394.4</v>
      </c>
      <c r="S36" s="301">
        <f>'Appndx 6.8.II.1'!AL19</f>
        <v>411.6</v>
      </c>
      <c r="T36" s="301">
        <f>'Appndx 6.8.II.1'!AM19</f>
        <v>419.9</v>
      </c>
      <c r="U36" s="301">
        <f>'Appndx 6.8.II.1'!AN19</f>
        <v>430.3</v>
      </c>
      <c r="V36" s="301">
        <f>'Appndx 6.8.II.1'!AO19</f>
        <v>444.2</v>
      </c>
      <c r="W36" s="301">
        <f>'Appndx 6.8.II.1'!AP19</f>
        <v>458.3</v>
      </c>
      <c r="X36" s="301">
        <f>'Appndx 6.8.II.1'!AQ19</f>
        <v>483.9</v>
      </c>
      <c r="Y36" s="301">
        <f>'Appndx 6.8.II.1'!AR19</f>
        <v>517.4</v>
      </c>
      <c r="Z36" s="301">
        <f>'Appndx 6.8.II.1'!AS19</f>
        <v>563.4</v>
      </c>
      <c r="AA36" s="301">
        <f>'Appndx 6.8.II.1'!AT19</f>
        <v>610.79999999999995</v>
      </c>
      <c r="AB36" s="301">
        <f>'Appndx 6.8.II.1'!AU19</f>
        <v>672.6</v>
      </c>
      <c r="AC36" s="301">
        <f>'Appndx 6.8.II.1'!AV19</f>
        <v>741.1</v>
      </c>
      <c r="AD36" s="301">
        <f>'Appndx 6.8.II.1'!AW19</f>
        <v>815.7</v>
      </c>
      <c r="AE36" s="301">
        <f>'Appndx 6.8.II.1'!AX19</f>
        <v>895.2</v>
      </c>
      <c r="AF36" s="301">
        <f>'Appndx 6.8.II.1'!AY19</f>
        <v>972.2</v>
      </c>
      <c r="AG36" s="301">
        <f>'Appndx 6.8.II.1'!AZ19</f>
        <v>1097.4000000000001</v>
      </c>
      <c r="AH36" s="301">
        <f>'Appndx 6.8.II.1'!BA19</f>
        <v>1346.4</v>
      </c>
      <c r="AI36" s="301">
        <f>'Appndx 6.8.II.1'!BB19</f>
        <v>1495.4</v>
      </c>
      <c r="AJ36" s="301">
        <f>'Appndx 6.8.II.1'!BC19</f>
        <v>1643.8</v>
      </c>
      <c r="AK36" s="301">
        <f>'Appndx 6.8.II.1'!BD19</f>
        <v>1829.9</v>
      </c>
      <c r="AL36" s="301">
        <f>'Appndx 6.8.II.1'!BE19</f>
        <v>2081.5</v>
      </c>
      <c r="AM36" s="301">
        <f>'Appndx 6.8.II.1'!BF19</f>
        <v>2399.6999999999998</v>
      </c>
      <c r="AN36" s="301">
        <f>'Appndx 6.8.II.1'!BG19</f>
        <v>2761.2</v>
      </c>
      <c r="AO36" s="301">
        <f>'Appndx 6.8.II.1'!BH19</f>
        <v>3125.3</v>
      </c>
      <c r="AP36" s="301">
        <f>'Appndx 6.8.II.1'!BI19</f>
        <v>3318.6</v>
      </c>
      <c r="AQ36" s="301">
        <f>'Appndx 6.8.II.1'!BJ19</f>
        <v>3415.3</v>
      </c>
      <c r="AR36" s="301">
        <f>'Appndx 6.8.II.1'!BK19</f>
        <v>3618.4</v>
      </c>
      <c r="AS36" s="301">
        <f>'Appndx 6.8.II.1'!BL19</f>
        <v>3819.3</v>
      </c>
      <c r="AT36" s="301">
        <f>'Appndx 6.8.II.1'!BM19</f>
        <v>3989.7</v>
      </c>
      <c r="AU36" s="301">
        <f>'Appndx 6.8.II.1'!BN19</f>
        <v>4197.6000000000004</v>
      </c>
      <c r="AV36" s="301">
        <f>'Appndx 6.8.II.1'!BO19</f>
        <v>4462.8999999999996</v>
      </c>
      <c r="AW36" s="301">
        <f>'Appndx 6.8.II.1'!BP19</f>
        <v>4728.2</v>
      </c>
      <c r="AX36" s="301">
        <f>'Appndx 6.8.II.1'!BQ19</f>
        <v>4993.1000000000004</v>
      </c>
      <c r="AY36" s="301">
        <f>'Appndx 6.8.II.1'!BR19</f>
        <v>5105.1000000000004</v>
      </c>
      <c r="AZ36" s="301">
        <f>'Appndx 6.8.II.1'!BS19</f>
        <v>5275.6</v>
      </c>
      <c r="BA36" s="301">
        <f>'Appndx 6.8.II.1'!BT19</f>
        <v>5523.9</v>
      </c>
      <c r="BB36" s="301">
        <f>'Appndx 6.8.II.1'!BU19</f>
        <v>5823.9</v>
      </c>
      <c r="BC36" s="301">
        <f>'Appndx 6.8.II.1'!BV19</f>
        <v>6154.2</v>
      </c>
      <c r="BD36" s="301">
        <f>'Appndx 6.8.II.1'!BW19</f>
        <v>6469.9</v>
      </c>
      <c r="BE36" s="301">
        <f>'Appndx 6.8.II.1'!BX19</f>
        <v>6830.5</v>
      </c>
      <c r="BF36" s="301">
        <f>'Appndx 6.8.II.1'!BY19</f>
        <v>7217.6</v>
      </c>
      <c r="BG36" s="301">
        <f>'Appndx 6.8.II.1'!BZ19</f>
        <v>7641.6</v>
      </c>
      <c r="BH36" s="301">
        <f>'Appndx 6.8.II.1'!CA19</f>
        <v>8175.4</v>
      </c>
      <c r="BI36" s="301">
        <f>'Appndx 6.8.II.1'!CB19</f>
        <v>8595.6</v>
      </c>
      <c r="BJ36" s="301">
        <f>'Appndx 6.8.II.1'!CC19</f>
        <v>8907.7000000000007</v>
      </c>
      <c r="BK36" s="301">
        <f>'Appndx 6.8.II.1'!CD19</f>
        <v>9185.7999999999993</v>
      </c>
      <c r="BL36" s="301">
        <f>'Appndx 6.8.II.1'!CE19</f>
        <v>9909.5</v>
      </c>
      <c r="BM36" s="301">
        <f>'Appndx 6.8.II.1'!CF19</f>
        <v>10768.3</v>
      </c>
      <c r="BN36" s="301">
        <f>'Appndx 6.8.II.1'!CG19</f>
        <v>11679.9</v>
      </c>
      <c r="BO36" s="301">
        <f>'Appndx 6.8.II.1'!CH19</f>
        <v>12317.8</v>
      </c>
      <c r="BP36" s="301">
        <f>'Appndx 6.8.II.1'!CI19</f>
        <v>13138</v>
      </c>
      <c r="BQ36" s="301">
        <f>'Appndx 6.8.II.1'!CJ19</f>
        <v>12701.7</v>
      </c>
      <c r="BR36" s="301">
        <f>'Appndx 6.8.II.1'!CK19</f>
        <v>12994.6</v>
      </c>
      <c r="BS36" s="301">
        <f>'Appndx 6.8.II.1'!CL19</f>
        <v>13530.8</v>
      </c>
    </row>
    <row r="37" spans="1:71" s="8" customFormat="1" ht="24" x14ac:dyDescent="0.3">
      <c r="A37" s="300">
        <f>AVERAGE(G37:BS37)</f>
        <v>0.66689519385222351</v>
      </c>
      <c r="B37" s="21" t="s">
        <v>520</v>
      </c>
      <c r="C37" s="305" t="s">
        <v>544</v>
      </c>
      <c r="D37" s="30" t="s">
        <v>537</v>
      </c>
      <c r="E37" s="301"/>
      <c r="F37" s="301"/>
      <c r="G37" s="302">
        <f>G35/E36</f>
        <v>0.73462986198243407</v>
      </c>
      <c r="H37" s="302">
        <f t="shared" ref="H37:BS37" si="6">H35/G36</f>
        <v>0.70541820094687002</v>
      </c>
      <c r="I37" s="302">
        <f t="shared" si="6"/>
        <v>0.62614127823161947</v>
      </c>
      <c r="J37" s="302">
        <f t="shared" si="6"/>
        <v>0.69934024505183801</v>
      </c>
      <c r="K37" s="302">
        <f t="shared" si="6"/>
        <v>0.71524569508609837</v>
      </c>
      <c r="L37" s="302">
        <f t="shared" si="6"/>
        <v>0.68897485493230171</v>
      </c>
      <c r="M37" s="302">
        <f t="shared" si="6"/>
        <v>0.69762340036563064</v>
      </c>
      <c r="N37" s="302">
        <f t="shared" si="6"/>
        <v>0.6529616724738676</v>
      </c>
      <c r="O37" s="302">
        <f t="shared" si="6"/>
        <v>0.71926854046732136</v>
      </c>
      <c r="P37" s="302">
        <f t="shared" si="6"/>
        <v>0.69661538461538464</v>
      </c>
      <c r="Q37" s="302">
        <f t="shared" si="6"/>
        <v>0.65317438314388676</v>
      </c>
      <c r="R37" s="302">
        <f t="shared" si="6"/>
        <v>0.59214267252520036</v>
      </c>
      <c r="S37" s="302">
        <f t="shared" si="6"/>
        <v>0.65466531440162268</v>
      </c>
      <c r="T37" s="302">
        <f t="shared" si="6"/>
        <v>0.6557337220602526</v>
      </c>
      <c r="U37" s="302">
        <f t="shared" si="6"/>
        <v>0.66087163610383426</v>
      </c>
      <c r="V37" s="302">
        <f t="shared" si="6"/>
        <v>0.70532186846386236</v>
      </c>
      <c r="W37" s="302">
        <f t="shared" si="6"/>
        <v>0.7266996848266547</v>
      </c>
      <c r="X37" s="302">
        <f t="shared" si="6"/>
        <v>0.76260091643028582</v>
      </c>
      <c r="Y37" s="302">
        <f t="shared" si="6"/>
        <v>0.79355238685678864</v>
      </c>
      <c r="Z37" s="302">
        <f t="shared" si="6"/>
        <v>0.81310398144569007</v>
      </c>
      <c r="AA37" s="302">
        <f t="shared" si="6"/>
        <v>0.78541001064962734</v>
      </c>
      <c r="AB37" s="302">
        <f t="shared" si="6"/>
        <v>0.79977079240340543</v>
      </c>
      <c r="AC37" s="302">
        <f t="shared" si="6"/>
        <v>0.79036574487065125</v>
      </c>
      <c r="AD37" s="302">
        <f t="shared" si="6"/>
        <v>0.73917150182161639</v>
      </c>
      <c r="AE37" s="302">
        <f t="shared" si="6"/>
        <v>0.72489885987495406</v>
      </c>
      <c r="AF37" s="302">
        <f t="shared" si="6"/>
        <v>0.73391420911528149</v>
      </c>
      <c r="AG37" s="302">
        <f t="shared" si="6"/>
        <v>0.75673729685249946</v>
      </c>
      <c r="AH37" s="302">
        <f t="shared" si="6"/>
        <v>0.72088572990705302</v>
      </c>
      <c r="AI37" s="302">
        <f t="shared" si="6"/>
        <v>0.63131313131313127</v>
      </c>
      <c r="AJ37" s="302">
        <f t="shared" si="6"/>
        <v>0.64089875618563596</v>
      </c>
      <c r="AK37" s="302">
        <f t="shared" si="6"/>
        <v>0.66133349555907039</v>
      </c>
      <c r="AL37" s="302">
        <f t="shared" si="6"/>
        <v>0.67867096562653684</v>
      </c>
      <c r="AM37" s="302">
        <f t="shared" si="6"/>
        <v>0.66005284650492435</v>
      </c>
      <c r="AN37" s="302">
        <f t="shared" si="6"/>
        <v>0.6180772596574573</v>
      </c>
      <c r="AO37" s="302">
        <f t="shared" si="6"/>
        <v>0.60875706214689274</v>
      </c>
      <c r="AP37" s="302">
        <f t="shared" si="6"/>
        <v>0.55543467827088588</v>
      </c>
      <c r="AQ37" s="302">
        <f t="shared" si="6"/>
        <v>0.56538901946603981</v>
      </c>
      <c r="AR37" s="302">
        <f t="shared" si="6"/>
        <v>0.62026761924281903</v>
      </c>
      <c r="AS37" s="302">
        <f t="shared" si="6"/>
        <v>0.62314835286314396</v>
      </c>
      <c r="AT37" s="302">
        <f t="shared" si="6"/>
        <v>0.61550545911554466</v>
      </c>
      <c r="AU37" s="302">
        <f t="shared" si="6"/>
        <v>0.63315537509085895</v>
      </c>
      <c r="AV37" s="302">
        <f t="shared" si="6"/>
        <v>0.65196779111873437</v>
      </c>
      <c r="AW37" s="302">
        <f t="shared" si="6"/>
        <v>0.64502901700687898</v>
      </c>
      <c r="AX37" s="302">
        <f t="shared" si="6"/>
        <v>0.63533691468212006</v>
      </c>
      <c r="AY37" s="302">
        <f t="shared" si="6"/>
        <v>0.61590995573891971</v>
      </c>
      <c r="AZ37" s="302">
        <f t="shared" si="6"/>
        <v>0.63469863469863463</v>
      </c>
      <c r="BA37" s="302">
        <f t="shared" si="6"/>
        <v>0.64506406854196674</v>
      </c>
      <c r="BB37" s="302">
        <f t="shared" si="6"/>
        <v>0.66358913086768412</v>
      </c>
      <c r="BC37" s="302">
        <f t="shared" si="6"/>
        <v>0.66634042480125</v>
      </c>
      <c r="BD37" s="302">
        <f t="shared" si="6"/>
        <v>0.66929901530661984</v>
      </c>
      <c r="BE37" s="302">
        <f t="shared" si="6"/>
        <v>0.68594568695033931</v>
      </c>
      <c r="BF37" s="302">
        <f t="shared" si="6"/>
        <v>0.69116462923651267</v>
      </c>
      <c r="BG37" s="302">
        <f t="shared" si="6"/>
        <v>0.6925709377078253</v>
      </c>
      <c r="BH37" s="302">
        <f t="shared" si="6"/>
        <v>0.6976680276381908</v>
      </c>
      <c r="BI37" s="302">
        <f t="shared" si="6"/>
        <v>0.64882452234753041</v>
      </c>
      <c r="BJ37" s="302">
        <f t="shared" si="6"/>
        <v>0.62436595467448464</v>
      </c>
      <c r="BK37" s="302">
        <f t="shared" si="6"/>
        <v>0.62700809412081671</v>
      </c>
      <c r="BL37" s="302">
        <f t="shared" si="6"/>
        <v>0.6493718565612141</v>
      </c>
      <c r="BM37" s="302">
        <f t="shared" si="6"/>
        <v>0.64937686058832433</v>
      </c>
      <c r="BN37" s="302">
        <f t="shared" si="6"/>
        <v>0.64052821708161933</v>
      </c>
      <c r="BO37" s="302">
        <f t="shared" si="6"/>
        <v>0.59865238572248058</v>
      </c>
      <c r="BP37" s="302">
        <f t="shared" si="6"/>
        <v>0.56588838916040207</v>
      </c>
      <c r="BQ37" s="302">
        <f t="shared" si="6"/>
        <v>0.50460496270360788</v>
      </c>
      <c r="BR37" s="302">
        <f t="shared" si="6"/>
        <v>0.55584685514537424</v>
      </c>
      <c r="BS37" s="302">
        <f t="shared" si="6"/>
        <v>0.57189140104351033</v>
      </c>
    </row>
    <row r="38" spans="1:71" s="8" customFormat="1" ht="12" x14ac:dyDescent="0.3">
      <c r="A38" s="300">
        <f>AVERAGE(G38:BS38)</f>
        <v>0.16340126548011982</v>
      </c>
      <c r="B38" s="21" t="s">
        <v>521</v>
      </c>
      <c r="C38" s="305" t="s">
        <v>528</v>
      </c>
      <c r="D38" s="80" t="s">
        <v>531</v>
      </c>
      <c r="E38" s="301"/>
      <c r="F38" s="301"/>
      <c r="G38" s="302">
        <f>G24/G35</f>
        <v>0.19214346712211786</v>
      </c>
      <c r="H38" s="302">
        <f t="shared" ref="H38:BS38" si="7">H24/H35</f>
        <v>0.22073079791200598</v>
      </c>
      <c r="I38" s="302">
        <f t="shared" si="7"/>
        <v>0.21181887950882577</v>
      </c>
      <c r="J38" s="302">
        <f t="shared" si="7"/>
        <v>0.23180592991913745</v>
      </c>
      <c r="K38" s="302">
        <f t="shared" si="7"/>
        <v>0.22959483264826774</v>
      </c>
      <c r="L38" s="302">
        <f t="shared" si="7"/>
        <v>0.20774845592363841</v>
      </c>
      <c r="M38" s="302">
        <f t="shared" si="7"/>
        <v>0.19549266247379454</v>
      </c>
      <c r="N38" s="302">
        <f t="shared" si="7"/>
        <v>0.1942369263607257</v>
      </c>
      <c r="O38" s="302">
        <f t="shared" si="7"/>
        <v>0.21939736346516009</v>
      </c>
      <c r="P38" s="302">
        <f t="shared" si="7"/>
        <v>0.19964664310954064</v>
      </c>
      <c r="Q38" s="302">
        <f t="shared" si="7"/>
        <v>0.18887945670628187</v>
      </c>
      <c r="R38" s="302">
        <f t="shared" si="7"/>
        <v>0.17415975556525531</v>
      </c>
      <c r="S38" s="302">
        <f t="shared" si="7"/>
        <v>0.19790859798605734</v>
      </c>
      <c r="T38" s="302">
        <f t="shared" si="7"/>
        <v>0.18525379770285291</v>
      </c>
      <c r="U38" s="302">
        <f t="shared" si="7"/>
        <v>0.18342342342342341</v>
      </c>
      <c r="V38" s="302">
        <f t="shared" si="7"/>
        <v>0.19308072487644151</v>
      </c>
      <c r="W38" s="302">
        <f t="shared" si="7"/>
        <v>0.19919454770755884</v>
      </c>
      <c r="X38" s="302">
        <f t="shared" si="7"/>
        <v>0.20343347639484977</v>
      </c>
      <c r="Y38" s="302">
        <f t="shared" si="7"/>
        <v>0.21302083333333333</v>
      </c>
      <c r="Z38" s="302">
        <f t="shared" si="7"/>
        <v>0.20917518421678152</v>
      </c>
      <c r="AA38" s="302">
        <f t="shared" si="7"/>
        <v>0.19299435028248588</v>
      </c>
      <c r="AB38" s="302">
        <f t="shared" si="7"/>
        <v>0.18751279426816786</v>
      </c>
      <c r="AC38" s="302">
        <f t="shared" si="7"/>
        <v>0.16534988713318285</v>
      </c>
      <c r="AD38" s="302">
        <f t="shared" si="7"/>
        <v>0.13764147499087259</v>
      </c>
      <c r="AE38" s="302">
        <f t="shared" si="7"/>
        <v>0.14916286149162861</v>
      </c>
      <c r="AF38" s="302">
        <f t="shared" si="7"/>
        <v>0.15509893455098936</v>
      </c>
      <c r="AG38" s="302">
        <f t="shared" si="7"/>
        <v>0.14897376648090252</v>
      </c>
      <c r="AH38" s="302">
        <f t="shared" si="7"/>
        <v>0.12349892554670712</v>
      </c>
      <c r="AI38" s="302">
        <f t="shared" si="7"/>
        <v>0.1396470588235294</v>
      </c>
      <c r="AJ38" s="302">
        <f t="shared" si="7"/>
        <v>0.15139816360600999</v>
      </c>
      <c r="AK38" s="302">
        <f t="shared" si="7"/>
        <v>0.15886303008002944</v>
      </c>
      <c r="AL38" s="302">
        <f t="shared" si="7"/>
        <v>0.15750060391335857</v>
      </c>
      <c r="AM38" s="302">
        <f t="shared" si="7"/>
        <v>0.13880195065143022</v>
      </c>
      <c r="AN38" s="302">
        <f t="shared" si="7"/>
        <v>0.11192017259978425</v>
      </c>
      <c r="AO38" s="302">
        <f t="shared" si="7"/>
        <v>0.11517639359866737</v>
      </c>
      <c r="AP38" s="302">
        <f t="shared" si="7"/>
        <v>9.971772567544214E-2</v>
      </c>
      <c r="AQ38" s="302">
        <f t="shared" si="7"/>
        <v>0.11981026488301447</v>
      </c>
      <c r="AR38" s="302">
        <f t="shared" si="7"/>
        <v>0.13311933534743201</v>
      </c>
      <c r="AS38" s="302">
        <f t="shared" si="7"/>
        <v>0.13056590384956535</v>
      </c>
      <c r="AT38" s="302">
        <f t="shared" si="7"/>
        <v>0.11685383699166242</v>
      </c>
      <c r="AU38" s="302">
        <f t="shared" si="7"/>
        <v>0.12659831360595386</v>
      </c>
      <c r="AV38" s="302">
        <f t="shared" si="7"/>
        <v>0.13505316622209232</v>
      </c>
      <c r="AW38" s="302">
        <f t="shared" si="7"/>
        <v>0.12450064265119672</v>
      </c>
      <c r="AX38" s="302">
        <f t="shared" si="7"/>
        <v>0.11930758988015978</v>
      </c>
      <c r="AY38" s="302">
        <f t="shared" si="7"/>
        <v>0.12382531785516859</v>
      </c>
      <c r="AZ38" s="302">
        <f t="shared" si="7"/>
        <v>0.1305783593605333</v>
      </c>
      <c r="BA38" s="302">
        <f t="shared" si="7"/>
        <v>0.13716905174693661</v>
      </c>
      <c r="BB38" s="302">
        <f t="shared" si="7"/>
        <v>0.15012549105194237</v>
      </c>
      <c r="BC38" s="302">
        <f t="shared" si="7"/>
        <v>0.16058958435333834</v>
      </c>
      <c r="BD38" s="302">
        <f t="shared" si="7"/>
        <v>0.16982277251760136</v>
      </c>
      <c r="BE38" s="302">
        <f t="shared" si="7"/>
        <v>0.17514646237043713</v>
      </c>
      <c r="BF38" s="302">
        <f t="shared" si="7"/>
        <v>0.150328320271129</v>
      </c>
      <c r="BG38" s="302">
        <f t="shared" si="7"/>
        <v>0.14699821953707964</v>
      </c>
      <c r="BH38" s="302">
        <f t="shared" si="7"/>
        <v>0.126348170239904</v>
      </c>
      <c r="BI38" s="302">
        <f t="shared" si="7"/>
        <v>0.1158472211748737</v>
      </c>
      <c r="BJ38" s="302">
        <f t="shared" si="7"/>
        <v>0.13309607214727584</v>
      </c>
      <c r="BK38" s="302">
        <f t="shared" si="7"/>
        <v>0.14538422975005372</v>
      </c>
      <c r="BL38" s="302">
        <f t="shared" si="7"/>
        <v>0.17466890192791285</v>
      </c>
      <c r="BM38" s="302">
        <f t="shared" si="7"/>
        <v>0.18905982905982904</v>
      </c>
      <c r="BN38" s="302">
        <f t="shared" si="7"/>
        <v>0.19594339896192767</v>
      </c>
      <c r="BO38" s="302">
        <f t="shared" si="7"/>
        <v>0.16587054146048452</v>
      </c>
      <c r="BP38" s="302">
        <f t="shared" si="7"/>
        <v>0.12076608564665375</v>
      </c>
      <c r="BQ38" s="302">
        <f t="shared" si="7"/>
        <v>0.14925710837921413</v>
      </c>
      <c r="BR38" s="302">
        <f t="shared" si="7"/>
        <v>0.18425823631058613</v>
      </c>
      <c r="BS38" s="302">
        <f t="shared" si="7"/>
        <v>0.18678597860458857</v>
      </c>
    </row>
    <row r="39" spans="1:71" s="8" customFormat="1" ht="24" x14ac:dyDescent="0.3">
      <c r="A39" s="300">
        <f>AVERAGE(G39:BS39)</f>
        <v>0.10995818398749418</v>
      </c>
      <c r="B39" s="21" t="s">
        <v>522</v>
      </c>
      <c r="C39" s="305" t="s">
        <v>533</v>
      </c>
      <c r="D39" s="30" t="s">
        <v>532</v>
      </c>
      <c r="E39" s="301"/>
      <c r="F39" s="301"/>
      <c r="G39" s="302">
        <f>G24/E36</f>
        <v>0.1411543287327478</v>
      </c>
      <c r="H39" s="302">
        <f t="shared" ref="H39:BS39" si="8">H24/G36</f>
        <v>0.15570752235665442</v>
      </c>
      <c r="I39" s="302">
        <f t="shared" si="8"/>
        <v>0.13262854396924556</v>
      </c>
      <c r="J39" s="302">
        <f t="shared" si="8"/>
        <v>0.16211121583411875</v>
      </c>
      <c r="K39" s="302">
        <f t="shared" si="8"/>
        <v>0.16421671566568669</v>
      </c>
      <c r="L39" s="302">
        <f t="shared" si="8"/>
        <v>0.14313346228239845</v>
      </c>
      <c r="M39" s="302">
        <f t="shared" si="8"/>
        <v>0.13638025594149908</v>
      </c>
      <c r="N39" s="302">
        <f t="shared" si="8"/>
        <v>0.12682926829268293</v>
      </c>
      <c r="O39" s="302">
        <f t="shared" si="8"/>
        <v>0.15780562140196411</v>
      </c>
      <c r="P39" s="302">
        <f t="shared" si="8"/>
        <v>0.1390769230769231</v>
      </c>
      <c r="Q39" s="302">
        <f t="shared" si="8"/>
        <v>0.12337122262267813</v>
      </c>
      <c r="R39" s="302">
        <f t="shared" si="8"/>
        <v>0.10312742310674593</v>
      </c>
      <c r="S39" s="302">
        <f t="shared" si="8"/>
        <v>0.12956389452332659</v>
      </c>
      <c r="T39" s="302">
        <f t="shared" si="8"/>
        <v>0.12147716229348882</v>
      </c>
      <c r="U39" s="302">
        <f t="shared" si="8"/>
        <v>0.1212193379376042</v>
      </c>
      <c r="V39" s="302">
        <f t="shared" si="8"/>
        <v>0.13618405763420868</v>
      </c>
      <c r="W39" s="302">
        <f t="shared" si="8"/>
        <v>0.14475461503827106</v>
      </c>
      <c r="X39" s="302">
        <f t="shared" si="8"/>
        <v>0.15513855553131134</v>
      </c>
      <c r="Y39" s="302">
        <f t="shared" si="8"/>
        <v>0.16904319074188881</v>
      </c>
      <c r="Z39" s="302">
        <f t="shared" si="8"/>
        <v>0.17008117510630075</v>
      </c>
      <c r="AA39" s="302">
        <f t="shared" si="8"/>
        <v>0.15157969471068514</v>
      </c>
      <c r="AB39" s="302">
        <f t="shared" si="8"/>
        <v>0.14996725605762934</v>
      </c>
      <c r="AC39" s="302">
        <f t="shared" si="8"/>
        <v>0.13068688670829617</v>
      </c>
      <c r="AD39" s="302">
        <f t="shared" si="8"/>
        <v>0.10174065578194576</v>
      </c>
      <c r="AE39" s="302">
        <f t="shared" si="8"/>
        <v>0.10812798823096727</v>
      </c>
      <c r="AF39" s="302">
        <f t="shared" si="8"/>
        <v>0.11382931188561216</v>
      </c>
      <c r="AG39" s="302">
        <f t="shared" si="8"/>
        <v>0.11273400534869367</v>
      </c>
      <c r="AH39" s="302">
        <f t="shared" si="8"/>
        <v>8.9028613085474759E-2</v>
      </c>
      <c r="AI39" s="302">
        <f t="shared" si="8"/>
        <v>8.8161021984551391E-2</v>
      </c>
      <c r="AJ39" s="302">
        <f t="shared" si="8"/>
        <v>9.7030894743881227E-2</v>
      </c>
      <c r="AK39" s="302">
        <f t="shared" si="8"/>
        <v>0.10506144299793162</v>
      </c>
      <c r="AL39" s="302">
        <f t="shared" si="8"/>
        <v>0.10689108694464178</v>
      </c>
      <c r="AM39" s="302">
        <f t="shared" si="8"/>
        <v>9.1616622627912564E-2</v>
      </c>
      <c r="AN39" s="302">
        <f t="shared" si="8"/>
        <v>6.9175313580864276E-2</v>
      </c>
      <c r="AO39" s="302">
        <f t="shared" si="8"/>
        <v>7.0114442995798928E-2</v>
      </c>
      <c r="AP39" s="302">
        <f t="shared" si="8"/>
        <v>5.5386682878443665E-2</v>
      </c>
      <c r="AQ39" s="302">
        <f t="shared" si="8"/>
        <v>6.7739408184174052E-2</v>
      </c>
      <c r="AR39" s="302">
        <f t="shared" si="8"/>
        <v>8.2569613211138107E-2</v>
      </c>
      <c r="AS39" s="302">
        <f t="shared" si="8"/>
        <v>8.1361927923944283E-2</v>
      </c>
      <c r="AT39" s="302">
        <f t="shared" si="8"/>
        <v>7.1924174586966191E-2</v>
      </c>
      <c r="AU39" s="302">
        <f t="shared" si="8"/>
        <v>8.015640273704791E-2</v>
      </c>
      <c r="AV39" s="302">
        <f t="shared" si="8"/>
        <v>8.8050314465408799E-2</v>
      </c>
      <c r="AW39" s="302">
        <f t="shared" si="8"/>
        <v>8.0306527146026124E-2</v>
      </c>
      <c r="AX39" s="302">
        <f t="shared" si="8"/>
        <v>7.5800516052620448E-2</v>
      </c>
      <c r="AY39" s="302">
        <f t="shared" si="8"/>
        <v>7.6265246039534551E-2</v>
      </c>
      <c r="AZ39" s="302">
        <f t="shared" si="8"/>
        <v>8.2877906407318166E-2</v>
      </c>
      <c r="BA39" s="302">
        <f t="shared" si="8"/>
        <v>8.8482826597922504E-2</v>
      </c>
      <c r="BB39" s="302">
        <f t="shared" si="8"/>
        <v>9.9621644128242731E-2</v>
      </c>
      <c r="BC39" s="302">
        <f t="shared" si="8"/>
        <v>0.10700733185665964</v>
      </c>
      <c r="BD39" s="302">
        <f t="shared" si="8"/>
        <v>0.1136622144226707</v>
      </c>
      <c r="BE39" s="302">
        <f t="shared" si="8"/>
        <v>0.12014096044761124</v>
      </c>
      <c r="BF39" s="302">
        <f t="shared" si="8"/>
        <v>0.10390161774394262</v>
      </c>
      <c r="BG39" s="302">
        <f t="shared" si="8"/>
        <v>0.101806694746176</v>
      </c>
      <c r="BH39" s="302">
        <f t="shared" si="8"/>
        <v>8.8149078726968172E-2</v>
      </c>
      <c r="BI39" s="302">
        <f t="shared" si="8"/>
        <v>7.5164517944076137E-2</v>
      </c>
      <c r="BJ39" s="302">
        <f t="shared" si="8"/>
        <v>8.3100656149657962E-2</v>
      </c>
      <c r="BK39" s="302">
        <f t="shared" si="8"/>
        <v>9.1157088810804129E-2</v>
      </c>
      <c r="BL39" s="302">
        <f t="shared" si="8"/>
        <v>0.11342506912843739</v>
      </c>
      <c r="BM39" s="302">
        <f t="shared" si="8"/>
        <v>0.12277107825823703</v>
      </c>
      <c r="BN39" s="302">
        <f t="shared" si="8"/>
        <v>0.12550727598599595</v>
      </c>
      <c r="BO39" s="302">
        <f t="shared" si="8"/>
        <v>9.9298795366398684E-2</v>
      </c>
      <c r="BP39" s="302">
        <f t="shared" si="8"/>
        <v>6.834012567179204E-2</v>
      </c>
      <c r="BQ39" s="302">
        <f t="shared" si="8"/>
        <v>7.5315877606941695E-2</v>
      </c>
      <c r="BR39" s="302">
        <f t="shared" si="8"/>
        <v>0.1024193611878725</v>
      </c>
      <c r="BS39" s="302">
        <f t="shared" si="8"/>
        <v>0.1068212949994613</v>
      </c>
    </row>
    <row r="40" spans="1:71" x14ac:dyDescent="0.35">
      <c r="G40" s="268"/>
    </row>
    <row r="41" spans="1:71" s="8" customFormat="1" ht="12" x14ac:dyDescent="0.3">
      <c r="A41" s="306">
        <f>AVERAGE(G41:BS41)</f>
        <v>1.316215394155301</v>
      </c>
      <c r="B41" s="8" t="s">
        <v>497</v>
      </c>
      <c r="C41" s="54" t="s">
        <v>499</v>
      </c>
      <c r="D41" s="54" t="s">
        <v>501</v>
      </c>
      <c r="E41" s="252"/>
      <c r="F41" s="252"/>
      <c r="G41" s="252">
        <f>1+(G25/G24)</f>
        <v>1.1066666666666667</v>
      </c>
      <c r="H41" s="252">
        <f t="shared" ref="H41:BS41" si="9">1+(H25/H24)</f>
        <v>1.0844594594594594</v>
      </c>
      <c r="I41" s="252">
        <f t="shared" si="9"/>
        <v>1.0978260869565217</v>
      </c>
      <c r="J41" s="252">
        <f t="shared" si="9"/>
        <v>1.0813953488372092</v>
      </c>
      <c r="K41" s="252">
        <f t="shared" si="9"/>
        <v>1.0895140664961636</v>
      </c>
      <c r="L41" s="252">
        <f t="shared" si="9"/>
        <v>1.1000000000000001</v>
      </c>
      <c r="M41" s="252">
        <f t="shared" si="9"/>
        <v>1.101876675603217</v>
      </c>
      <c r="N41" s="252">
        <f t="shared" si="9"/>
        <v>1.1098901098901099</v>
      </c>
      <c r="O41" s="252">
        <f t="shared" si="9"/>
        <v>1.1008583690987126</v>
      </c>
      <c r="P41" s="252">
        <f t="shared" si="9"/>
        <v>1.1128318584070798</v>
      </c>
      <c r="Q41" s="252">
        <f t="shared" si="9"/>
        <v>1.1348314606741574</v>
      </c>
      <c r="R41" s="252">
        <f t="shared" si="9"/>
        <v>1.162907268170426</v>
      </c>
      <c r="S41" s="252">
        <f t="shared" si="9"/>
        <v>1.1291585127201564</v>
      </c>
      <c r="T41" s="252">
        <f t="shared" si="9"/>
        <v>1.1459999999999999</v>
      </c>
      <c r="U41" s="252">
        <f t="shared" si="9"/>
        <v>1.1591355599214146</v>
      </c>
      <c r="V41" s="252">
        <f t="shared" si="9"/>
        <v>1.1552901023890785</v>
      </c>
      <c r="W41" s="252">
        <f t="shared" si="9"/>
        <v>1.1555209953343701</v>
      </c>
      <c r="X41" s="252">
        <f t="shared" si="9"/>
        <v>1.1561181434599157</v>
      </c>
      <c r="Y41" s="252">
        <f t="shared" si="9"/>
        <v>1.1540342298288508</v>
      </c>
      <c r="Z41" s="252">
        <f t="shared" si="9"/>
        <v>1.1590909090909092</v>
      </c>
      <c r="AA41" s="252">
        <f t="shared" si="9"/>
        <v>1.1885245901639343</v>
      </c>
      <c r="AB41" s="252">
        <f t="shared" si="9"/>
        <v>1.2030567685589519</v>
      </c>
      <c r="AC41" s="252">
        <f t="shared" si="9"/>
        <v>1.2639362912400456</v>
      </c>
      <c r="AD41" s="252">
        <f t="shared" si="9"/>
        <v>1.3607427055702919</v>
      </c>
      <c r="AE41" s="252">
        <f t="shared" si="9"/>
        <v>1.3151927437641724</v>
      </c>
      <c r="AF41" s="252">
        <f t="shared" si="9"/>
        <v>1.2924435721295386</v>
      </c>
      <c r="AG41" s="252">
        <f t="shared" si="9"/>
        <v>1.3248175182481752</v>
      </c>
      <c r="AH41" s="252">
        <f t="shared" si="9"/>
        <v>1.4575230296827022</v>
      </c>
      <c r="AI41" s="252">
        <f t="shared" si="9"/>
        <v>1.3993260320134797</v>
      </c>
      <c r="AJ41" s="252">
        <f t="shared" si="9"/>
        <v>1.3149552033080636</v>
      </c>
      <c r="AK41" s="252">
        <f t="shared" si="9"/>
        <v>1.2779386218876665</v>
      </c>
      <c r="AL41" s="252">
        <f t="shared" si="9"/>
        <v>1.2939672801635993</v>
      </c>
      <c r="AM41" s="252">
        <f t="shared" si="9"/>
        <v>1.3796539066596749</v>
      </c>
      <c r="AN41" s="252">
        <f t="shared" si="9"/>
        <v>1.5403614457831325</v>
      </c>
      <c r="AO41" s="252">
        <f t="shared" si="9"/>
        <v>1.5666322314049583</v>
      </c>
      <c r="AP41" s="252">
        <f t="shared" si="9"/>
        <v>1.7105719237435009</v>
      </c>
      <c r="AQ41" s="252">
        <f t="shared" si="9"/>
        <v>1.5306939501779353</v>
      </c>
      <c r="AR41" s="252">
        <f t="shared" si="9"/>
        <v>1.5021276595744677</v>
      </c>
      <c r="AS41" s="252">
        <f t="shared" si="9"/>
        <v>1.512228260869565</v>
      </c>
      <c r="AT41" s="252">
        <f t="shared" si="9"/>
        <v>1.5744448489261007</v>
      </c>
      <c r="AU41" s="252">
        <f t="shared" si="9"/>
        <v>1.4974984365228268</v>
      </c>
      <c r="AV41" s="252">
        <f t="shared" si="9"/>
        <v>1.4840367965367967</v>
      </c>
      <c r="AW41" s="252">
        <f t="shared" si="9"/>
        <v>1.6026785714285716</v>
      </c>
      <c r="AX41" s="252">
        <f t="shared" si="9"/>
        <v>1.6180245535714284</v>
      </c>
      <c r="AY41" s="252">
        <f t="shared" si="9"/>
        <v>1.5548844537815125</v>
      </c>
      <c r="AZ41" s="252">
        <f t="shared" si="9"/>
        <v>1.4384306310564878</v>
      </c>
      <c r="BA41" s="252">
        <f t="shared" si="9"/>
        <v>1.37382176520994</v>
      </c>
      <c r="BB41" s="252">
        <f t="shared" si="9"/>
        <v>1.3263674359440307</v>
      </c>
      <c r="BC41" s="252">
        <f t="shared" si="9"/>
        <v>1.3241335044929397</v>
      </c>
      <c r="BD41" s="252">
        <f t="shared" si="9"/>
        <v>1.2967834167262329</v>
      </c>
      <c r="BE41" s="252">
        <f t="shared" si="9"/>
        <v>1.2746687250739741</v>
      </c>
      <c r="BF41" s="252">
        <f t="shared" si="9"/>
        <v>1.3617021276595742</v>
      </c>
      <c r="BG41" s="252">
        <f t="shared" si="9"/>
        <v>1.3781981491562334</v>
      </c>
      <c r="BH41" s="252">
        <f t="shared" si="9"/>
        <v>1.4952494061757717</v>
      </c>
      <c r="BI41" s="252">
        <f t="shared" si="9"/>
        <v>1.5724979658258744</v>
      </c>
      <c r="BJ41" s="252">
        <f t="shared" si="9"/>
        <v>1.4134117317653649</v>
      </c>
      <c r="BK41" s="252">
        <f t="shared" si="9"/>
        <v>1.3354679802955665</v>
      </c>
      <c r="BL41" s="252">
        <f t="shared" si="9"/>
        <v>1.2552068336692581</v>
      </c>
      <c r="BM41" s="252">
        <f t="shared" si="9"/>
        <v>1.2422324510932108</v>
      </c>
      <c r="BN41" s="252">
        <f t="shared" si="9"/>
        <v>1.2238993710691823</v>
      </c>
      <c r="BO41" s="252">
        <f t="shared" si="9"/>
        <v>1.3377306432143476</v>
      </c>
      <c r="BP41" s="252">
        <f t="shared" si="9"/>
        <v>1.5306486101211687</v>
      </c>
      <c r="BQ41" s="252">
        <f t="shared" si="9"/>
        <v>1.4317331985851438</v>
      </c>
      <c r="BR41" s="252">
        <f t="shared" si="9"/>
        <v>1.3364593742793451</v>
      </c>
      <c r="BS41" s="252">
        <f t="shared" si="9"/>
        <v>1.3416900799654203</v>
      </c>
    </row>
    <row r="42" spans="1:71" s="8" customFormat="1" ht="12" x14ac:dyDescent="0.3">
      <c r="A42" s="306">
        <f>AVERAGE(G42:BS42)</f>
        <v>1.1522618384501409</v>
      </c>
      <c r="B42" s="7" t="s">
        <v>500</v>
      </c>
      <c r="C42" s="54" t="s">
        <v>540</v>
      </c>
      <c r="D42" s="54" t="s">
        <v>502</v>
      </c>
      <c r="E42" s="252"/>
      <c r="F42" s="252"/>
      <c r="G42" s="252">
        <f>1+(E27/E26)</f>
        <v>1.1355631541904627</v>
      </c>
      <c r="H42" s="252">
        <f t="shared" ref="H42:BS42" si="10">1+(G27/G26)</f>
        <v>1.1476843842857503</v>
      </c>
      <c r="I42" s="252">
        <f t="shared" si="10"/>
        <v>1.1502376756217711</v>
      </c>
      <c r="J42" s="252">
        <f t="shared" si="10"/>
        <v>1.1421130660099235</v>
      </c>
      <c r="K42" s="252">
        <f t="shared" si="10"/>
        <v>1.1550710913262336</v>
      </c>
      <c r="L42" s="252">
        <f t="shared" si="10"/>
        <v>1.1650832315883117</v>
      </c>
      <c r="M42" s="252">
        <f t="shared" si="10"/>
        <v>1.1598930469870381</v>
      </c>
      <c r="N42" s="252">
        <f t="shared" si="10"/>
        <v>1.1554656957077856</v>
      </c>
      <c r="O42" s="252">
        <f t="shared" si="10"/>
        <v>1.1479186593046329</v>
      </c>
      <c r="P42" s="252">
        <f t="shared" si="10"/>
        <v>1.1516849678670593</v>
      </c>
      <c r="Q42" s="252">
        <f t="shared" si="10"/>
        <v>1.1501303276422981</v>
      </c>
      <c r="R42" s="252">
        <f t="shared" si="10"/>
        <v>1.14429874733827</v>
      </c>
      <c r="S42" s="252">
        <f t="shared" si="10"/>
        <v>1.1454736507279346</v>
      </c>
      <c r="T42" s="252">
        <f t="shared" si="10"/>
        <v>1.1531955201604767</v>
      </c>
      <c r="U42" s="252">
        <f t="shared" si="10"/>
        <v>1.1549321621897564</v>
      </c>
      <c r="V42" s="252">
        <f t="shared" si="10"/>
        <v>1.1588614686746772</v>
      </c>
      <c r="W42" s="252">
        <f t="shared" si="10"/>
        <v>1.1629061514625876</v>
      </c>
      <c r="X42" s="252">
        <f t="shared" si="10"/>
        <v>1.1682740542223167</v>
      </c>
      <c r="Y42" s="252">
        <f t="shared" si="10"/>
        <v>1.1689544516493922</v>
      </c>
      <c r="Z42" s="252">
        <f t="shared" si="10"/>
        <v>1.1758117004361137</v>
      </c>
      <c r="AA42" s="252">
        <f t="shared" si="10"/>
        <v>1.1803802570704613</v>
      </c>
      <c r="AB42" s="252">
        <f t="shared" si="10"/>
        <v>1.1821852291327231</v>
      </c>
      <c r="AC42" s="252">
        <f t="shared" si="10"/>
        <v>1.1805022533393057</v>
      </c>
      <c r="AD42" s="252">
        <f t="shared" si="10"/>
        <v>1.1843683304675869</v>
      </c>
      <c r="AE42" s="252">
        <f t="shared" si="10"/>
        <v>1.1748843958249056</v>
      </c>
      <c r="AF42" s="252">
        <f t="shared" si="10"/>
        <v>1.1678746881812458</v>
      </c>
      <c r="AG42" s="252">
        <f t="shared" si="10"/>
        <v>1.1732809432570077</v>
      </c>
      <c r="AH42" s="252">
        <f t="shared" si="10"/>
        <v>1.1787157144661893</v>
      </c>
      <c r="AI42" s="252">
        <f t="shared" si="10"/>
        <v>1.1734300749860138</v>
      </c>
      <c r="AJ42" s="252">
        <f t="shared" si="10"/>
        <v>1.1611032549565579</v>
      </c>
      <c r="AK42" s="252">
        <f t="shared" si="10"/>
        <v>1.1617196087556354</v>
      </c>
      <c r="AL42" s="252">
        <f t="shared" si="10"/>
        <v>1.162611266298117</v>
      </c>
      <c r="AM42" s="252">
        <f t="shared" si="10"/>
        <v>1.1581973711392135</v>
      </c>
      <c r="AN42" s="252">
        <f t="shared" si="10"/>
        <v>1.1559173583453259</v>
      </c>
      <c r="AO42" s="252">
        <f t="shared" si="10"/>
        <v>1.1462249408503296</v>
      </c>
      <c r="AP42" s="252">
        <f t="shared" si="10"/>
        <v>1.1428788459691153</v>
      </c>
      <c r="AQ42" s="252">
        <f t="shared" si="10"/>
        <v>1.1363378998352325</v>
      </c>
      <c r="AR42" s="252">
        <f t="shared" si="10"/>
        <v>1.1396087164222659</v>
      </c>
      <c r="AS42" s="252">
        <f t="shared" si="10"/>
        <v>1.145121703431879</v>
      </c>
      <c r="AT42" s="252">
        <f t="shared" si="10"/>
        <v>1.1498163859088284</v>
      </c>
      <c r="AU42" s="252">
        <f t="shared" si="10"/>
        <v>1.1504837067302125</v>
      </c>
      <c r="AV42" s="252">
        <f t="shared" si="10"/>
        <v>1.1643222669079538</v>
      </c>
      <c r="AW42" s="252">
        <f t="shared" si="10"/>
        <v>1.1581712141794387</v>
      </c>
      <c r="AX42" s="252">
        <f t="shared" si="10"/>
        <v>1.1557893011642582</v>
      </c>
      <c r="AY42" s="252">
        <f t="shared" si="10"/>
        <v>1.1507203955502212</v>
      </c>
      <c r="AZ42" s="252">
        <f t="shared" si="10"/>
        <v>1.1481746921627218</v>
      </c>
      <c r="BA42" s="252">
        <f t="shared" si="10"/>
        <v>1.1494073940669112</v>
      </c>
      <c r="BB42" s="252">
        <f t="shared" si="10"/>
        <v>1.1475970259434325</v>
      </c>
      <c r="BC42" s="252">
        <f t="shared" si="10"/>
        <v>1.1667790684032557</v>
      </c>
      <c r="BD42" s="252">
        <f t="shared" si="10"/>
        <v>1.1467689107153864</v>
      </c>
      <c r="BE42" s="252">
        <f t="shared" si="10"/>
        <v>1.1454369756612985</v>
      </c>
      <c r="BF42" s="252">
        <f t="shared" si="10"/>
        <v>1.143626248084606</v>
      </c>
      <c r="BG42" s="252">
        <f t="shared" si="10"/>
        <v>1.1405152789717043</v>
      </c>
      <c r="BH42" s="252">
        <f t="shared" si="10"/>
        <v>1.1411889738639589</v>
      </c>
      <c r="BI42" s="252">
        <f t="shared" si="10"/>
        <v>1.1414302604302768</v>
      </c>
      <c r="BJ42" s="252">
        <f t="shared" si="10"/>
        <v>1.1311688824235351</v>
      </c>
      <c r="BK42" s="252">
        <f t="shared" si="10"/>
        <v>1.1312263071230326</v>
      </c>
      <c r="BL42" s="252">
        <f t="shared" si="10"/>
        <v>1.1328600993438251</v>
      </c>
      <c r="BM42" s="252">
        <f t="shared" si="10"/>
        <v>1.1350046343304758</v>
      </c>
      <c r="BN42" s="252">
        <f t="shared" si="10"/>
        <v>1.135080018884451</v>
      </c>
      <c r="BO42" s="252">
        <f t="shared" si="10"/>
        <v>1.1338214101560038</v>
      </c>
      <c r="BP42" s="252">
        <f t="shared" si="10"/>
        <v>1.1314863233195511</v>
      </c>
      <c r="BQ42" s="252">
        <f t="shared" si="10"/>
        <v>1.1228776738701194</v>
      </c>
      <c r="BR42" s="252">
        <f t="shared" si="10"/>
        <v>1.1203145322076946</v>
      </c>
      <c r="BS42" s="252">
        <f t="shared" si="10"/>
        <v>1.1240554587341012</v>
      </c>
    </row>
    <row r="43" spans="1:71" s="8" customFormat="1" ht="12" x14ac:dyDescent="0.3">
      <c r="A43" s="306">
        <f>AVERAGE(G43:BS43)</f>
        <v>0.76778339169079302</v>
      </c>
      <c r="B43" s="7" t="s">
        <v>538</v>
      </c>
      <c r="C43" s="54" t="s">
        <v>546</v>
      </c>
      <c r="D43" s="54" t="s">
        <v>539</v>
      </c>
      <c r="E43" s="252"/>
      <c r="F43" s="252"/>
      <c r="G43" s="252">
        <f>E36/E26</f>
        <v>1.0449515172273744</v>
      </c>
      <c r="H43" s="252">
        <f t="shared" ref="H43:BS43" si="11">G36/G26</f>
        <v>1.1144145976813904</v>
      </c>
      <c r="I43" s="252">
        <f t="shared" si="11"/>
        <v>1.0856432569586199</v>
      </c>
      <c r="J43" s="252">
        <f t="shared" si="11"/>
        <v>1.0572743259294921</v>
      </c>
      <c r="K43" s="252">
        <f t="shared" si="11"/>
        <v>1.0342909969640226</v>
      </c>
      <c r="L43" s="252">
        <f t="shared" si="11"/>
        <v>1.0103584443474867</v>
      </c>
      <c r="M43" s="252">
        <f t="shared" si="11"/>
        <v>0.9883178238115764</v>
      </c>
      <c r="N43" s="252">
        <f t="shared" si="11"/>
        <v>0.96784345683483386</v>
      </c>
      <c r="O43" s="252">
        <f t="shared" si="11"/>
        <v>0.94880043236501688</v>
      </c>
      <c r="P43" s="252">
        <f t="shared" si="11"/>
        <v>0.93395262005393498</v>
      </c>
      <c r="Q43" s="252">
        <f t="shared" si="11"/>
        <v>0.92051146746471224</v>
      </c>
      <c r="R43" s="252">
        <f t="shared" si="11"/>
        <v>0.90696811619103856</v>
      </c>
      <c r="S43" s="252">
        <f t="shared" si="11"/>
        <v>0.89111802334910606</v>
      </c>
      <c r="T43" s="252">
        <f t="shared" si="11"/>
        <v>0.87714202480983938</v>
      </c>
      <c r="U43" s="252">
        <f t="shared" si="11"/>
        <v>0.86589414810772147</v>
      </c>
      <c r="V43" s="252">
        <f t="shared" si="11"/>
        <v>0.85499527560517152</v>
      </c>
      <c r="W43" s="252">
        <f t="shared" si="11"/>
        <v>0.84537185903449208</v>
      </c>
      <c r="X43" s="252">
        <f t="shared" si="11"/>
        <v>0.8356555304155564</v>
      </c>
      <c r="Y43" s="252">
        <f t="shared" si="11"/>
        <v>0.82800502856271163</v>
      </c>
      <c r="Z43" s="252">
        <f t="shared" si="11"/>
        <v>0.82190407728393022</v>
      </c>
      <c r="AA43" s="252">
        <f t="shared" si="11"/>
        <v>0.81730475940826952</v>
      </c>
      <c r="AB43" s="252">
        <f t="shared" si="11"/>
        <v>0.81079882595865238</v>
      </c>
      <c r="AC43" s="252">
        <f t="shared" si="11"/>
        <v>0.80468861772156031</v>
      </c>
      <c r="AD43" s="252">
        <f t="shared" si="11"/>
        <v>0.79831848708038</v>
      </c>
      <c r="AE43" s="252">
        <f t="shared" si="11"/>
        <v>0.79009232582994571</v>
      </c>
      <c r="AF43" s="252">
        <f t="shared" si="11"/>
        <v>0.78124969492731233</v>
      </c>
      <c r="AG43" s="252">
        <f t="shared" si="11"/>
        <v>0.77384946742421168</v>
      </c>
      <c r="AH43" s="252">
        <f t="shared" si="11"/>
        <v>0.76764877720742464</v>
      </c>
      <c r="AI43" s="252">
        <f t="shared" si="11"/>
        <v>0.76344288476740851</v>
      </c>
      <c r="AJ43" s="252">
        <f t="shared" si="11"/>
        <v>0.75409441077376638</v>
      </c>
      <c r="AK43" s="252">
        <f t="shared" si="11"/>
        <v>0.74550038296160714</v>
      </c>
      <c r="AL43" s="252">
        <f t="shared" si="11"/>
        <v>0.73851141998933134</v>
      </c>
      <c r="AM43" s="252">
        <f t="shared" si="11"/>
        <v>0.73399919195170027</v>
      </c>
      <c r="AN43" s="252">
        <f t="shared" si="11"/>
        <v>0.73073647292248356</v>
      </c>
      <c r="AO43" s="252">
        <f t="shared" si="11"/>
        <v>0.72661797941224626</v>
      </c>
      <c r="AP43" s="252">
        <f t="shared" si="11"/>
        <v>0.7222813936707082</v>
      </c>
      <c r="AQ43" s="252">
        <f t="shared" si="11"/>
        <v>0.7153762030553481</v>
      </c>
      <c r="AR43" s="252">
        <f t="shared" si="11"/>
        <v>0.7081754264324841</v>
      </c>
      <c r="AS43" s="252">
        <f t="shared" si="11"/>
        <v>0.70438384915902841</v>
      </c>
      <c r="AT43" s="252">
        <f t="shared" si="11"/>
        <v>0.70069462288824513</v>
      </c>
      <c r="AU43" s="252">
        <f t="shared" si="11"/>
        <v>0.69510430444332272</v>
      </c>
      <c r="AV43" s="252">
        <f t="shared" si="11"/>
        <v>0.68901258351325823</v>
      </c>
      <c r="AW43" s="252">
        <f t="shared" si="11"/>
        <v>0.68332708708680256</v>
      </c>
      <c r="AX43" s="252">
        <f t="shared" si="11"/>
        <v>0.67863027132987419</v>
      </c>
      <c r="AY43" s="252">
        <f t="shared" si="11"/>
        <v>0.67321308887831832</v>
      </c>
      <c r="AZ43" s="252">
        <f t="shared" si="11"/>
        <v>0.66552257955350524</v>
      </c>
      <c r="BA43" s="252">
        <f t="shared" si="11"/>
        <v>0.65837727289635362</v>
      </c>
      <c r="BB43" s="252">
        <f t="shared" si="11"/>
        <v>0.65319965416697412</v>
      </c>
      <c r="BC43" s="252">
        <f t="shared" si="11"/>
        <v>0.64869988177215399</v>
      </c>
      <c r="BD43" s="252">
        <f t="shared" si="11"/>
        <v>0.64574192963101817</v>
      </c>
      <c r="BE43" s="252">
        <f t="shared" si="11"/>
        <v>0.64355036470508165</v>
      </c>
      <c r="BF43" s="252">
        <f t="shared" si="11"/>
        <v>0.64163456647121286</v>
      </c>
      <c r="BG43" s="252">
        <f t="shared" si="11"/>
        <v>0.64025030561101659</v>
      </c>
      <c r="BH43" s="252">
        <f t="shared" si="11"/>
        <v>0.63852041895905687</v>
      </c>
      <c r="BI43" s="252">
        <f t="shared" si="11"/>
        <v>0.63668529734087331</v>
      </c>
      <c r="BJ43" s="252">
        <f t="shared" si="11"/>
        <v>0.63106735114962187</v>
      </c>
      <c r="BK43" s="252">
        <f t="shared" si="11"/>
        <v>0.6237346212178585</v>
      </c>
      <c r="BL43" s="252">
        <f t="shared" si="11"/>
        <v>0.61680798108633395</v>
      </c>
      <c r="BM43" s="252">
        <f t="shared" si="11"/>
        <v>0.61171036513755317</v>
      </c>
      <c r="BN43" s="252">
        <f t="shared" si="11"/>
        <v>0.60757315834197401</v>
      </c>
      <c r="BO43" s="252">
        <f t="shared" si="11"/>
        <v>0.60627053217960547</v>
      </c>
      <c r="BP43" s="252">
        <f t="shared" si="11"/>
        <v>0.60519148038616244</v>
      </c>
      <c r="BQ43" s="252">
        <f t="shared" si="11"/>
        <v>0.60330022095984615</v>
      </c>
      <c r="BR43" s="252">
        <f t="shared" si="11"/>
        <v>0.59647182833548884</v>
      </c>
      <c r="BS43" s="252">
        <f t="shared" si="11"/>
        <v>0.59114509820814376</v>
      </c>
    </row>
    <row r="44" spans="1:71" s="8" customFormat="1" ht="12" x14ac:dyDescent="0.3">
      <c r="A44" s="306">
        <f>AVERAGE(G44:BS44)</f>
        <v>0.86277993080318383</v>
      </c>
      <c r="B44" s="8" t="s">
        <v>542</v>
      </c>
      <c r="C44" s="21" t="s">
        <v>545</v>
      </c>
      <c r="D44" s="152" t="s">
        <v>541</v>
      </c>
      <c r="E44" s="167"/>
      <c r="F44" s="167"/>
      <c r="G44" s="252">
        <f>G43*(G41/G42)</f>
        <v>1.0183608090231631</v>
      </c>
      <c r="H44" s="252">
        <f t="shared" ref="H44:BS44" si="12">H43*(H41/H42)</f>
        <v>1.0530224761813871</v>
      </c>
      <c r="I44" s="252">
        <f t="shared" si="12"/>
        <v>1.0361749696412539</v>
      </c>
      <c r="J44" s="252">
        <f t="shared" si="12"/>
        <v>1.001066858029636</v>
      </c>
      <c r="K44" s="252">
        <f t="shared" si="12"/>
        <v>0.97558894729915235</v>
      </c>
      <c r="L44" s="252">
        <f t="shared" si="12"/>
        <v>0.95391836278264497</v>
      </c>
      <c r="M44" s="252">
        <f t="shared" si="12"/>
        <v>0.93888342633807986</v>
      </c>
      <c r="N44" s="252">
        <f t="shared" si="12"/>
        <v>0.92966834467970227</v>
      </c>
      <c r="O44" s="252">
        <f t="shared" si="12"/>
        <v>0.90990323060540068</v>
      </c>
      <c r="P44" s="252">
        <f t="shared" si="12"/>
        <v>0.90244490362989038</v>
      </c>
      <c r="Q44" s="252">
        <f t="shared" si="12"/>
        <v>0.90826695730362506</v>
      </c>
      <c r="R44" s="252">
        <f t="shared" si="12"/>
        <v>0.92171717986300383</v>
      </c>
      <c r="S44" s="252">
        <f t="shared" si="12"/>
        <v>0.8784257073600652</v>
      </c>
      <c r="T44" s="252">
        <f t="shared" si="12"/>
        <v>0.87166897794763654</v>
      </c>
      <c r="U44" s="252">
        <f t="shared" si="12"/>
        <v>0.86904558644944296</v>
      </c>
      <c r="V44" s="252">
        <f t="shared" si="12"/>
        <v>0.85236036074763066</v>
      </c>
      <c r="W44" s="252">
        <f t="shared" si="12"/>
        <v>0.84000323736410276</v>
      </c>
      <c r="X44" s="252">
        <f t="shared" si="12"/>
        <v>0.82696052086781779</v>
      </c>
      <c r="Y44" s="252">
        <f t="shared" si="12"/>
        <v>0.81743659394385393</v>
      </c>
      <c r="Z44" s="252">
        <f t="shared" si="12"/>
        <v>0.81021607777096383</v>
      </c>
      <c r="AA44" s="252">
        <f t="shared" si="12"/>
        <v>0.82294396097880573</v>
      </c>
      <c r="AB44" s="252">
        <f t="shared" si="12"/>
        <v>0.82511351983716663</v>
      </c>
      <c r="AC44" s="252">
        <f t="shared" si="12"/>
        <v>0.86156137712490677</v>
      </c>
      <c r="AD44" s="252">
        <f t="shared" si="12"/>
        <v>0.91720289210001604</v>
      </c>
      <c r="AE44" s="252">
        <f t="shared" si="12"/>
        <v>0.88444760823103541</v>
      </c>
      <c r="AF44" s="252">
        <f t="shared" si="12"/>
        <v>0.86458004155345336</v>
      </c>
      <c r="AG44" s="252">
        <f t="shared" si="12"/>
        <v>0.87379696808562546</v>
      </c>
      <c r="AH44" s="252">
        <f t="shared" si="12"/>
        <v>0.94922444636643655</v>
      </c>
      <c r="AI44" s="252">
        <f t="shared" si="12"/>
        <v>0.91041258050526375</v>
      </c>
      <c r="AJ44" s="252">
        <f t="shared" si="12"/>
        <v>0.85401566570372989</v>
      </c>
      <c r="AK44" s="252">
        <f t="shared" si="12"/>
        <v>0.82008061569965507</v>
      </c>
      <c r="AL44" s="252">
        <f t="shared" si="12"/>
        <v>0.82195110368758051</v>
      </c>
      <c r="AM44" s="252">
        <f t="shared" si="12"/>
        <v>0.87434566671925829</v>
      </c>
      <c r="AN44" s="252">
        <f t="shared" si="12"/>
        <v>0.97377055703066573</v>
      </c>
      <c r="AO44" s="252">
        <f t="shared" si="12"/>
        <v>0.99312369317412263</v>
      </c>
      <c r="AP44" s="252">
        <f t="shared" si="12"/>
        <v>1.0810544594582761</v>
      </c>
      <c r="AQ44" s="252">
        <f t="shared" si="12"/>
        <v>0.96364120766970829</v>
      </c>
      <c r="AR44" s="252">
        <f t="shared" si="12"/>
        <v>0.93345187742580671</v>
      </c>
      <c r="AS44" s="252">
        <f t="shared" si="12"/>
        <v>0.93019734060235071</v>
      </c>
      <c r="AT44" s="252">
        <f t="shared" si="12"/>
        <v>0.95946192209169823</v>
      </c>
      <c r="AU44" s="252">
        <f t="shared" si="12"/>
        <v>0.9047651896631832</v>
      </c>
      <c r="AV44" s="252">
        <f t="shared" si="12"/>
        <v>0.87821048885891795</v>
      </c>
      <c r="AW44" s="252">
        <f t="shared" si="12"/>
        <v>0.94558875781301244</v>
      </c>
      <c r="AX44" s="252">
        <f t="shared" si="12"/>
        <v>0.95003513244368232</v>
      </c>
      <c r="AY44" s="252">
        <f t="shared" si="12"/>
        <v>0.90966369417534532</v>
      </c>
      <c r="AZ44" s="252">
        <f t="shared" si="12"/>
        <v>0.83376516711606674</v>
      </c>
      <c r="BA44" s="252">
        <f t="shared" si="12"/>
        <v>0.7869211838147625</v>
      </c>
      <c r="BB44" s="252">
        <f t="shared" si="12"/>
        <v>0.75495381294207276</v>
      </c>
      <c r="BC44" s="252">
        <f t="shared" si="12"/>
        <v>0.73618499943662608</v>
      </c>
      <c r="BD44" s="252">
        <f t="shared" si="12"/>
        <v>0.73021462127702497</v>
      </c>
      <c r="BE44" s="252">
        <f t="shared" si="12"/>
        <v>0.71615771127514316</v>
      </c>
      <c r="BF44" s="252">
        <f t="shared" si="12"/>
        <v>0.76398662220906033</v>
      </c>
      <c r="BG44" s="252">
        <f t="shared" si="12"/>
        <v>0.77367818078280004</v>
      </c>
      <c r="BH44" s="252">
        <f t="shared" si="12"/>
        <v>0.83662504558465012</v>
      </c>
      <c r="BI44" s="252">
        <f t="shared" si="12"/>
        <v>0.87713316323185198</v>
      </c>
      <c r="BJ44" s="252">
        <f t="shared" si="12"/>
        <v>0.78852770042431175</v>
      </c>
      <c r="BK44" s="252">
        <f t="shared" si="12"/>
        <v>0.73634922525510071</v>
      </c>
      <c r="BL44" s="252">
        <f t="shared" si="12"/>
        <v>0.68342206894721524</v>
      </c>
      <c r="BM44" s="252">
        <f t="shared" si="12"/>
        <v>0.66950076084243715</v>
      </c>
      <c r="BN44" s="252">
        <f t="shared" si="12"/>
        <v>0.65511540508313415</v>
      </c>
      <c r="BO44" s="252">
        <f t="shared" si="12"/>
        <v>0.71530371689042138</v>
      </c>
      <c r="BP44" s="252">
        <f t="shared" si="12"/>
        <v>0.81868908109518446</v>
      </c>
      <c r="BQ44" s="252">
        <f t="shared" si="12"/>
        <v>0.76924225600185381</v>
      </c>
      <c r="BR44" s="252">
        <f t="shared" si="12"/>
        <v>0.71155050082374471</v>
      </c>
      <c r="BS44" s="252">
        <f t="shared" si="12"/>
        <v>0.70559998434531768</v>
      </c>
    </row>
    <row r="45" spans="1:71" s="14" customFormat="1" ht="10.75" customHeight="1" x14ac:dyDescent="0.35">
      <c r="C45" s="151"/>
    </row>
    <row r="46" spans="1:71" x14ac:dyDescent="0.35">
      <c r="B46" s="267" t="s">
        <v>536</v>
      </c>
    </row>
    <row r="47" spans="1:71" s="32" customFormat="1" x14ac:dyDescent="0.35">
      <c r="A47" s="300">
        <f>AVERAGE(G47:BS47)</f>
        <v>0.5157904297025997</v>
      </c>
      <c r="B47" s="30" t="s">
        <v>534</v>
      </c>
      <c r="C47" s="80" t="s">
        <v>548</v>
      </c>
      <c r="D47" s="168" t="s">
        <v>550</v>
      </c>
      <c r="E47" s="167"/>
      <c r="F47" s="167"/>
      <c r="G47" s="169">
        <f>G35/E26</f>
        <v>0.76765258887908117</v>
      </c>
      <c r="H47" s="169">
        <f t="shared" ref="H47:AL47" si="13">H35/G26</f>
        <v>0.78612834060533643</v>
      </c>
      <c r="I47" s="169">
        <f t="shared" si="13"/>
        <v>0.67976605661560874</v>
      </c>
      <c r="J47" s="169">
        <f t="shared" si="13"/>
        <v>0.73939448618254777</v>
      </c>
      <c r="K47" s="169">
        <f t="shared" si="13"/>
        <v>0.73977218304482595</v>
      </c>
      <c r="L47" s="169">
        <f t="shared" si="13"/>
        <v>0.69611156262393559</v>
      </c>
      <c r="M47" s="169">
        <f t="shared" si="13"/>
        <v>0.68947364088939223</v>
      </c>
      <c r="N47" s="169">
        <f t="shared" si="13"/>
        <v>0.63196468226776259</v>
      </c>
      <c r="O47" s="169">
        <f t="shared" si="13"/>
        <v>0.68244230218194912</v>
      </c>
      <c r="P47" s="169">
        <f t="shared" si="13"/>
        <v>0.65060576363141809</v>
      </c>
      <c r="Q47" s="169">
        <f t="shared" si="13"/>
        <v>0.60125450993813745</v>
      </c>
      <c r="R47" s="169">
        <f t="shared" si="13"/>
        <v>0.53705452421650812</v>
      </c>
      <c r="S47" s="169">
        <f t="shared" si="13"/>
        <v>0.58338406092479511</v>
      </c>
      <c r="T47" s="169">
        <f t="shared" si="13"/>
        <v>0.5751716047040224</v>
      </c>
      <c r="U47" s="169">
        <f t="shared" si="13"/>
        <v>0.57224488235268567</v>
      </c>
      <c r="V47" s="169">
        <f t="shared" si="13"/>
        <v>0.60304686531761453</v>
      </c>
      <c r="W47" s="169">
        <f t="shared" si="13"/>
        <v>0.61433146352168855</v>
      </c>
      <c r="X47" s="169">
        <f t="shared" si="13"/>
        <v>0.63727167331493983</v>
      </c>
      <c r="Y47" s="169">
        <f t="shared" si="13"/>
        <v>0.65706536674536331</v>
      </c>
      <c r="Z47" s="169">
        <f t="shared" si="13"/>
        <v>0.66829347760600988</v>
      </c>
      <c r="AA47" s="169">
        <f t="shared" si="13"/>
        <v>0.64191933979084004</v>
      </c>
      <c r="AB47" s="169">
        <f t="shared" si="13"/>
        <v>0.64845321951670221</v>
      </c>
      <c r="AC47" s="169">
        <f t="shared" si="13"/>
        <v>0.63599831873443569</v>
      </c>
      <c r="AD47" s="169">
        <f t="shared" si="13"/>
        <v>0.59009427502716516</v>
      </c>
      <c r="AE47" s="169">
        <f t="shared" si="13"/>
        <v>0.57273702619007838</v>
      </c>
      <c r="AF47" s="169">
        <f t="shared" si="13"/>
        <v>0.57337025197413338</v>
      </c>
      <c r="AG47" s="169">
        <f t="shared" si="13"/>
        <v>0.58560075414934432</v>
      </c>
      <c r="AH47" s="169">
        <f t="shared" si="13"/>
        <v>0.55338704906943104</v>
      </c>
      <c r="AI47" s="169">
        <f t="shared" si="13"/>
        <v>0.48197151816124273</v>
      </c>
      <c r="AJ47" s="169">
        <f t="shared" si="13"/>
        <v>0.48329816991144692</v>
      </c>
      <c r="AK47" s="169">
        <f t="shared" si="13"/>
        <v>0.4930243742046253</v>
      </c>
      <c r="AL47" s="169">
        <f t="shared" si="13"/>
        <v>0.50120625853038436</v>
      </c>
      <c r="AM47" s="169">
        <f t="shared" ref="AM47:BS47" si="14">AM35/AL26</f>
        <v>0.48447825598003413</v>
      </c>
      <c r="AN47" s="169">
        <f t="shared" si="14"/>
        <v>0.45165159671568433</v>
      </c>
      <c r="AO47" s="169">
        <f t="shared" si="14"/>
        <v>0.44233382645011043</v>
      </c>
      <c r="AP47" s="169">
        <f t="shared" si="14"/>
        <v>0.40118013351453691</v>
      </c>
      <c r="AQ47" s="169">
        <f t="shared" si="14"/>
        <v>0.40446584999480184</v>
      </c>
      <c r="AR47" s="169">
        <f t="shared" si="14"/>
        <v>0.43925828575954512</v>
      </c>
      <c r="AS47" s="169">
        <f t="shared" si="14"/>
        <v>0.43893563538684982</v>
      </c>
      <c r="AT47" s="169">
        <f t="shared" si="14"/>
        <v>0.43128136556062274</v>
      </c>
      <c r="AU47" s="169">
        <f t="shared" si="14"/>
        <v>0.44010902660708268</v>
      </c>
      <c r="AV47" s="169">
        <f t="shared" si="14"/>
        <v>0.44921401212615147</v>
      </c>
      <c r="AW47" s="169">
        <f t="shared" si="14"/>
        <v>0.44076579927777421</v>
      </c>
      <c r="AX47" s="169">
        <f t="shared" si="14"/>
        <v>0.43115886279661225</v>
      </c>
      <c r="AY47" s="169">
        <f t="shared" si="14"/>
        <v>0.41463864377390647</v>
      </c>
      <c r="AZ47" s="169">
        <f t="shared" si="14"/>
        <v>0.42240627260372321</v>
      </c>
      <c r="BA47" s="169">
        <f t="shared" si="14"/>
        <v>0.42469552229008661</v>
      </c>
      <c r="BB47" s="169">
        <f t="shared" si="14"/>
        <v>0.4334561907917342</v>
      </c>
      <c r="BC47" s="169">
        <f t="shared" si="14"/>
        <v>0.43225495478857773</v>
      </c>
      <c r="BD47" s="169">
        <f t="shared" si="14"/>
        <v>0.43219443764423709</v>
      </c>
      <c r="BE47" s="169">
        <f t="shared" si="14"/>
        <v>0.44144059700476862</v>
      </c>
      <c r="BF47" s="169">
        <f t="shared" si="14"/>
        <v>0.44347511724040639</v>
      </c>
      <c r="BG47" s="169">
        <f t="shared" si="14"/>
        <v>0.4434187545247435</v>
      </c>
      <c r="BH47" s="169">
        <f t="shared" si="14"/>
        <v>0.44547528130187647</v>
      </c>
      <c r="BI47" s="169">
        <f t="shared" si="14"/>
        <v>0.41309703393288749</v>
      </c>
      <c r="BJ47" s="169">
        <f t="shared" si="14"/>
        <v>0.39401696916443185</v>
      </c>
      <c r="BK47" s="169">
        <f t="shared" si="14"/>
        <v>0.39108665608697901</v>
      </c>
      <c r="BL47" s="169">
        <f t="shared" si="14"/>
        <v>0.40053774381980695</v>
      </c>
      <c r="BM47" s="169">
        <f t="shared" si="14"/>
        <v>0.39723055650236183</v>
      </c>
      <c r="BN47" s="169">
        <f t="shared" si="14"/>
        <v>0.38916775185943303</v>
      </c>
      <c r="BO47" s="169">
        <f t="shared" si="14"/>
        <v>0.36294530048255874</v>
      </c>
      <c r="BP47" s="169">
        <f t="shared" si="14"/>
        <v>0.34247083196932454</v>
      </c>
      <c r="BQ47" s="169">
        <f t="shared" si="14"/>
        <v>0.30442828549652151</v>
      </c>
      <c r="BR47" s="169">
        <f t="shared" si="14"/>
        <v>0.33154698996309295</v>
      </c>
      <c r="BS47" s="169">
        <f t="shared" si="14"/>
        <v>0.33807079843425886</v>
      </c>
    </row>
    <row r="48" spans="1:71" s="32" customFormat="1" x14ac:dyDescent="0.35">
      <c r="A48" s="300">
        <f>AVERAGE(G48:BS48)</f>
        <v>8.7134417250470039E-2</v>
      </c>
      <c r="B48" s="30" t="s">
        <v>535</v>
      </c>
      <c r="C48" s="80" t="s">
        <v>549</v>
      </c>
      <c r="D48" s="248" t="s">
        <v>515</v>
      </c>
      <c r="E48" s="167"/>
      <c r="F48" s="167"/>
      <c r="G48" s="169">
        <f>G24/E26</f>
        <v>0.14749942997249638</v>
      </c>
      <c r="H48" s="169">
        <f t="shared" ref="H48:AL48" si="15">H24/G26</f>
        <v>0.17352273588305711</v>
      </c>
      <c r="I48" s="169">
        <f t="shared" si="15"/>
        <v>0.14398728444045125</v>
      </c>
      <c r="J48" s="169">
        <f t="shared" si="15"/>
        <v>0.17139602644662832</v>
      </c>
      <c r="K48" s="169">
        <f t="shared" si="15"/>
        <v>0.16984787056402051</v>
      </c>
      <c r="L48" s="169">
        <f t="shared" si="15"/>
        <v>0.14461610228571375</v>
      </c>
      <c r="M48" s="169">
        <f t="shared" si="15"/>
        <v>0.13478703776296819</v>
      </c>
      <c r="N48" s="169">
        <f t="shared" si="15"/>
        <v>0.12275087745222282</v>
      </c>
      <c r="O48" s="169">
        <f t="shared" si="15"/>
        <v>0.1497260418158137</v>
      </c>
      <c r="P48" s="169">
        <f t="shared" si="15"/>
        <v>0.12989125669673188</v>
      </c>
      <c r="Q48" s="169">
        <f t="shared" si="15"/>
        <v>0.11356462517931715</v>
      </c>
      <c r="R48" s="169">
        <f t="shared" si="15"/>
        <v>9.3533284662761548E-2</v>
      </c>
      <c r="S48" s="169">
        <f t="shared" si="15"/>
        <v>0.11545672158503886</v>
      </c>
      <c r="T48" s="169">
        <f t="shared" si="15"/>
        <v>0.10655272410226425</v>
      </c>
      <c r="U48" s="169">
        <f t="shared" si="15"/>
        <v>0.1049631153576638</v>
      </c>
      <c r="V48" s="169">
        <f t="shared" si="15"/>
        <v>0.11643672588999082</v>
      </c>
      <c r="W48" s="169">
        <f t="shared" si="15"/>
        <v>0.12237147801872544</v>
      </c>
      <c r="X48" s="169">
        <f t="shared" si="15"/>
        <v>0.12964239191042123</v>
      </c>
      <c r="Y48" s="169">
        <f t="shared" si="15"/>
        <v>0.13996861197856958</v>
      </c>
      <c r="Z48" s="169">
        <f t="shared" si="15"/>
        <v>0.13979041128911068</v>
      </c>
      <c r="AA48" s="169">
        <f t="shared" si="15"/>
        <v>0.12388680591669547</v>
      </c>
      <c r="AB48" s="169">
        <f t="shared" si="15"/>
        <v>0.12159327514376647</v>
      </c>
      <c r="AC48" s="169">
        <f t="shared" si="15"/>
        <v>0.10516225021963299</v>
      </c>
      <c r="AD48" s="169">
        <f t="shared" si="15"/>
        <v>8.1221446398408656E-2</v>
      </c>
      <c r="AE48" s="169">
        <f t="shared" si="15"/>
        <v>8.5431093708717917E-2</v>
      </c>
      <c r="AF48" s="169">
        <f t="shared" si="15"/>
        <v>8.8929115184420385E-2</v>
      </c>
      <c r="AG48" s="169">
        <f t="shared" si="15"/>
        <v>8.7239149999684823E-2</v>
      </c>
      <c r="AH48" s="169">
        <f t="shared" si="15"/>
        <v>6.8342705971537618E-2</v>
      </c>
      <c r="AI48" s="169">
        <f t="shared" si="15"/>
        <v>6.7305904947928832E-2</v>
      </c>
      <c r="AJ48" s="169">
        <f t="shared" si="15"/>
        <v>7.3170455398738454E-2</v>
      </c>
      <c r="AK48" s="169">
        <f t="shared" si="15"/>
        <v>7.8323345989457074E-2</v>
      </c>
      <c r="AL48" s="169">
        <f t="shared" si="15"/>
        <v>7.8940288403690467E-2</v>
      </c>
      <c r="AM48" s="169">
        <f t="shared" ref="AM48:BS48" si="16">AM24/AL26</f>
        <v>6.7246526978231677E-2</v>
      </c>
      <c r="AN48" s="169">
        <f t="shared" si="16"/>
        <v>5.054892465938754E-2</v>
      </c>
      <c r="AO48" s="169">
        <f t="shared" si="16"/>
        <v>5.0946414897222542E-2</v>
      </c>
      <c r="AP48" s="169">
        <f t="shared" si="16"/>
        <v>4.0004770500239845E-2</v>
      </c>
      <c r="AQ48" s="169">
        <f t="shared" si="16"/>
        <v>4.8459160624010809E-2</v>
      </c>
      <c r="AR48" s="169">
        <f t="shared" si="16"/>
        <v>5.8473771046163005E-2</v>
      </c>
      <c r="AS48" s="169">
        <f t="shared" si="16"/>
        <v>5.7310027966067309E-2</v>
      </c>
      <c r="AT48" s="169">
        <f t="shared" si="16"/>
        <v>5.0396882388762582E-2</v>
      </c>
      <c r="AU48" s="169">
        <f t="shared" si="16"/>
        <v>5.571706057121454E-2</v>
      </c>
      <c r="AV48" s="169">
        <f t="shared" si="16"/>
        <v>6.0667774648966132E-2</v>
      </c>
      <c r="AW48" s="169">
        <f t="shared" si="16"/>
        <v>5.4875625268751269E-2</v>
      </c>
      <c r="AX48" s="169">
        <f t="shared" si="16"/>
        <v>5.1440524775734298E-2</v>
      </c>
      <c r="AY48" s="169">
        <f t="shared" si="16"/>
        <v>5.1342761860339994E-2</v>
      </c>
      <c r="AZ48" s="169">
        <f t="shared" si="16"/>
        <v>5.515711806019237E-2</v>
      </c>
      <c r="BA48" s="169">
        <f t="shared" si="16"/>
        <v>5.8255082073701163E-2</v>
      </c>
      <c r="BB48" s="169">
        <f t="shared" si="16"/>
        <v>6.5072823492113518E-2</v>
      </c>
      <c r="BC48" s="169">
        <f t="shared" si="16"/>
        <v>6.9415643524168749E-2</v>
      </c>
      <c r="BD48" s="169">
        <f t="shared" si="16"/>
        <v>7.3396457667429929E-2</v>
      </c>
      <c r="BE48" s="169">
        <f t="shared" si="16"/>
        <v>7.7316758912079009E-2</v>
      </c>
      <c r="BF48" s="169">
        <f t="shared" si="16"/>
        <v>6.6666869456792302E-2</v>
      </c>
      <c r="BG48" s="169">
        <f t="shared" si="16"/>
        <v>6.518176742448667E-2</v>
      </c>
      <c r="BH48" s="169">
        <f t="shared" si="16"/>
        <v>5.6284986679598602E-2</v>
      </c>
      <c r="BI48" s="169">
        <f t="shared" si="16"/>
        <v>4.7856143456707523E-2</v>
      </c>
      <c r="BJ48" s="169">
        <f t="shared" si="16"/>
        <v>5.244211095516018E-2</v>
      </c>
      <c r="BK48" s="169">
        <f t="shared" si="16"/>
        <v>5.6857832260729602E-2</v>
      </c>
      <c r="BL48" s="169">
        <f t="shared" si="16"/>
        <v>6.9961487893689334E-2</v>
      </c>
      <c r="BM48" s="169">
        <f t="shared" si="16"/>
        <v>7.5100341109677282E-2</v>
      </c>
      <c r="BN48" s="169">
        <f t="shared" si="16"/>
        <v>7.6254852065709353E-2</v>
      </c>
      <c r="BO48" s="169">
        <f t="shared" si="16"/>
        <v>6.020193351158027E-2</v>
      </c>
      <c r="BP48" s="169">
        <f t="shared" si="16"/>
        <v>4.135886182508821E-2</v>
      </c>
      <c r="BQ48" s="169">
        <f t="shared" si="16"/>
        <v>4.5438085602052647E-2</v>
      </c>
      <c r="BR48" s="169">
        <f t="shared" si="16"/>
        <v>6.1090263624683103E-2</v>
      </c>
      <c r="BS48" s="169">
        <f t="shared" si="16"/>
        <v>6.3146884923177646E-2</v>
      </c>
    </row>
    <row r="49" spans="1:71" s="16" customFormat="1" ht="7.75" customHeight="1" x14ac:dyDescent="0.35">
      <c r="B49" s="20"/>
      <c r="C49" s="83"/>
      <c r="D49" s="83"/>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row>
    <row r="50" spans="1:71" x14ac:dyDescent="0.35">
      <c r="B50" s="209" t="s">
        <v>606</v>
      </c>
    </row>
    <row r="51" spans="1:71" x14ac:dyDescent="0.35">
      <c r="B51" s="76" t="s">
        <v>333</v>
      </c>
      <c r="C51" s="368" t="s">
        <v>652</v>
      </c>
      <c r="D51" s="76" t="s">
        <v>558</v>
      </c>
      <c r="E51" s="57"/>
      <c r="F51" s="57"/>
      <c r="G51" s="107">
        <v>0.88510638475418102</v>
      </c>
      <c r="H51" s="107">
        <v>0.92389321327209495</v>
      </c>
      <c r="I51" s="107">
        <v>0.86980038881301902</v>
      </c>
      <c r="J51" s="107">
        <v>0.87900775671005205</v>
      </c>
      <c r="K51" s="107">
        <v>0.92584294080734297</v>
      </c>
      <c r="L51" s="107">
        <v>0.91023296117782604</v>
      </c>
      <c r="M51" s="107">
        <v>0.92477166652679399</v>
      </c>
      <c r="N51" s="107">
        <v>0.87672096490859996</v>
      </c>
      <c r="O51" s="107">
        <v>0.90311419963836703</v>
      </c>
      <c r="P51" s="107">
        <v>0.86929577589035001</v>
      </c>
      <c r="Q51" s="107">
        <v>0.84395122528076205</v>
      </c>
      <c r="R51" s="107">
        <v>0.79810518026351895</v>
      </c>
      <c r="S51" s="107">
        <v>0.861047804355621</v>
      </c>
      <c r="T51" s="107">
        <v>0.88093119859695401</v>
      </c>
      <c r="U51" s="107">
        <v>0.88277721405029297</v>
      </c>
      <c r="V51" s="107">
        <v>0.93909597396850597</v>
      </c>
      <c r="W51" s="107">
        <v>0.97143566608428999</v>
      </c>
      <c r="X51" s="107">
        <v>1.00164115428925</v>
      </c>
      <c r="Y51" s="107">
        <v>1.0422728061676001</v>
      </c>
      <c r="Z51" s="107">
        <v>1.06474781036377</v>
      </c>
      <c r="AA51" s="107">
        <v>1.04273521900177</v>
      </c>
      <c r="AB51" s="107">
        <v>1.0570937395095801</v>
      </c>
      <c r="AC51" s="107">
        <v>1.0494517087936399</v>
      </c>
      <c r="AD51" s="107">
        <v>0.98441243171691895</v>
      </c>
      <c r="AE51" s="107">
        <v>0.97354418039321899</v>
      </c>
      <c r="AF51" s="107">
        <v>1.00391101837158</v>
      </c>
      <c r="AG51" s="107">
        <v>1.00486552715302</v>
      </c>
      <c r="AH51" s="107">
        <v>0.88432848453521695</v>
      </c>
      <c r="AI51" s="107">
        <v>0.85354691743850697</v>
      </c>
      <c r="AJ51" s="107">
        <v>0.87999582290649403</v>
      </c>
      <c r="AK51" s="107">
        <v>0.90109199285507202</v>
      </c>
      <c r="AL51" s="107">
        <v>0.91149121522903398</v>
      </c>
      <c r="AM51" s="107">
        <v>0.88534152507782005</v>
      </c>
      <c r="AN51" s="107">
        <v>0.83406603336334195</v>
      </c>
      <c r="AO51" s="107">
        <v>0.843342185020447</v>
      </c>
      <c r="AP51" s="107">
        <v>0.82005542516708396</v>
      </c>
      <c r="AQ51" s="107">
        <v>0.85865700244903598</v>
      </c>
      <c r="AR51" s="107">
        <v>0.92487084865570102</v>
      </c>
      <c r="AS51" s="107">
        <v>0.93559807538986195</v>
      </c>
      <c r="AT51" s="107">
        <v>0.92921441793441795</v>
      </c>
      <c r="AU51" s="107">
        <v>0.94841212034225497</v>
      </c>
      <c r="AV51" s="107">
        <v>0.97139304876327504</v>
      </c>
      <c r="AW51" s="107">
        <v>0.96777576208114602</v>
      </c>
      <c r="AX51" s="107">
        <v>0.96064013242721602</v>
      </c>
      <c r="AY51" s="107">
        <v>0.95897972583770796</v>
      </c>
      <c r="AZ51" s="107">
        <v>0.97564613819122303</v>
      </c>
      <c r="BA51" s="107">
        <v>0.97915554046630904</v>
      </c>
      <c r="BB51" s="107">
        <v>1.0114442110061601</v>
      </c>
      <c r="BC51" s="107">
        <v>1.01938092708588</v>
      </c>
      <c r="BD51" s="107">
        <v>1.0421992540359499</v>
      </c>
      <c r="BE51" s="107">
        <v>1.0718289613723799</v>
      </c>
      <c r="BF51" s="107">
        <v>1.09457731246948</v>
      </c>
      <c r="BG51" s="107">
        <v>1.1084233522415201</v>
      </c>
      <c r="BH51" s="107">
        <v>1.1150987148284901</v>
      </c>
      <c r="BI51" s="107">
        <v>1.0632525682449301</v>
      </c>
      <c r="BJ51" s="107">
        <v>1.0390701293945299</v>
      </c>
      <c r="BK51" s="107">
        <v>1.04768621921539</v>
      </c>
      <c r="BL51" s="107">
        <v>1.0378708839416499</v>
      </c>
      <c r="BM51" s="107">
        <v>1.03080022335052</v>
      </c>
      <c r="BN51" s="107">
        <v>1.0236576795578001</v>
      </c>
      <c r="BO51" s="107">
        <v>0.98620384931564298</v>
      </c>
      <c r="BP51" s="107">
        <v>0.92536759376525901</v>
      </c>
      <c r="BQ51" s="107">
        <v>0.89943754673004195</v>
      </c>
      <c r="BR51" s="107">
        <v>0.92929506301879905</v>
      </c>
      <c r="BS51" s="107">
        <v>0.94152617454528797</v>
      </c>
    </row>
    <row r="52" spans="1:71" x14ac:dyDescent="0.35">
      <c r="B52" s="76" t="s">
        <v>369</v>
      </c>
      <c r="C52" s="270" t="s">
        <v>342</v>
      </c>
      <c r="D52" s="76" t="s">
        <v>559</v>
      </c>
      <c r="E52" s="57"/>
      <c r="F52" s="57"/>
      <c r="G52" s="107"/>
      <c r="H52" s="107"/>
      <c r="I52" s="107"/>
      <c r="J52" s="107"/>
      <c r="K52" s="107"/>
      <c r="L52" s="107"/>
      <c r="M52" s="107"/>
      <c r="N52" s="107"/>
      <c r="O52" s="107"/>
      <c r="P52" s="107"/>
      <c r="Q52" s="107"/>
      <c r="R52" s="107"/>
      <c r="S52" s="107"/>
      <c r="T52" s="107"/>
      <c r="U52" s="107"/>
      <c r="V52" s="107"/>
      <c r="W52" s="107"/>
      <c r="X52" s="107"/>
      <c r="Y52" s="107"/>
      <c r="Z52" s="107"/>
      <c r="AA52" s="147">
        <v>0.86997000000000002</v>
      </c>
      <c r="AB52" s="147">
        <v>0.8734090000000001</v>
      </c>
      <c r="AC52" s="147">
        <v>0.87414700000000001</v>
      </c>
      <c r="AD52" s="147">
        <v>0.8124809999999999</v>
      </c>
      <c r="AE52" s="147">
        <v>0.79614999999999991</v>
      </c>
      <c r="AF52" s="147">
        <v>0.84668099999999991</v>
      </c>
      <c r="AG52" s="147">
        <v>0.883077</v>
      </c>
      <c r="AH52" s="147">
        <v>0.85131800000000002</v>
      </c>
      <c r="AI52" s="147">
        <v>0.75811400000000007</v>
      </c>
      <c r="AJ52" s="147">
        <v>0.79775800000000008</v>
      </c>
      <c r="AK52" s="147">
        <v>0.83415800000000007</v>
      </c>
      <c r="AL52" s="147">
        <v>0.85072000000000003</v>
      </c>
      <c r="AM52" s="147">
        <v>0.85000500000000001</v>
      </c>
      <c r="AN52" s="147">
        <v>0.80760699999999996</v>
      </c>
      <c r="AO52" s="147">
        <v>0.79568099999999997</v>
      </c>
      <c r="AP52" s="147">
        <v>0.73607200000000006</v>
      </c>
      <c r="AQ52" s="147">
        <v>0.74904199999999999</v>
      </c>
      <c r="AR52" s="147">
        <v>0.804315</v>
      </c>
      <c r="AS52" s="147">
        <v>0.79229399999999994</v>
      </c>
      <c r="AT52" s="147">
        <v>0.78649000000000002</v>
      </c>
      <c r="AU52" s="147">
        <v>0.81201599999999996</v>
      </c>
      <c r="AV52" s="147">
        <v>0.84335800000000005</v>
      </c>
      <c r="AW52" s="147">
        <v>0.83811400000000003</v>
      </c>
      <c r="AX52" s="147">
        <v>0.82504199999999994</v>
      </c>
      <c r="AY52" s="147">
        <v>0.79846200000000001</v>
      </c>
      <c r="AZ52" s="147">
        <v>0.80575100000000011</v>
      </c>
      <c r="BA52" s="147">
        <v>0.81448100000000001</v>
      </c>
      <c r="BB52" s="147">
        <v>0.83574499999999996</v>
      </c>
      <c r="BC52" s="147">
        <v>0.83905299999999994</v>
      </c>
      <c r="BD52" s="147">
        <v>0.83355400000000002</v>
      </c>
      <c r="BE52" s="147">
        <v>0.84050299999999989</v>
      </c>
      <c r="BF52" s="147">
        <v>0.82682500000000003</v>
      </c>
      <c r="BG52" s="147">
        <v>0.81654499999999997</v>
      </c>
      <c r="BH52" s="147">
        <v>0.813751</v>
      </c>
      <c r="BI52" s="147">
        <v>0.76008399999999998</v>
      </c>
      <c r="BJ52" s="147">
        <v>0.74910300000000007</v>
      </c>
      <c r="BK52" s="147">
        <v>0.75945200000000002</v>
      </c>
      <c r="BL52" s="147">
        <v>0.77986800000000001</v>
      </c>
      <c r="BM52" s="147">
        <v>0.79898899999999995</v>
      </c>
      <c r="BN52" s="147">
        <v>0.80199700000000007</v>
      </c>
      <c r="BO52" s="147">
        <v>0.80548599999999992</v>
      </c>
      <c r="BP52" s="147">
        <v>0.77617099999999994</v>
      </c>
      <c r="BQ52" s="147">
        <v>0.686643</v>
      </c>
      <c r="BR52" s="147">
        <v>0.73846699999999998</v>
      </c>
      <c r="BS52" s="147">
        <v>0.76300899999999994</v>
      </c>
    </row>
    <row r="53" spans="1:71" x14ac:dyDescent="0.35">
      <c r="B53" s="21" t="s">
        <v>334</v>
      </c>
      <c r="C53" s="271" t="s">
        <v>551</v>
      </c>
      <c r="D53" s="257" t="s">
        <v>555</v>
      </c>
      <c r="E53" s="54"/>
      <c r="F53" s="54"/>
      <c r="G53" s="118">
        <f t="shared" ref="G53:AL53" si="17">G30/G51</f>
        <v>0.77354529128408678</v>
      </c>
      <c r="H53" s="118">
        <f t="shared" si="17"/>
        <v>0.75189870066569708</v>
      </c>
      <c r="I53" s="118">
        <f t="shared" si="17"/>
        <v>0.69039217126780617</v>
      </c>
      <c r="J53" s="118">
        <f t="shared" si="17"/>
        <v>0.74742130151955632</v>
      </c>
      <c r="K53" s="118">
        <f t="shared" si="17"/>
        <v>0.70231558840556796</v>
      </c>
      <c r="L53" s="118">
        <f t="shared" si="17"/>
        <v>0.66672077079378633</v>
      </c>
      <c r="M53" s="118">
        <f t="shared" si="17"/>
        <v>0.65221711304525576</v>
      </c>
      <c r="N53" s="118">
        <f t="shared" si="17"/>
        <v>0.63382843301638681</v>
      </c>
      <c r="O53" s="118">
        <f t="shared" si="17"/>
        <v>0.66850981201500215</v>
      </c>
      <c r="P53" s="118">
        <f t="shared" si="17"/>
        <v>0.66018864779876218</v>
      </c>
      <c r="Q53" s="118">
        <f t="shared" si="17"/>
        <v>0.63021203336630149</v>
      </c>
      <c r="R53" s="118">
        <f t="shared" si="17"/>
        <v>0.59935015639268507</v>
      </c>
      <c r="S53" s="118">
        <f t="shared" si="17"/>
        <v>0.60362410385788201</v>
      </c>
      <c r="T53" s="118">
        <f t="shared" si="17"/>
        <v>0.57855396883253207</v>
      </c>
      <c r="U53" s="118">
        <f t="shared" si="17"/>
        <v>0.57320660421858483</v>
      </c>
      <c r="V53" s="118">
        <f t="shared" si="17"/>
        <v>0.5658123770531498</v>
      </c>
      <c r="W53" s="118">
        <f t="shared" si="17"/>
        <v>0.55593556760495844</v>
      </c>
      <c r="X53" s="118">
        <f t="shared" si="17"/>
        <v>0.55611817730754431</v>
      </c>
      <c r="Y53" s="118">
        <f t="shared" si="17"/>
        <v>0.55067479466322189</v>
      </c>
      <c r="Z53" s="118">
        <f t="shared" si="17"/>
        <v>0.5448440562069824</v>
      </c>
      <c r="AA53" s="118">
        <f t="shared" si="17"/>
        <v>0.53190802120818204</v>
      </c>
      <c r="AB53" s="118">
        <f t="shared" si="17"/>
        <v>0.53047337520759164</v>
      </c>
      <c r="AC53" s="118">
        <f t="shared" si="17"/>
        <v>0.52398819801596119</v>
      </c>
      <c r="AD53" s="118">
        <f t="shared" si="17"/>
        <v>0.51721176099583943</v>
      </c>
      <c r="AE53" s="118">
        <f t="shared" si="17"/>
        <v>0.51157040982841295</v>
      </c>
      <c r="AF53" s="118">
        <f t="shared" si="17"/>
        <v>0.49983232299418379</v>
      </c>
      <c r="AG53" s="118">
        <f t="shared" si="17"/>
        <v>0.50857952790536864</v>
      </c>
      <c r="AH53" s="118">
        <f t="shared" si="17"/>
        <v>0.54256895857892273</v>
      </c>
      <c r="AI53" s="118">
        <f t="shared" si="17"/>
        <v>0.48993078178632782</v>
      </c>
      <c r="AJ53" s="118">
        <f t="shared" si="17"/>
        <v>0.48237992654149747</v>
      </c>
      <c r="AK53" s="118">
        <f t="shared" si="17"/>
        <v>0.47894670658190802</v>
      </c>
      <c r="AL53" s="118">
        <f t="shared" si="17"/>
        <v>0.48126782632032866</v>
      </c>
      <c r="AM53" s="118">
        <f t="shared" ref="AM53:BS53" si="18">AM30/AM51</f>
        <v>0.48148727404084884</v>
      </c>
      <c r="AN53" s="118">
        <f t="shared" si="18"/>
        <v>0.47516006934304039</v>
      </c>
      <c r="AO53" s="118">
        <f t="shared" si="18"/>
        <v>0.46219061794914756</v>
      </c>
      <c r="AP53" s="118">
        <f t="shared" si="18"/>
        <v>0.43182428603389855</v>
      </c>
      <c r="AQ53" s="118">
        <f t="shared" si="18"/>
        <v>0.41726826204045908</v>
      </c>
      <c r="AR53" s="118">
        <f t="shared" si="18"/>
        <v>0.41966883212470674</v>
      </c>
      <c r="AS53" s="118">
        <f t="shared" si="18"/>
        <v>0.41369162776975305</v>
      </c>
      <c r="AT53" s="118">
        <f t="shared" si="18"/>
        <v>0.40736948499742737</v>
      </c>
      <c r="AU53" s="118">
        <f t="shared" si="18"/>
        <v>0.40753403985197334</v>
      </c>
      <c r="AV53" s="118">
        <f t="shared" si="18"/>
        <v>0.40359267922048186</v>
      </c>
      <c r="AW53" s="118">
        <f t="shared" si="18"/>
        <v>0.40029121439613274</v>
      </c>
      <c r="AX53" s="118">
        <f t="shared" si="18"/>
        <v>0.39619984609349601</v>
      </c>
      <c r="AY53" s="118">
        <f t="shared" si="18"/>
        <v>0.38479628799157589</v>
      </c>
      <c r="AZ53" s="118">
        <f t="shared" si="18"/>
        <v>0.38519996140773916</v>
      </c>
      <c r="BA53" s="118">
        <f t="shared" si="18"/>
        <v>0.3849301757127962</v>
      </c>
      <c r="BB53" s="118">
        <f t="shared" si="18"/>
        <v>0.38070790007923083</v>
      </c>
      <c r="BC53" s="118">
        <f t="shared" si="18"/>
        <v>0.37275251566238649</v>
      </c>
      <c r="BD53" s="118">
        <f t="shared" si="18"/>
        <v>0.36984627198100412</v>
      </c>
      <c r="BE53" s="118">
        <f t="shared" si="18"/>
        <v>0.36632859613548407</v>
      </c>
      <c r="BF53" s="118">
        <f t="shared" si="18"/>
        <v>0.35882857909580546</v>
      </c>
      <c r="BG53" s="118">
        <f t="shared" si="18"/>
        <v>0.3566520189589123</v>
      </c>
      <c r="BH53" s="118">
        <f t="shared" si="18"/>
        <v>0.35618803000118437</v>
      </c>
      <c r="BI53" s="118">
        <f t="shared" si="18"/>
        <v>0.34747890875173065</v>
      </c>
      <c r="BJ53" s="118">
        <f t="shared" si="18"/>
        <v>0.34245059417205886</v>
      </c>
      <c r="BK53" s="118">
        <f t="shared" si="18"/>
        <v>0.3371974195796637</v>
      </c>
      <c r="BL53" s="118">
        <f t="shared" si="18"/>
        <v>0.34993680484425704</v>
      </c>
      <c r="BM53" s="118">
        <f t="shared" si="18"/>
        <v>0.34857272214329238</v>
      </c>
      <c r="BN53" s="118">
        <f t="shared" si="18"/>
        <v>0.34142841085017422</v>
      </c>
      <c r="BO53" s="118">
        <f t="shared" si="18"/>
        <v>0.33177667245697345</v>
      </c>
      <c r="BP53" s="118">
        <f t="shared" si="18"/>
        <v>0.32730975784203975</v>
      </c>
      <c r="BQ53" s="118">
        <f t="shared" si="18"/>
        <v>0.3074919372678504</v>
      </c>
      <c r="BR53" s="118">
        <f t="shared" si="18"/>
        <v>0.32501141067310318</v>
      </c>
      <c r="BS53" s="118">
        <f t="shared" si="18"/>
        <v>0.32729624594089318</v>
      </c>
    </row>
    <row r="54" spans="1:71" s="344" customFormat="1" x14ac:dyDescent="0.35">
      <c r="B54" s="264"/>
      <c r="C54" s="348" t="s">
        <v>638</v>
      </c>
      <c r="D54" s="357" t="s">
        <v>647</v>
      </c>
      <c r="E54" s="345"/>
      <c r="F54" s="345"/>
      <c r="G54" s="118">
        <v>0.22944928491167099</v>
      </c>
      <c r="H54" s="118">
        <v>0.22932417478327899</v>
      </c>
      <c r="I54" s="118">
        <v>0.22900357180577</v>
      </c>
      <c r="J54" s="118">
        <v>0.228358741382195</v>
      </c>
      <c r="K54" s="118">
        <v>0.22725191319754801</v>
      </c>
      <c r="L54" s="118">
        <v>0.225731729522999</v>
      </c>
      <c r="M54" s="118">
        <v>0.224032313497744</v>
      </c>
      <c r="N54" s="118">
        <v>0.222374470965749</v>
      </c>
      <c r="O54" s="118">
        <v>0.220861684636002</v>
      </c>
      <c r="P54" s="118">
        <v>0.21949069250783301</v>
      </c>
      <c r="Q54" s="118">
        <v>0.21842761573421501</v>
      </c>
      <c r="R54" s="118">
        <v>0.21783066854303801</v>
      </c>
      <c r="S54" s="118">
        <v>0.21778078900485401</v>
      </c>
      <c r="T54" s="118">
        <v>0.21816760850478301</v>
      </c>
      <c r="U54" s="118">
        <v>0.21889295053789601</v>
      </c>
      <c r="V54" s="118">
        <v>0.219750962514216</v>
      </c>
      <c r="W54" s="118">
        <v>0.22042486233839001</v>
      </c>
      <c r="X54" s="118">
        <v>0.22058535828991899</v>
      </c>
      <c r="Y54" s="118">
        <v>0.219946910024922</v>
      </c>
      <c r="Z54" s="118">
        <v>0.21831812361661701</v>
      </c>
      <c r="AA54" s="118">
        <v>0.21571613603797599</v>
      </c>
      <c r="AB54" s="118">
        <v>0.21234990302580201</v>
      </c>
      <c r="AC54" s="118">
        <v>0.20852021895652001</v>
      </c>
      <c r="AD54" s="118">
        <v>0.20461337917629499</v>
      </c>
      <c r="AE54" s="118">
        <v>0.20097647684172801</v>
      </c>
      <c r="AF54" s="118">
        <v>0.19774347131765699</v>
      </c>
      <c r="AG54" s="118">
        <v>0.19495855720050201</v>
      </c>
      <c r="AH54" s="118">
        <v>0.19264949437350801</v>
      </c>
      <c r="AI54" s="118">
        <v>0.19082245714791299</v>
      </c>
      <c r="AJ54" s="118">
        <v>0.18931812489122199</v>
      </c>
      <c r="AK54" s="118">
        <v>0.18798795239945801</v>
      </c>
      <c r="AL54" s="118">
        <v>0.186741213219735</v>
      </c>
      <c r="AM54" s="118">
        <v>0.18560330137517</v>
      </c>
      <c r="AN54" s="118">
        <v>0.18473519875668401</v>
      </c>
      <c r="AO54" s="118">
        <v>0.18432085424144701</v>
      </c>
      <c r="AP54" s="118">
        <v>0.184396864719059</v>
      </c>
      <c r="AQ54" s="118">
        <v>0.18494261853671001</v>
      </c>
      <c r="AR54" s="118">
        <v>0.18578453539439499</v>
      </c>
      <c r="AS54" s="118">
        <v>0.18672160880674599</v>
      </c>
      <c r="AT54" s="118">
        <v>0.18768098693444801</v>
      </c>
      <c r="AU54" s="118">
        <v>0.188678601850119</v>
      </c>
      <c r="AV54" s="118">
        <v>0.189676575757035</v>
      </c>
      <c r="AW54" s="118">
        <v>0.19062624483996701</v>
      </c>
      <c r="AX54" s="118">
        <v>0.191554179526118</v>
      </c>
      <c r="AY54" s="118">
        <v>0.19254068779429001</v>
      </c>
      <c r="AZ54" s="118">
        <v>0.19364253582802601</v>
      </c>
      <c r="BA54" s="118">
        <v>0.19487108293292299</v>
      </c>
      <c r="BB54" s="118">
        <v>0.1961402630563</v>
      </c>
      <c r="BC54" s="118">
        <v>0.197262299316146</v>
      </c>
      <c r="BD54" s="118">
        <v>0.19804101219988701</v>
      </c>
      <c r="BE54" s="118">
        <v>0.19838059920178799</v>
      </c>
      <c r="BF54" s="118">
        <v>0.19835784769411399</v>
      </c>
      <c r="BG54" s="118">
        <v>0.198256739057113</v>
      </c>
      <c r="BH54" s="118">
        <v>0.19839867619409299</v>
      </c>
      <c r="BI54" s="118">
        <v>0.19911449461778899</v>
      </c>
      <c r="BJ54" s="118">
        <v>0.20060804307899699</v>
      </c>
      <c r="BK54" s="118">
        <v>0.20287602538233199</v>
      </c>
      <c r="BL54" s="118">
        <v>0.20575006490162301</v>
      </c>
      <c r="BM54" s="118">
        <v>0.208933024756873</v>
      </c>
      <c r="BN54" s="118">
        <v>0.212204267419069</v>
      </c>
      <c r="BO54" s="118">
        <v>0.215541825111632</v>
      </c>
      <c r="BP54" s="118">
        <v>0.21915468738378799</v>
      </c>
      <c r="BQ54" s="118">
        <v>0.22326742553365</v>
      </c>
      <c r="BR54" s="118">
        <v>0.22776006398549201</v>
      </c>
      <c r="BS54" s="118">
        <v>0.232374952908252</v>
      </c>
    </row>
    <row r="55" spans="1:71" x14ac:dyDescent="0.35">
      <c r="B55" s="21" t="s">
        <v>335</v>
      </c>
      <c r="C55" s="347" t="s">
        <v>642</v>
      </c>
      <c r="D55" s="350" t="s">
        <v>639</v>
      </c>
      <c r="E55" s="54"/>
      <c r="F55" s="54"/>
      <c r="G55" s="118">
        <f>G54*G53</f>
        <v>0.17748941393192397</v>
      </c>
      <c r="H55" s="118">
        <f t="shared" ref="H55:BS55" si="19">H54*H53</f>
        <v>0.1724285490507807</v>
      </c>
      <c r="I55" s="118">
        <f t="shared" si="19"/>
        <v>0.15810227316706851</v>
      </c>
      <c r="J55" s="118">
        <f t="shared" si="19"/>
        <v>0.17068018769724796</v>
      </c>
      <c r="K55" s="118">
        <f t="shared" si="19"/>
        <v>0.15960256113362697</v>
      </c>
      <c r="L55" s="118">
        <f t="shared" si="19"/>
        <v>0.15050003270018839</v>
      </c>
      <c r="M55" s="118">
        <f t="shared" si="19"/>
        <v>0.14611770873834828</v>
      </c>
      <c r="N55" s="118">
        <f t="shared" si="19"/>
        <v>0.1409472624750687</v>
      </c>
      <c r="O55" s="118">
        <f t="shared" si="19"/>
        <v>0.14764820327733039</v>
      </c>
      <c r="P55" s="118">
        <f t="shared" si="19"/>
        <v>0.14490526349116017</v>
      </c>
      <c r="Q55" s="118">
        <f t="shared" si="19"/>
        <v>0.1376557118552128</v>
      </c>
      <c r="R55" s="118">
        <f t="shared" si="19"/>
        <v>0.13055684525839298</v>
      </c>
      <c r="S55" s="118">
        <f t="shared" si="19"/>
        <v>0.13145773360051749</v>
      </c>
      <c r="T55" s="118">
        <f t="shared" si="19"/>
        <v>0.12622173577114429</v>
      </c>
      <c r="U55" s="118">
        <f t="shared" si="19"/>
        <v>0.12547088486521402</v>
      </c>
      <c r="V55" s="118">
        <f t="shared" si="19"/>
        <v>0.12433781445988616</v>
      </c>
      <c r="W55" s="118">
        <f t="shared" si="19"/>
        <v>0.12254202095833767</v>
      </c>
      <c r="X55" s="118">
        <f t="shared" si="19"/>
        <v>0.12267152739292135</v>
      </c>
      <c r="Y55" s="118">
        <f t="shared" si="19"/>
        <v>0.12111921951478406</v>
      </c>
      <c r="Z55" s="118">
        <f t="shared" si="19"/>
        <v>0.11894933201477501</v>
      </c>
      <c r="AA55" s="118">
        <f t="shared" si="19"/>
        <v>0.11474114306263482</v>
      </c>
      <c r="AB55" s="118">
        <f t="shared" si="19"/>
        <v>0.11264596978310197</v>
      </c>
      <c r="AC55" s="118">
        <f t="shared" si="19"/>
        <v>0.10926213378092059</v>
      </c>
      <c r="AD55" s="118">
        <f t="shared" si="19"/>
        <v>0.10582844616708095</v>
      </c>
      <c r="AE55" s="118">
        <f t="shared" si="19"/>
        <v>0.10281361862379335</v>
      </c>
      <c r="AF55" s="118">
        <f t="shared" si="19"/>
        <v>9.8838578625638246E-2</v>
      </c>
      <c r="AG55" s="118">
        <f t="shared" si="19"/>
        <v>9.9151930982143116E-2</v>
      </c>
      <c r="AH55" s="118">
        <f t="shared" si="19"/>
        <v>0.10452563553299027</v>
      </c>
      <c r="AI55" s="118">
        <f t="shared" si="19"/>
        <v>9.3489795612865051E-2</v>
      </c>
      <c r="AJ55" s="118">
        <f t="shared" si="19"/>
        <v>9.1323263178001712E-2</v>
      </c>
      <c r="AK55" s="118">
        <f t="shared" si="19"/>
        <v>9.0036210678796913E-2</v>
      </c>
      <c r="AL55" s="118">
        <f t="shared" si="19"/>
        <v>8.9872537770682881E-2</v>
      </c>
      <c r="AM55" s="118">
        <f t="shared" si="19"/>
        <v>8.936562763211274E-2</v>
      </c>
      <c r="AN55" s="118">
        <f t="shared" si="19"/>
        <v>8.7778789851326325E-2</v>
      </c>
      <c r="AO55" s="118">
        <f t="shared" si="19"/>
        <v>8.519136952276915E-2</v>
      </c>
      <c r="AP55" s="118">
        <f t="shared" si="19"/>
        <v>7.9627044454197035E-2</v>
      </c>
      <c r="AQ55" s="118">
        <f t="shared" si="19"/>
        <v>7.7170685014024576E-2</v>
      </c>
      <c r="AR55" s="118">
        <f t="shared" si="19"/>
        <v>7.7967978995796994E-2</v>
      </c>
      <c r="AS55" s="118">
        <f t="shared" si="19"/>
        <v>7.7245166287049805E-2</v>
      </c>
      <c r="AT55" s="118">
        <f t="shared" si="19"/>
        <v>7.6455506991294983E-2</v>
      </c>
      <c r="AU55" s="118">
        <f t="shared" si="19"/>
        <v>7.6892952845601006E-2</v>
      </c>
      <c r="AV55" s="118">
        <f t="shared" si="19"/>
        <v>7.6552077395148452E-2</v>
      </c>
      <c r="AW55" s="118">
        <f t="shared" si="19"/>
        <v>7.6306011042764924E-2</v>
      </c>
      <c r="AX55" s="118">
        <f t="shared" si="19"/>
        <v>7.5893736446813853E-2</v>
      </c>
      <c r="AY55" s="118">
        <f t="shared" si="19"/>
        <v>7.4088941950587725E-2</v>
      </c>
      <c r="AZ55" s="118">
        <f t="shared" si="19"/>
        <v>7.4591097327852365E-2</v>
      </c>
      <c r="BA55" s="118">
        <f t="shared" si="19"/>
        <v>7.5011760194712923E-2</v>
      </c>
      <c r="BB55" s="118">
        <f t="shared" si="19"/>
        <v>7.4672147669151909E-2</v>
      </c>
      <c r="BC55" s="118">
        <f t="shared" si="19"/>
        <v>7.3530018315440079E-2</v>
      </c>
      <c r="BD55" s="118">
        <f t="shared" si="19"/>
        <v>7.3244730061472765E-2</v>
      </c>
      <c r="BE55" s="118">
        <f t="shared" si="19"/>
        <v>7.2672486406107129E-2</v>
      </c>
      <c r="BF55" s="118">
        <f t="shared" si="19"/>
        <v>7.1176464640581111E-2</v>
      </c>
      <c r="BG55" s="118">
        <f t="shared" si="19"/>
        <v>7.0708666256929592E-2</v>
      </c>
      <c r="BH55" s="118">
        <f t="shared" si="19"/>
        <v>7.0667233628416856E-2</v>
      </c>
      <c r="BI55" s="118">
        <f t="shared" si="19"/>
        <v>6.9188087306441659E-2</v>
      </c>
      <c r="BJ55" s="118">
        <f t="shared" si="19"/>
        <v>6.8698343548096494E-2</v>
      </c>
      <c r="BK55" s="118">
        <f t="shared" si="19"/>
        <v>6.84092722535007E-2</v>
      </c>
      <c r="BL55" s="118">
        <f t="shared" si="19"/>
        <v>7.1999520308172471E-2</v>
      </c>
      <c r="BM55" s="118">
        <f t="shared" si="19"/>
        <v>7.2828353185135128E-2</v>
      </c>
      <c r="BN55" s="118">
        <f t="shared" si="19"/>
        <v>7.2452565800518134E-2</v>
      </c>
      <c r="BO55" s="118">
        <f t="shared" si="19"/>
        <v>7.1511749510840189E-2</v>
      </c>
      <c r="BP55" s="118">
        <f t="shared" si="19"/>
        <v>7.1731467657535575E-2</v>
      </c>
      <c r="BQ55" s="118">
        <f t="shared" si="19"/>
        <v>6.8652933206147571E-2</v>
      </c>
      <c r="BR55" s="118">
        <f t="shared" si="19"/>
        <v>7.4024619690921001E-2</v>
      </c>
      <c r="BS55" s="118">
        <f t="shared" si="19"/>
        <v>7.6055449737562716E-2</v>
      </c>
    </row>
    <row r="56" spans="1:71" ht="24" x14ac:dyDescent="0.35">
      <c r="B56" s="21" t="s">
        <v>553</v>
      </c>
      <c r="C56" s="271" t="s">
        <v>560</v>
      </c>
      <c r="D56" s="269" t="s">
        <v>554</v>
      </c>
      <c r="E56" s="54"/>
      <c r="F56" s="54"/>
      <c r="G56" s="118"/>
      <c r="H56" s="118"/>
      <c r="I56" s="118"/>
      <c r="J56" s="118"/>
      <c r="K56" s="118"/>
      <c r="L56" s="118"/>
      <c r="M56" s="118"/>
      <c r="N56" s="118"/>
      <c r="O56" s="118"/>
      <c r="P56" s="118"/>
      <c r="Q56" s="118"/>
      <c r="R56" s="118"/>
      <c r="S56" s="118"/>
      <c r="T56" s="118"/>
      <c r="U56" s="118"/>
      <c r="V56" s="118"/>
      <c r="W56" s="118"/>
      <c r="X56" s="118"/>
      <c r="Y56" s="118"/>
      <c r="Z56" s="118"/>
      <c r="AA56" s="118">
        <f t="shared" ref="AA56:BS56" si="20">AA37/AA52</f>
        <v>0.90280125826135071</v>
      </c>
      <c r="AB56" s="118">
        <f t="shared" si="20"/>
        <v>0.91568874651326626</v>
      </c>
      <c r="AC56" s="118">
        <f t="shared" si="20"/>
        <v>0.90415656047627146</v>
      </c>
      <c r="AD56" s="118">
        <f t="shared" si="20"/>
        <v>0.90977081534413295</v>
      </c>
      <c r="AE56" s="118">
        <f t="shared" si="20"/>
        <v>0.91050538199454145</v>
      </c>
      <c r="AF56" s="118">
        <f t="shared" si="20"/>
        <v>0.86681313164613538</v>
      </c>
      <c r="AG56" s="118">
        <f t="shared" si="20"/>
        <v>0.85693240436847462</v>
      </c>
      <c r="AH56" s="118">
        <f t="shared" si="20"/>
        <v>0.84678783945253477</v>
      </c>
      <c r="AI56" s="118">
        <f t="shared" si="20"/>
        <v>0.83274168701953954</v>
      </c>
      <c r="AJ56" s="118">
        <f t="shared" si="20"/>
        <v>0.80337490339882012</v>
      </c>
      <c r="AK56" s="118">
        <f t="shared" si="20"/>
        <v>0.7928156243290484</v>
      </c>
      <c r="AL56" s="118">
        <f t="shared" si="20"/>
        <v>0.79776067992587085</v>
      </c>
      <c r="AM56" s="118">
        <f t="shared" si="20"/>
        <v>0.77652819278112994</v>
      </c>
      <c r="AN56" s="118">
        <f t="shared" si="20"/>
        <v>0.76531934425711678</v>
      </c>
      <c r="AO56" s="118">
        <f t="shared" si="20"/>
        <v>0.76507678598193596</v>
      </c>
      <c r="AP56" s="118">
        <f t="shared" si="20"/>
        <v>0.75459286356618083</v>
      </c>
      <c r="AQ56" s="118">
        <f t="shared" si="20"/>
        <v>0.75481617781918742</v>
      </c>
      <c r="AR56" s="118">
        <f t="shared" si="20"/>
        <v>0.77117499890318975</v>
      </c>
      <c r="AS56" s="118">
        <f t="shared" si="20"/>
        <v>0.78651151323011914</v>
      </c>
      <c r="AT56" s="118">
        <f t="shared" si="20"/>
        <v>0.7825979467196591</v>
      </c>
      <c r="AU56" s="118">
        <f t="shared" si="20"/>
        <v>0.77973263469052212</v>
      </c>
      <c r="AV56" s="118">
        <f t="shared" si="20"/>
        <v>0.77306172600335132</v>
      </c>
      <c r="AW56" s="118">
        <f t="shared" si="20"/>
        <v>0.76961966630658707</v>
      </c>
      <c r="AX56" s="118">
        <f t="shared" si="20"/>
        <v>0.77006614776232007</v>
      </c>
      <c r="AY56" s="118">
        <f t="shared" si="20"/>
        <v>0.77137040427587</v>
      </c>
      <c r="AZ56" s="118">
        <f t="shared" si="20"/>
        <v>0.78771063852062806</v>
      </c>
      <c r="BA56" s="118">
        <f t="shared" si="20"/>
        <v>0.7919940042087743</v>
      </c>
      <c r="BB56" s="118">
        <f t="shared" si="20"/>
        <v>0.79400909472109815</v>
      </c>
      <c r="BC56" s="118">
        <f t="shared" si="20"/>
        <v>0.79415772877428492</v>
      </c>
      <c r="BD56" s="118">
        <f t="shared" si="20"/>
        <v>0.80294619821465651</v>
      </c>
      <c r="BE56" s="118">
        <f t="shared" si="20"/>
        <v>0.81611331185056968</v>
      </c>
      <c r="BF56" s="118">
        <f t="shared" si="20"/>
        <v>0.8359261382233395</v>
      </c>
      <c r="BG56" s="118">
        <f t="shared" si="20"/>
        <v>0.84817240655178261</v>
      </c>
      <c r="BH56" s="118">
        <f t="shared" si="20"/>
        <v>0.85734828914273631</v>
      </c>
      <c r="BI56" s="118">
        <f t="shared" si="20"/>
        <v>0.85362212906406454</v>
      </c>
      <c r="BJ56" s="118">
        <f t="shared" si="20"/>
        <v>0.83348478737167597</v>
      </c>
      <c r="BK56" s="118">
        <f t="shared" si="20"/>
        <v>0.82560595550583404</v>
      </c>
      <c r="BL56" s="118">
        <f t="shared" si="20"/>
        <v>0.83266893443661505</v>
      </c>
      <c r="BM56" s="118">
        <f t="shared" si="20"/>
        <v>0.81274818625578626</v>
      </c>
      <c r="BN56" s="118">
        <f t="shared" si="20"/>
        <v>0.79866659985214317</v>
      </c>
      <c r="BO56" s="118">
        <f t="shared" si="20"/>
        <v>0.7432188588286831</v>
      </c>
      <c r="BP56" s="118">
        <f t="shared" si="20"/>
        <v>0.72907695489834345</v>
      </c>
      <c r="BQ56" s="118">
        <f t="shared" si="20"/>
        <v>0.73488692479732243</v>
      </c>
      <c r="BR56" s="118">
        <f t="shared" si="20"/>
        <v>0.75270371613812703</v>
      </c>
      <c r="BS56" s="118">
        <f t="shared" si="20"/>
        <v>0.74952117346389147</v>
      </c>
    </row>
    <row r="57" spans="1:71" x14ac:dyDescent="0.35">
      <c r="B57" s="21"/>
      <c r="C57" s="347" t="s">
        <v>641</v>
      </c>
      <c r="D57" s="357" t="s">
        <v>646</v>
      </c>
      <c r="E57" s="54"/>
      <c r="F57" s="54"/>
      <c r="G57" s="118">
        <v>0.21392904942712099</v>
      </c>
      <c r="H57" s="118">
        <v>0.213587846729656</v>
      </c>
      <c r="I57" s="118">
        <v>0.21302835353791999</v>
      </c>
      <c r="J57" s="118">
        <v>0.21210340089034599</v>
      </c>
      <c r="K57" s="118">
        <v>0.21065353628998601</v>
      </c>
      <c r="L57" s="118">
        <v>0.20871627323099101</v>
      </c>
      <c r="M57" s="118">
        <v>0.20651858984461</v>
      </c>
      <c r="N57" s="118">
        <v>0.20427730152978399</v>
      </c>
      <c r="O57" s="118">
        <v>0.202099037787007</v>
      </c>
      <c r="P57" s="118">
        <v>0.19998965510147501</v>
      </c>
      <c r="Q57" s="118">
        <v>0.19812801958051399</v>
      </c>
      <c r="R57" s="118">
        <v>0.196689100780437</v>
      </c>
      <c r="S57" s="118">
        <v>0.195755588061749</v>
      </c>
      <c r="T57" s="118">
        <v>0.195185279777152</v>
      </c>
      <c r="U57" s="118">
        <v>0.194857418398731</v>
      </c>
      <c r="V57" s="118">
        <v>0.19455239360080001</v>
      </c>
      <c r="W57" s="118">
        <v>0.193936020873682</v>
      </c>
      <c r="X57" s="118">
        <v>0.192659591771697</v>
      </c>
      <c r="Y57" s="118">
        <v>0.19042703764042301</v>
      </c>
      <c r="Z57" s="118">
        <v>0.18704969390772599</v>
      </c>
      <c r="AA57" s="118">
        <v>0.18256462562506301</v>
      </c>
      <c r="AB57" s="118">
        <v>0.17723040090481701</v>
      </c>
      <c r="AC57" s="118">
        <v>0.17140994160312101</v>
      </c>
      <c r="AD57" s="118">
        <v>0.165568865567056</v>
      </c>
      <c r="AE57" s="118">
        <v>0.16011169122767599</v>
      </c>
      <c r="AF57" s="118">
        <v>0.15516324836036099</v>
      </c>
      <c r="AG57" s="118">
        <v>0.15073924982821699</v>
      </c>
      <c r="AH57" s="118">
        <v>0.14685477601074301</v>
      </c>
      <c r="AI57" s="118">
        <v>0.14350751478915999</v>
      </c>
      <c r="AJ57" s="118">
        <v>0.14046160628457799</v>
      </c>
      <c r="AK57" s="118">
        <v>0.13744211547021801</v>
      </c>
      <c r="AL57" s="118">
        <v>0.134283491256453</v>
      </c>
      <c r="AM57" s="118">
        <v>0.13103476139895501</v>
      </c>
      <c r="AN57" s="118">
        <v>0.12797711874083301</v>
      </c>
      <c r="AO57" s="118">
        <v>0.125469408511203</v>
      </c>
      <c r="AP57" s="118">
        <v>0.12370970475177499</v>
      </c>
      <c r="AQ57" s="118">
        <v>0.122793387419147</v>
      </c>
      <c r="AR57" s="118">
        <v>0.12257573942239899</v>
      </c>
      <c r="AS57" s="118">
        <v>0.122882109796419</v>
      </c>
      <c r="AT57" s="118">
        <v>0.123643090181871</v>
      </c>
      <c r="AU57" s="118">
        <v>0.124866451121456</v>
      </c>
      <c r="AV57" s="118">
        <v>0.126492532256054</v>
      </c>
      <c r="AW57" s="118">
        <v>0.12847900871533199</v>
      </c>
      <c r="AX57" s="118">
        <v>0.130869630306398</v>
      </c>
      <c r="AY57" s="118">
        <v>0.13366835674920199</v>
      </c>
      <c r="AZ57" s="118">
        <v>0.13676345146063501</v>
      </c>
      <c r="BA57" s="118">
        <v>0.13994449429009401</v>
      </c>
      <c r="BB57" s="118">
        <v>0.14293943057236699</v>
      </c>
      <c r="BC57" s="118">
        <v>0.14544876069934601</v>
      </c>
      <c r="BD57" s="118">
        <v>0.14724459075719601</v>
      </c>
      <c r="BE57" s="118">
        <v>0.14825053922508799</v>
      </c>
      <c r="BF57" s="118">
        <v>0.148615778674625</v>
      </c>
      <c r="BG57" s="118">
        <v>0.148757976285155</v>
      </c>
      <c r="BH57" s="118">
        <v>0.14911164144928299</v>
      </c>
      <c r="BI57" s="118">
        <v>0.15009370379675899</v>
      </c>
      <c r="BJ57" s="118">
        <v>0.151892976542844</v>
      </c>
      <c r="BK57" s="118">
        <v>0.154355335864828</v>
      </c>
      <c r="BL57" s="118">
        <v>0.157138728174576</v>
      </c>
      <c r="BM57" s="118">
        <v>0.159811546525301</v>
      </c>
      <c r="BN57" s="118">
        <v>0.16211779668847301</v>
      </c>
      <c r="BO57" s="118">
        <v>0.16409436897030899</v>
      </c>
      <c r="BP57" s="118">
        <v>0.166115975710139</v>
      </c>
      <c r="BQ57" s="118">
        <v>0.16857538555759199</v>
      </c>
      <c r="BR57" s="118">
        <v>0.171412207405196</v>
      </c>
      <c r="BS57" s="118">
        <v>0.1743732962899</v>
      </c>
    </row>
    <row r="58" spans="1:71" x14ac:dyDescent="0.35">
      <c r="B58" s="21" t="s">
        <v>552</v>
      </c>
      <c r="C58" s="348" t="s">
        <v>643</v>
      </c>
      <c r="D58" s="349" t="s">
        <v>640</v>
      </c>
      <c r="E58" s="54"/>
      <c r="F58" s="54"/>
      <c r="G58" s="118"/>
      <c r="H58" s="118"/>
      <c r="I58" s="118"/>
      <c r="J58" s="118"/>
      <c r="K58" s="118"/>
      <c r="L58" s="118"/>
      <c r="M58" s="118"/>
      <c r="N58" s="118"/>
      <c r="O58" s="118"/>
      <c r="P58" s="118"/>
      <c r="Q58" s="118"/>
      <c r="R58" s="118"/>
      <c r="S58" s="118"/>
      <c r="T58" s="118"/>
      <c r="U58" s="118"/>
      <c r="V58" s="118"/>
      <c r="W58" s="118"/>
      <c r="X58" s="118"/>
      <c r="Y58" s="118"/>
      <c r="Z58" s="118"/>
      <c r="AA58" s="118">
        <f>AA57*AA56</f>
        <v>0.16481957372831932</v>
      </c>
      <c r="AB58" s="118">
        <f t="shared" ref="AB58:BS58" si="21">AB57*AB56</f>
        <v>0.16228788364857555</v>
      </c>
      <c r="AC58" s="118">
        <f t="shared" si="21"/>
        <v>0.15498142323131645</v>
      </c>
      <c r="AD58" s="118">
        <f t="shared" si="21"/>
        <v>0.15062972182254367</v>
      </c>
      <c r="AE58" s="118">
        <f t="shared" si="21"/>
        <v>0.1457825565830472</v>
      </c>
      <c r="AF58" s="118">
        <f t="shared" si="21"/>
        <v>0.13449754122763161</v>
      </c>
      <c r="AG58" s="118">
        <f t="shared" si="21"/>
        <v>0.12917334778799416</v>
      </c>
      <c r="AH58" s="118">
        <f t="shared" si="21"/>
        <v>0.12435483849142301</v>
      </c>
      <c r="AI58" s="118">
        <f t="shared" si="21"/>
        <v>0.11950468996550662</v>
      </c>
      <c r="AJ58" s="118">
        <f t="shared" si="21"/>
        <v>0.11284332938011594</v>
      </c>
      <c r="AK58" s="118">
        <f t="shared" si="21"/>
        <v>0.10896625658562605</v>
      </c>
      <c r="AL58" s="118">
        <f t="shared" si="21"/>
        <v>0.10712608928756769</v>
      </c>
      <c r="AM58" s="118">
        <f t="shared" si="21"/>
        <v>0.10175218646063709</v>
      </c>
      <c r="AN58" s="118">
        <f t="shared" si="21"/>
        <v>9.7943364594649487E-2</v>
      </c>
      <c r="AO58" s="118">
        <f t="shared" si="21"/>
        <v>9.5993731802805751E-2</v>
      </c>
      <c r="AP58" s="118">
        <f t="shared" si="21"/>
        <v>9.3350460359568663E-2</v>
      </c>
      <c r="AQ58" s="118">
        <f t="shared" si="21"/>
        <v>9.2686435353191238E-2</v>
      </c>
      <c r="AR58" s="118">
        <f t="shared" si="21"/>
        <v>9.4527345714626218E-2</v>
      </c>
      <c r="AS58" s="118">
        <f t="shared" si="21"/>
        <v>9.664819412489116E-2</v>
      </c>
      <c r="AT58" s="118">
        <f t="shared" si="21"/>
        <v>9.676282850240589E-2</v>
      </c>
      <c r="AU58" s="118">
        <f t="shared" si="21"/>
        <v>9.7362446917388185E-2</v>
      </c>
      <c r="AV58" s="118">
        <f t="shared" si="21"/>
        <v>9.7786535312399697E-2</v>
      </c>
      <c r="AW58" s="118">
        <f t="shared" si="21"/>
        <v>9.8879971814894899E-2</v>
      </c>
      <c r="AX58" s="118">
        <f t="shared" si="21"/>
        <v>0.10077827206912689</v>
      </c>
      <c r="AY58" s="118">
        <f t="shared" si="21"/>
        <v>0.10310781438452316</v>
      </c>
      <c r="AZ58" s="118">
        <f t="shared" si="21"/>
        <v>0.10773002567634173</v>
      </c>
      <c r="BA58" s="118">
        <f t="shared" si="21"/>
        <v>0.11083520039978351</v>
      </c>
      <c r="BB58" s="118">
        <f t="shared" si="21"/>
        <v>0.11349520786871438</v>
      </c>
      <c r="BC58" s="118">
        <f t="shared" si="21"/>
        <v>0.1155092574500271</v>
      </c>
      <c r="BD58" s="118">
        <f t="shared" si="21"/>
        <v>0.11822948435616348</v>
      </c>
      <c r="BE58" s="118">
        <f t="shared" si="21"/>
        <v>0.12098923855061934</v>
      </c>
      <c r="BF58" s="118">
        <f t="shared" si="21"/>
        <v>0.12423181394653381</v>
      </c>
      <c r="BG58" s="118">
        <f t="shared" si="21"/>
        <v>0.12617241073955293</v>
      </c>
      <c r="BH58" s="118">
        <f t="shared" si="21"/>
        <v>0.12784061068780789</v>
      </c>
      <c r="BI58" s="118">
        <f t="shared" si="21"/>
        <v>0.12812330699410046</v>
      </c>
      <c r="BJ58" s="118">
        <f t="shared" si="21"/>
        <v>0.1266004852570633</v>
      </c>
      <c r="BK58" s="118">
        <f t="shared" si="21"/>
        <v>0.12743668455410526</v>
      </c>
      <c r="BL58" s="118">
        <f t="shared" si="21"/>
        <v>0.13084453734784909</v>
      </c>
      <c r="BM58" s="118">
        <f t="shared" si="21"/>
        <v>0.12988654458117058</v>
      </c>
      <c r="BN58" s="118">
        <f t="shared" si="21"/>
        <v>0.12947806945670379</v>
      </c>
      <c r="BO58" s="118">
        <f t="shared" si="21"/>
        <v>0.12195802964632592</v>
      </c>
      <c r="BP58" s="118">
        <f t="shared" si="21"/>
        <v>0.12111132973071533</v>
      </c>
      <c r="BQ58" s="118">
        <f t="shared" si="21"/>
        <v>0.12388384668894174</v>
      </c>
      <c r="BR58" s="118">
        <f t="shared" si="21"/>
        <v>0.1290226055053304</v>
      </c>
      <c r="BS58" s="118">
        <f t="shared" si="21"/>
        <v>0.13069647765597267</v>
      </c>
    </row>
    <row r="59" spans="1:71" x14ac:dyDescent="0.35">
      <c r="B59" s="21" t="s">
        <v>561</v>
      </c>
      <c r="C59" s="133" t="s">
        <v>645</v>
      </c>
      <c r="D59" s="257" t="s">
        <v>556</v>
      </c>
      <c r="E59" s="54"/>
      <c r="F59" s="54"/>
      <c r="G59" s="118">
        <f t="shared" ref="G59:AL59" si="22">G47/G51</f>
        <v>0.86729979819576142</v>
      </c>
      <c r="H59" s="118">
        <f t="shared" si="22"/>
        <v>0.85088658441504805</v>
      </c>
      <c r="I59" s="118">
        <f t="shared" si="22"/>
        <v>0.7815196053697534</v>
      </c>
      <c r="J59" s="118">
        <f t="shared" si="22"/>
        <v>0.84116946697939454</v>
      </c>
      <c r="K59" s="118">
        <f t="shared" si="22"/>
        <v>0.7990255694985785</v>
      </c>
      <c r="L59" s="118">
        <f t="shared" si="22"/>
        <v>0.76476198106820814</v>
      </c>
      <c r="M59" s="118">
        <f t="shared" si="22"/>
        <v>0.74556094855163435</v>
      </c>
      <c r="N59" s="118">
        <f t="shared" si="22"/>
        <v>0.72082761512797433</v>
      </c>
      <c r="O59" s="118">
        <f t="shared" si="22"/>
        <v>0.75565449248303118</v>
      </c>
      <c r="P59" s="118">
        <f t="shared" si="22"/>
        <v>0.74842853453998981</v>
      </c>
      <c r="Q59" s="118">
        <f t="shared" si="22"/>
        <v>0.71242803129779764</v>
      </c>
      <c r="R59" s="118">
        <f t="shared" si="22"/>
        <v>0.67291196385817598</v>
      </c>
      <c r="S59" s="118">
        <f t="shared" si="22"/>
        <v>0.67752807448522556</v>
      </c>
      <c r="T59" s="118">
        <f t="shared" si="22"/>
        <v>0.65291319642225143</v>
      </c>
      <c r="U59" s="118">
        <f t="shared" si="22"/>
        <v>0.64823250220421313</v>
      </c>
      <c r="V59" s="118">
        <f t="shared" si="22"/>
        <v>0.64215679976691997</v>
      </c>
      <c r="W59" s="118">
        <f t="shared" si="22"/>
        <v>0.63239541739080429</v>
      </c>
      <c r="X59" s="118">
        <f t="shared" si="22"/>
        <v>0.63622752578206365</v>
      </c>
      <c r="Y59" s="118">
        <f t="shared" si="22"/>
        <v>0.63041591688587673</v>
      </c>
      <c r="Z59" s="118">
        <f t="shared" si="22"/>
        <v>0.62765423990652591</v>
      </c>
      <c r="AA59" s="118">
        <f t="shared" si="22"/>
        <v>0.61561106606273586</v>
      </c>
      <c r="AB59" s="118">
        <f t="shared" si="22"/>
        <v>0.61343019571522639</v>
      </c>
      <c r="AC59" s="118">
        <f t="shared" si="22"/>
        <v>0.60602914207984382</v>
      </c>
      <c r="AD59" s="118">
        <f t="shared" si="22"/>
        <v>0.5994380566669385</v>
      </c>
      <c r="AE59" s="118">
        <f t="shared" si="22"/>
        <v>0.58830101162820081</v>
      </c>
      <c r="AF59" s="118">
        <f t="shared" si="22"/>
        <v>0.57113652652620894</v>
      </c>
      <c r="AG59" s="118">
        <f t="shared" si="22"/>
        <v>0.58276529378857833</v>
      </c>
      <c r="AH59" s="118">
        <f t="shared" si="22"/>
        <v>0.62577091968294873</v>
      </c>
      <c r="AI59" s="118">
        <f t="shared" si="22"/>
        <v>0.56466903964416926</v>
      </c>
      <c r="AJ59" s="118">
        <f t="shared" si="22"/>
        <v>0.54920507271862451</v>
      </c>
      <c r="AK59" s="118">
        <f t="shared" si="22"/>
        <v>0.5471410001574849</v>
      </c>
      <c r="AL59" s="118">
        <f t="shared" si="22"/>
        <v>0.54987502913502495</v>
      </c>
      <c r="AM59" s="118">
        <f t="shared" ref="AM59:BS59" si="23">AM47/AM51</f>
        <v>0.5472218824678412</v>
      </c>
      <c r="AN59" s="118">
        <f t="shared" si="23"/>
        <v>0.54150580247755098</v>
      </c>
      <c r="AO59" s="118">
        <f t="shared" si="23"/>
        <v>0.52450100837702784</v>
      </c>
      <c r="AP59" s="118">
        <f t="shared" si="23"/>
        <v>0.48921099867462936</v>
      </c>
      <c r="AQ59" s="118">
        <f t="shared" si="23"/>
        <v>0.47104472314462742</v>
      </c>
      <c r="AR59" s="118">
        <f t="shared" si="23"/>
        <v>0.47494013504480831</v>
      </c>
      <c r="AS59" s="118">
        <f t="shared" si="23"/>
        <v>0.46914978443488797</v>
      </c>
      <c r="AT59" s="118">
        <f t="shared" si="23"/>
        <v>0.46413546457806004</v>
      </c>
      <c r="AU59" s="118">
        <f t="shared" si="23"/>
        <v>0.46404829416167714</v>
      </c>
      <c r="AV59" s="118">
        <f t="shared" si="23"/>
        <v>0.46244309931810446</v>
      </c>
      <c r="AW59" s="118">
        <f t="shared" si="23"/>
        <v>0.45544207299626183</v>
      </c>
      <c r="AX59" s="118">
        <f t="shared" si="23"/>
        <v>0.44882453714193488</v>
      </c>
      <c r="AY59" s="118">
        <f t="shared" si="23"/>
        <v>0.43237477561030052</v>
      </c>
      <c r="AZ59" s="118">
        <f t="shared" si="23"/>
        <v>0.43295028399008856</v>
      </c>
      <c r="BA59" s="118">
        <f t="shared" si="23"/>
        <v>0.43373652574935273</v>
      </c>
      <c r="BB59" s="118">
        <f t="shared" si="23"/>
        <v>0.42855175409085838</v>
      </c>
      <c r="BC59" s="118">
        <f t="shared" si="23"/>
        <v>0.42403672984570318</v>
      </c>
      <c r="BD59" s="118">
        <f t="shared" si="23"/>
        <v>0.41469463345953311</v>
      </c>
      <c r="BE59" s="118">
        <f t="shared" si="23"/>
        <v>0.41185731391279434</v>
      </c>
      <c r="BF59" s="118">
        <f t="shared" si="23"/>
        <v>0.40515650396579161</v>
      </c>
      <c r="BG59" s="118">
        <f t="shared" si="23"/>
        <v>0.40004458010383442</v>
      </c>
      <c r="BH59" s="118">
        <f t="shared" si="23"/>
        <v>0.39949403167449049</v>
      </c>
      <c r="BI59" s="118">
        <f t="shared" si="23"/>
        <v>0.38852201844644568</v>
      </c>
      <c r="BJ59" s="118">
        <f t="shared" si="23"/>
        <v>0.37920151683508313</v>
      </c>
      <c r="BK59" s="118">
        <f t="shared" si="23"/>
        <v>0.37328605541825588</v>
      </c>
      <c r="BL59" s="118">
        <f t="shared" si="23"/>
        <v>0.38592251696919705</v>
      </c>
      <c r="BM59" s="118">
        <f t="shared" si="23"/>
        <v>0.38536134112505421</v>
      </c>
      <c r="BN59" s="118">
        <f t="shared" si="23"/>
        <v>0.38017372372719932</v>
      </c>
      <c r="BO59" s="118">
        <f t="shared" si="23"/>
        <v>0.36802259566763768</v>
      </c>
      <c r="BP59" s="118">
        <f t="shared" si="23"/>
        <v>0.37009166333114557</v>
      </c>
      <c r="BQ59" s="118">
        <f t="shared" si="23"/>
        <v>0.33846517371138046</v>
      </c>
      <c r="BR59" s="118">
        <f t="shared" si="23"/>
        <v>0.3567725721968954</v>
      </c>
      <c r="BS59" s="118">
        <f t="shared" si="23"/>
        <v>0.35906680830995574</v>
      </c>
    </row>
    <row r="60" spans="1:71" s="351" customFormat="1" ht="28.75" customHeight="1" x14ac:dyDescent="0.35">
      <c r="B60" s="352" t="s">
        <v>562</v>
      </c>
      <c r="C60" s="356" t="s">
        <v>644</v>
      </c>
      <c r="D60" s="355" t="s">
        <v>557</v>
      </c>
      <c r="E60" s="353"/>
      <c r="F60" s="353"/>
      <c r="G60" s="354">
        <f>G57*G59</f>
        <v>0.18554062139635311</v>
      </c>
      <c r="H60" s="354">
        <f t="shared" ref="H60:BS60" si="24">H57*H59</f>
        <v>0.1817390333763618</v>
      </c>
      <c r="I60" s="354">
        <f t="shared" si="24"/>
        <v>0.16648583478952353</v>
      </c>
      <c r="J60" s="354">
        <f t="shared" si="24"/>
        <v>0.17841490467144919</v>
      </c>
      <c r="K60" s="354">
        <f t="shared" si="24"/>
        <v>0.16831756180099555</v>
      </c>
      <c r="L60" s="354">
        <f t="shared" si="24"/>
        <v>0.1596182705973061</v>
      </c>
      <c r="M60" s="354">
        <f t="shared" si="24"/>
        <v>0.15397219573809334</v>
      </c>
      <c r="N60" s="354">
        <f t="shared" si="24"/>
        <v>0.14724872008649229</v>
      </c>
      <c r="O60" s="354">
        <f t="shared" si="24"/>
        <v>0.15271704583024973</v>
      </c>
      <c r="P60" s="354">
        <f t="shared" si="24"/>
        <v>0.14967796449075493</v>
      </c>
      <c r="Q60" s="354">
        <f t="shared" si="24"/>
        <v>0.14115195493467708</v>
      </c>
      <c r="R60" s="354">
        <f t="shared" si="24"/>
        <v>0.13235444907566254</v>
      </c>
      <c r="S60" s="354">
        <f t="shared" si="24"/>
        <v>0.1326299066491998</v>
      </c>
      <c r="T60" s="354">
        <f t="shared" si="24"/>
        <v>0.12743904491387173</v>
      </c>
      <c r="U60" s="354">
        <f t="shared" si="24"/>
        <v>0.12631291190166266</v>
      </c>
      <c r="V60" s="354">
        <f t="shared" si="24"/>
        <v>0.12493314246168394</v>
      </c>
      <c r="W60" s="354">
        <f t="shared" si="24"/>
        <v>0.12264425086752387</v>
      </c>
      <c r="X60" s="354">
        <f t="shared" si="24"/>
        <v>0.12257533539108921</v>
      </c>
      <c r="Y60" s="354">
        <f t="shared" si="24"/>
        <v>0.12004823553394864</v>
      </c>
      <c r="Z60" s="354">
        <f t="shared" si="24"/>
        <v>0.11740253345440209</v>
      </c>
      <c r="AA60" s="354">
        <f t="shared" si="24"/>
        <v>0.1123888038063893</v>
      </c>
      <c r="AB60" s="354">
        <f t="shared" si="24"/>
        <v>0.10871847951372994</v>
      </c>
      <c r="AC60" s="354">
        <f t="shared" si="24"/>
        <v>0.10387941985369556</v>
      </c>
      <c r="AD60" s="354">
        <f t="shared" si="24"/>
        <v>9.9248279020065638E-2</v>
      </c>
      <c r="AE60" s="354">
        <f t="shared" si="24"/>
        <v>9.4193869922743909E-2</v>
      </c>
      <c r="AF60" s="354">
        <f t="shared" si="24"/>
        <v>8.8619398713060057E-2</v>
      </c>
      <c r="AG60" s="354">
        <f t="shared" si="24"/>
        <v>8.7845603211610779E-2</v>
      </c>
      <c r="AH60" s="354">
        <f t="shared" si="24"/>
        <v>9.1897448244076085E-2</v>
      </c>
      <c r="AI60" s="354">
        <f t="shared" si="24"/>
        <v>8.1034250557716389E-2</v>
      </c>
      <c r="AJ60" s="354">
        <f t="shared" si="24"/>
        <v>7.7142226693696456E-2</v>
      </c>
      <c r="AK60" s="354">
        <f t="shared" si="24"/>
        <v>7.5200216522135613E-2</v>
      </c>
      <c r="AL60" s="354">
        <f t="shared" si="24"/>
        <v>7.3839138666994958E-2</v>
      </c>
      <c r="AM60" s="354">
        <f t="shared" si="24"/>
        <v>7.1705088801460579E-2</v>
      </c>
      <c r="AN60" s="354">
        <f t="shared" si="24"/>
        <v>6.9300352382519609E-2</v>
      </c>
      <c r="AO60" s="354">
        <f t="shared" si="24"/>
        <v>6.5808831284595221E-2</v>
      </c>
      <c r="AP60" s="354">
        <f t="shared" si="24"/>
        <v>6.0520148207359382E-2</v>
      </c>
      <c r="AQ60" s="354">
        <f t="shared" si="24"/>
        <v>5.784117718084307E-2</v>
      </c>
      <c r="AR60" s="354">
        <f t="shared" si="24"/>
        <v>5.8216138234491413E-2</v>
      </c>
      <c r="AS60" s="354">
        <f t="shared" si="24"/>
        <v>5.7650115321894214E-2</v>
      </c>
      <c r="AT60" s="354">
        <f t="shared" si="24"/>
        <v>5.7387143103429669E-2</v>
      </c>
      <c r="AU60" s="354">
        <f t="shared" si="24"/>
        <v>5.7944063640934095E-2</v>
      </c>
      <c r="AV60" s="354">
        <f t="shared" si="24"/>
        <v>5.849559865708491E-2</v>
      </c>
      <c r="AW60" s="354">
        <f t="shared" si="24"/>
        <v>5.8514746065815595E-2</v>
      </c>
      <c r="AX60" s="354">
        <f t="shared" si="24"/>
        <v>5.8737501248205218E-2</v>
      </c>
      <c r="AY60" s="354">
        <f t="shared" si="24"/>
        <v>5.7794825755633814E-2</v>
      </c>
      <c r="AZ60" s="354">
        <f t="shared" si="24"/>
        <v>5.921177514934662E-2</v>
      </c>
      <c r="BA60" s="354">
        <f t="shared" si="24"/>
        <v>6.0699038751135505E-2</v>
      </c>
      <c r="BB60" s="354">
        <f t="shared" si="24"/>
        <v>6.1256943700536345E-2</v>
      </c>
      <c r="BC60" s="354">
        <f t="shared" si="24"/>
        <v>6.167561684706091E-2</v>
      </c>
      <c r="BD60" s="354">
        <f t="shared" si="24"/>
        <v>6.1061541592954356E-2</v>
      </c>
      <c r="BE60" s="354">
        <f t="shared" si="24"/>
        <v>6.1058068871368096E-2</v>
      </c>
      <c r="BF60" s="354">
        <f t="shared" si="24"/>
        <v>6.0212649321964913E-2</v>
      </c>
      <c r="BG60" s="354">
        <f t="shared" si="24"/>
        <v>5.9509822160090993E-2</v>
      </c>
      <c r="BH60" s="354">
        <f t="shared" si="24"/>
        <v>5.956921081217513E-2</v>
      </c>
      <c r="BI60" s="354">
        <f t="shared" si="24"/>
        <v>5.8314708755219748E-2</v>
      </c>
      <c r="BJ60" s="354">
        <f t="shared" si="24"/>
        <v>5.7598047101642146E-2</v>
      </c>
      <c r="BK60" s="354">
        <f t="shared" si="24"/>
        <v>5.7618694457741683E-2</v>
      </c>
      <c r="BL60" s="354">
        <f t="shared" si="24"/>
        <v>6.0643373490470845E-2</v>
      </c>
      <c r="BM60" s="354">
        <f t="shared" si="24"/>
        <v>6.1585191896258988E-2</v>
      </c>
      <c r="BN60" s="354">
        <f t="shared" si="24"/>
        <v>6.1632926449505805E-2</v>
      </c>
      <c r="BO60" s="354">
        <f t="shared" si="24"/>
        <v>6.0390435602896177E-2</v>
      </c>
      <c r="BP60" s="354">
        <f t="shared" si="24"/>
        <v>6.1478137756441516E-2</v>
      </c>
      <c r="BQ60" s="354">
        <f t="shared" si="24"/>
        <v>5.7056897156213308E-2</v>
      </c>
      <c r="BR60" s="354">
        <f t="shared" si="24"/>
        <v>6.1155174141899499E-2</v>
      </c>
      <c r="BS60" s="354">
        <f t="shared" si="24"/>
        <v>6.2611662953300645E-2</v>
      </c>
    </row>
    <row r="61" spans="1:71" s="16" customFormat="1" ht="9.65" customHeight="1" x14ac:dyDescent="0.35">
      <c r="B61" s="14" t="s">
        <v>563</v>
      </c>
      <c r="C61" s="275"/>
      <c r="D61" s="276"/>
      <c r="E61" s="83"/>
      <c r="F61" s="83"/>
      <c r="G61" s="132"/>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2"/>
      <c r="AN61" s="132"/>
      <c r="AO61" s="132"/>
      <c r="AP61" s="132"/>
      <c r="AQ61" s="132"/>
      <c r="AR61" s="132"/>
      <c r="AS61" s="132"/>
      <c r="AT61" s="132"/>
      <c r="AU61" s="132"/>
      <c r="AV61" s="132"/>
      <c r="AW61" s="132"/>
      <c r="AX61" s="132"/>
      <c r="AY61" s="132"/>
      <c r="AZ61" s="132"/>
      <c r="BA61" s="132"/>
      <c r="BB61" s="132"/>
      <c r="BC61" s="132"/>
      <c r="BD61" s="132"/>
      <c r="BE61" s="132"/>
      <c r="BF61" s="132"/>
      <c r="BG61" s="132"/>
      <c r="BH61" s="132"/>
      <c r="BI61" s="132"/>
      <c r="BJ61" s="132"/>
      <c r="BK61" s="132"/>
      <c r="BL61" s="132"/>
      <c r="BM61" s="132"/>
      <c r="BN61" s="132"/>
      <c r="BO61" s="132"/>
      <c r="BP61" s="132"/>
      <c r="BQ61" s="132"/>
      <c r="BR61" s="132"/>
      <c r="BS61" s="132"/>
    </row>
    <row r="62" spans="1:71" s="181" customFormat="1" ht="14.4" customHeight="1" x14ac:dyDescent="0.35">
      <c r="B62" s="160" t="s">
        <v>608</v>
      </c>
      <c r="C62" s="133"/>
      <c r="D62" s="219"/>
      <c r="E62" s="80"/>
      <c r="F62" s="80"/>
      <c r="G62" s="288"/>
      <c r="H62" s="288"/>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row>
    <row r="63" spans="1:71" x14ac:dyDescent="0.35">
      <c r="A63" s="292"/>
      <c r="B63" s="113" t="s">
        <v>564</v>
      </c>
      <c r="C63" s="21" t="s">
        <v>635</v>
      </c>
      <c r="D63" s="256" t="s">
        <v>244</v>
      </c>
      <c r="E63" s="94"/>
      <c r="F63" s="259">
        <f>'Appndx 6.8.II.1'!Y28</f>
        <v>12</v>
      </c>
      <c r="G63" s="259">
        <f>'Appndx 6.8.II.1'!Z28</f>
        <v>15.7</v>
      </c>
      <c r="H63" s="259">
        <f>'Appndx 6.8.II.1'!AA28</f>
        <v>17.8</v>
      </c>
      <c r="I63" s="259">
        <f>'Appndx 6.8.II.1'!AB28</f>
        <v>16.2</v>
      </c>
      <c r="J63" s="259">
        <f>'Appndx 6.8.II.1'!AC28</f>
        <v>17.8</v>
      </c>
      <c r="K63" s="259">
        <f>'Appndx 6.8.II.1'!AD28</f>
        <v>21.7</v>
      </c>
      <c r="L63" s="259">
        <f>'Appndx 6.8.II.1'!AE28</f>
        <v>22.7</v>
      </c>
      <c r="M63" s="259">
        <f>'Appndx 6.8.II.1'!AF28</f>
        <v>24.8</v>
      </c>
      <c r="N63" s="259">
        <f>'Appndx 6.8.II.1'!AG28</f>
        <v>24.1</v>
      </c>
      <c r="O63" s="259">
        <f>'Appndx 6.8.II.1'!AH28</f>
        <v>26.6</v>
      </c>
      <c r="P63" s="259">
        <f>'Appndx 6.8.II.1'!AI28</f>
        <v>32.200000000000003</v>
      </c>
      <c r="Q63" s="259">
        <f>'Appndx 6.8.II.1'!AJ28</f>
        <v>34.9</v>
      </c>
      <c r="R63" s="259">
        <f>'Appndx 6.8.II.1'!AK28</f>
        <v>30.2</v>
      </c>
      <c r="S63" s="259">
        <f>'Appndx 6.8.II.1'!AL28</f>
        <v>32.700000000000003</v>
      </c>
      <c r="T63" s="259">
        <f>'Appndx 6.8.II.1'!AM28</f>
        <v>35.6</v>
      </c>
      <c r="U63" s="259">
        <f>'Appndx 6.8.II.1'!AN28</f>
        <v>35.200000000000003</v>
      </c>
      <c r="V63" s="259">
        <f>'Appndx 6.8.II.1'!AO28</f>
        <v>38.299999999999997</v>
      </c>
      <c r="W63" s="259">
        <f>'Appndx 6.8.II.1'!AP28</f>
        <v>40.4</v>
      </c>
      <c r="X63" s="259">
        <f>'Appndx 6.8.II.1'!AQ28</f>
        <v>46.1</v>
      </c>
      <c r="Y63" s="259">
        <f>'Appndx 6.8.II.1'!AR28</f>
        <v>55.1</v>
      </c>
      <c r="Z63" s="259">
        <f>'Appndx 6.8.II.1'!AS28</f>
        <v>63.8</v>
      </c>
      <c r="AA63" s="259">
        <f>'Appndx 6.8.II.1'!AT28</f>
        <v>64.900000000000006</v>
      </c>
      <c r="AB63" s="259">
        <f>'Appndx 6.8.II.1'!AU28</f>
        <v>71</v>
      </c>
      <c r="AC63" s="259">
        <f>'Appndx 6.8.II.1'!AV28</f>
        <v>79.2</v>
      </c>
      <c r="AD63" s="259">
        <f>'Appndx 6.8.II.1'!AW28</f>
        <v>81.400000000000006</v>
      </c>
      <c r="AE63" s="259">
        <f>'Appndx 6.8.II.1'!AX28</f>
        <v>84.6</v>
      </c>
      <c r="AF63" s="259">
        <f>'Appndx 6.8.II.1'!AY28</f>
        <v>96.2</v>
      </c>
      <c r="AG63" s="259">
        <f>'Appndx 6.8.II.1'!AZ28</f>
        <v>114.8</v>
      </c>
      <c r="AH63" s="259">
        <f>'Appndx 6.8.II.1'!BA28</f>
        <v>131.19999999999999</v>
      </c>
      <c r="AI63" s="259">
        <f>'Appndx 6.8.II.1'!BB28</f>
        <v>134</v>
      </c>
      <c r="AJ63" s="259">
        <f>'Appndx 6.8.II.1'!BC28</f>
        <v>148.6</v>
      </c>
      <c r="AK63" s="259">
        <f>'Appndx 6.8.II.1'!BD28</f>
        <v>177.4</v>
      </c>
      <c r="AL63" s="259">
        <f>'Appndx 6.8.II.1'!BE28</f>
        <v>218.2</v>
      </c>
      <c r="AM63" s="259">
        <f>'Appndx 6.8.II.1'!BF28</f>
        <v>259.5</v>
      </c>
      <c r="AN63" s="259">
        <f>'Appndx 6.8.II.1'!BG28</f>
        <v>284.60000000000002</v>
      </c>
      <c r="AO63" s="259">
        <f>'Appndx 6.8.II.1'!BH28</f>
        <v>324.39999999999998</v>
      </c>
      <c r="AP63" s="259">
        <f>'Appndx 6.8.II.1'!BI28</f>
        <v>327.10000000000002</v>
      </c>
      <c r="AQ63" s="259">
        <f>'Appndx 6.8.II.1'!BJ28</f>
        <v>323.7</v>
      </c>
      <c r="AR63" s="259">
        <f>'Appndx 6.8.II.1'!BK28</f>
        <v>383.6</v>
      </c>
      <c r="AS63" s="259">
        <f>'Appndx 6.8.II.1'!BL28</f>
        <v>412.5</v>
      </c>
      <c r="AT63" s="259">
        <f>'Appndx 6.8.II.1'!BM28</f>
        <v>402.3</v>
      </c>
      <c r="AU63" s="259">
        <f>'Appndx 6.8.II.1'!BN28</f>
        <v>403.3</v>
      </c>
      <c r="AV63" s="259">
        <f>'Appndx 6.8.II.1'!BO28</f>
        <v>433.2</v>
      </c>
      <c r="AW63" s="259">
        <f>'Appndx 6.8.II.1'!BP28</f>
        <v>471.5</v>
      </c>
      <c r="AX63" s="259">
        <f>'Appndx 6.8.II.1'!BQ28</f>
        <v>502.1</v>
      </c>
      <c r="AY63" s="259">
        <f>'Appndx 6.8.II.1'!BR28</f>
        <v>482.4</v>
      </c>
      <c r="AZ63" s="259">
        <f>'Appndx 6.8.II.1'!BS28</f>
        <v>495.3</v>
      </c>
      <c r="BA63" s="259">
        <f>'Appndx 6.8.II.1'!BT28</f>
        <v>545.4</v>
      </c>
      <c r="BB63" s="259">
        <f>'Appndx 6.8.II.1'!BU28</f>
        <v>600.70000000000005</v>
      </c>
      <c r="BC63" s="259">
        <f>'Appndx 6.8.II.1'!BV28</f>
        <v>674.8</v>
      </c>
      <c r="BD63" s="259">
        <f>'Appndx 6.8.II.1'!BW28</f>
        <v>735.2</v>
      </c>
      <c r="BE63" s="259">
        <f>'Appndx 6.8.II.1'!BX28</f>
        <v>800</v>
      </c>
      <c r="BF63" s="259">
        <f>'Appndx 6.8.II.1'!BY28</f>
        <v>871</v>
      </c>
      <c r="BG63" s="259">
        <f>'Appndx 6.8.II.1'!BZ28</f>
        <v>946.3</v>
      </c>
      <c r="BH63" s="259">
        <f>'Appndx 6.8.II.1'!CA28</f>
        <v>1037.8</v>
      </c>
      <c r="BI63" s="259">
        <f>'Appndx 6.8.II.1'!CB28</f>
        <v>991.7</v>
      </c>
      <c r="BJ63" s="259">
        <f>'Appndx 6.8.II.1'!CC28</f>
        <v>885.1</v>
      </c>
      <c r="BK63" s="259">
        <f>'Appndx 6.8.II.1'!CD28</f>
        <v>891.8</v>
      </c>
      <c r="BL63" s="259">
        <f>'Appndx 6.8.II.1'!CE28</f>
        <v>960</v>
      </c>
      <c r="BM63" s="259">
        <f>'Appndx 6.8.II.1'!CF28</f>
        <v>1065.2</v>
      </c>
      <c r="BN63" s="259">
        <f>'Appndx 6.8.II.1'!CG28</f>
        <v>1193</v>
      </c>
      <c r="BO63" s="259">
        <f>'Appndx 6.8.II.1'!CH28</f>
        <v>1295.3</v>
      </c>
      <c r="BP63" s="259">
        <f>'Appndx 6.8.II.1'!CI28</f>
        <v>1311.5</v>
      </c>
      <c r="BQ63" s="259">
        <f>'Appndx 6.8.II.1'!CJ28</f>
        <v>1049.8</v>
      </c>
      <c r="BR63" s="259">
        <f>'Appndx 6.8.II.1'!CK28</f>
        <v>1063.9000000000001</v>
      </c>
      <c r="BS63" s="259">
        <f>'Appndx 6.8.II.1'!CL28</f>
        <v>1182.4000000000001</v>
      </c>
    </row>
    <row r="64" spans="1:71" s="2" customFormat="1" ht="26.5" x14ac:dyDescent="0.35">
      <c r="A64" s="292"/>
      <c r="B64" s="277" t="s">
        <v>565</v>
      </c>
      <c r="C64" s="21" t="s">
        <v>636</v>
      </c>
      <c r="D64" s="7" t="s">
        <v>239</v>
      </c>
      <c r="E64" s="144"/>
      <c r="F64" s="144"/>
      <c r="G64" s="81">
        <f>'Appndx 6.8.II.1'!Z25</f>
        <v>8.9</v>
      </c>
      <c r="H64" s="81">
        <f>'Appndx 6.8.II.1'!AA25</f>
        <v>10.4</v>
      </c>
      <c r="I64" s="81">
        <f>'Appndx 6.8.II.1'!AB25</f>
        <v>11.2</v>
      </c>
      <c r="J64" s="81">
        <f>'Appndx 6.8.II.1'!AC25</f>
        <v>12</v>
      </c>
      <c r="K64" s="81">
        <f>'Appndx 6.8.II.1'!AD25</f>
        <v>13.6</v>
      </c>
      <c r="L64" s="81">
        <f>'Appndx 6.8.II.1'!AE25</f>
        <v>14.5</v>
      </c>
      <c r="M64" s="81">
        <f>'Appndx 6.8.II.1'!AF25</f>
        <v>15.4</v>
      </c>
      <c r="N64" s="81">
        <f>'Appndx 6.8.II.1'!AG25</f>
        <v>16.2</v>
      </c>
      <c r="O64" s="81">
        <f>'Appndx 6.8.II.1'!AH25</f>
        <v>17.100000000000001</v>
      </c>
      <c r="P64" s="81">
        <f>'Appndx 6.8.II.1'!AI25</f>
        <v>19.2</v>
      </c>
      <c r="Q64" s="81">
        <f>'Appndx 6.8.II.1'!AJ25</f>
        <v>21.3</v>
      </c>
      <c r="R64" s="81">
        <f>'Appndx 6.8.II.1'!AK25</f>
        <v>22.7</v>
      </c>
      <c r="S64" s="81">
        <f>'Appndx 6.8.II.1'!AL25</f>
        <v>23.7</v>
      </c>
      <c r="T64" s="81">
        <f>'Appndx 6.8.II.1'!AM25</f>
        <v>24</v>
      </c>
      <c r="U64" s="81">
        <f>'Appndx 6.8.II.1'!AN25</f>
        <v>24.7</v>
      </c>
      <c r="V64" s="81">
        <f>'Appndx 6.8.II.1'!AO25</f>
        <v>25.6</v>
      </c>
      <c r="W64" s="81">
        <f>'Appndx 6.8.II.1'!AP25</f>
        <v>26.7</v>
      </c>
      <c r="X64" s="81">
        <f>'Appndx 6.8.II.1'!AQ25</f>
        <v>28.2</v>
      </c>
      <c r="Y64" s="81">
        <f>'Appndx 6.8.II.1'!AR25</f>
        <v>30.5</v>
      </c>
      <c r="Z64" s="81">
        <f>'Appndx 6.8.II.1'!AS25</f>
        <v>33.5</v>
      </c>
      <c r="AA64" s="81">
        <f>'Appndx 6.8.II.1'!AT25</f>
        <v>36.9</v>
      </c>
      <c r="AB64" s="81">
        <f>'Appndx 6.8.II.1'!AU25</f>
        <v>40.700000000000003</v>
      </c>
      <c r="AC64" s="81">
        <f>'Appndx 6.8.II.1'!AV25</f>
        <v>45.2</v>
      </c>
      <c r="AD64" s="81">
        <f>'Appndx 6.8.II.1'!AW25</f>
        <v>50.1</v>
      </c>
      <c r="AE64" s="81">
        <f>'Appndx 6.8.II.1'!AX25</f>
        <v>54.9</v>
      </c>
      <c r="AF64" s="81">
        <f>'Appndx 6.8.II.1'!AY25</f>
        <v>59.8</v>
      </c>
      <c r="AG64" s="81">
        <f>'Appndx 6.8.II.1'!AZ25</f>
        <v>67</v>
      </c>
      <c r="AH64" s="81">
        <f>'Appndx 6.8.II.1'!BA25</f>
        <v>78.900000000000006</v>
      </c>
      <c r="AI64" s="81">
        <f>'Appndx 6.8.II.1'!BB25</f>
        <v>94.5</v>
      </c>
      <c r="AJ64" s="81">
        <f>'Appndx 6.8.II.1'!BC25</f>
        <v>104.7</v>
      </c>
      <c r="AK64" s="81">
        <f>'Appndx 6.8.II.1'!BD25</f>
        <v>118.1</v>
      </c>
      <c r="AL64" s="81">
        <f>'Appndx 6.8.II.1'!BE25</f>
        <v>134.4</v>
      </c>
      <c r="AM64" s="81">
        <f>'Appndx 6.8.II.1'!BF25</f>
        <v>155.30000000000001</v>
      </c>
      <c r="AN64" s="81">
        <f>'Appndx 6.8.II.1'!BG25</f>
        <v>180</v>
      </c>
      <c r="AO64" s="81">
        <f>'Appndx 6.8.II.1'!BH25</f>
        <v>208.3</v>
      </c>
      <c r="AP64" s="81">
        <f>'Appndx 6.8.II.1'!BI25</f>
        <v>231.6</v>
      </c>
      <c r="AQ64" s="81">
        <f>'Appndx 6.8.II.1'!BJ25</f>
        <v>240.7</v>
      </c>
      <c r="AR64" s="81">
        <f>'Appndx 6.8.II.1'!BK25</f>
        <v>253.2</v>
      </c>
      <c r="AS64" s="81">
        <f>'Appndx 6.8.II.1'!BL25</f>
        <v>272</v>
      </c>
      <c r="AT64" s="81">
        <f>'Appndx 6.8.II.1'!BM25</f>
        <v>290.10000000000002</v>
      </c>
      <c r="AU64" s="81">
        <f>'Appndx 6.8.II.1'!BN25</f>
        <v>306.7</v>
      </c>
      <c r="AV64" s="81">
        <f>'Appndx 6.8.II.1'!BO25</f>
        <v>329.1</v>
      </c>
      <c r="AW64" s="81">
        <f>'Appndx 6.8.II.1'!BP25</f>
        <v>351.1</v>
      </c>
      <c r="AX64" s="81">
        <f>'Appndx 6.8.II.1'!BQ25</f>
        <v>373.4</v>
      </c>
      <c r="AY64" s="81">
        <f>'Appndx 6.8.II.1'!BR25</f>
        <v>392.4</v>
      </c>
      <c r="AZ64" s="81">
        <f>'Appndx 6.8.II.1'!BS25</f>
        <v>402.3</v>
      </c>
      <c r="BA64" s="81">
        <f>'Appndx 6.8.II.1'!BT25</f>
        <v>420.4</v>
      </c>
      <c r="BB64" s="81">
        <f>'Appndx 6.8.II.1'!BU25</f>
        <v>445.2</v>
      </c>
      <c r="BC64" s="81">
        <f>'Appndx 6.8.II.1'!BV25</f>
        <v>477.2</v>
      </c>
      <c r="BD64" s="81">
        <f>'Appndx 6.8.II.1'!BW25</f>
        <v>506.3</v>
      </c>
      <c r="BE64" s="81">
        <f>'Appndx 6.8.II.1'!BX25</f>
        <v>541.20000000000005</v>
      </c>
      <c r="BF64" s="81">
        <f>'Appndx 6.8.II.1'!BY25</f>
        <v>578.6</v>
      </c>
      <c r="BG64" s="81">
        <f>'Appndx 6.8.II.1'!BZ25</f>
        <v>624.9</v>
      </c>
      <c r="BH64" s="81">
        <f>'Appndx 6.8.II.1'!CA25</f>
        <v>682.1</v>
      </c>
      <c r="BI64" s="81">
        <f>'Appndx 6.8.II.1'!CB25</f>
        <v>725.1</v>
      </c>
      <c r="BJ64" s="81">
        <f>'Appndx 6.8.II.1'!CC25</f>
        <v>749.3</v>
      </c>
      <c r="BK64" s="81">
        <f>'Appndx 6.8.II.1'!CD25</f>
        <v>768.3</v>
      </c>
      <c r="BL64" s="81">
        <f>'Appndx 6.8.II.1'!CE25</f>
        <v>803.1</v>
      </c>
      <c r="BM64" s="81">
        <f>'Appndx 6.8.II.1'!CF25</f>
        <v>855.8</v>
      </c>
      <c r="BN64" s="81">
        <f>'Appndx 6.8.II.1'!CG25</f>
        <v>918.4</v>
      </c>
      <c r="BO64" s="81">
        <f>'Appndx 6.8.II.1'!CH25</f>
        <v>976.4</v>
      </c>
      <c r="BP64" s="81">
        <f>'Appndx 6.8.II.1'!CI25</f>
        <v>1028.5</v>
      </c>
      <c r="BQ64" s="81">
        <f>'Appndx 6.8.II.1'!CJ25</f>
        <v>1030.4000000000001</v>
      </c>
      <c r="BR64" s="81">
        <f>'Appndx 6.8.II.1'!CK25</f>
        <v>1026.5</v>
      </c>
      <c r="BS64" s="81">
        <f>'Appndx 6.8.II.1'!CL25</f>
        <v>1061.9000000000001</v>
      </c>
    </row>
    <row r="65" spans="1:73" x14ac:dyDescent="0.35">
      <c r="B65" s="113" t="s">
        <v>567</v>
      </c>
      <c r="C65" s="257" t="s">
        <v>566</v>
      </c>
      <c r="D65" s="257" t="s">
        <v>446</v>
      </c>
      <c r="E65" s="54"/>
      <c r="F65" s="54"/>
      <c r="G65" s="258">
        <f t="shared" ref="G65:AL65" si="25">G24+G64</f>
        <v>31.4</v>
      </c>
      <c r="H65" s="258">
        <f t="shared" si="25"/>
        <v>40</v>
      </c>
      <c r="I65" s="258">
        <f t="shared" si="25"/>
        <v>38.799999999999997</v>
      </c>
      <c r="J65" s="258">
        <f t="shared" si="25"/>
        <v>46.4</v>
      </c>
      <c r="K65" s="258">
        <f t="shared" si="25"/>
        <v>52.7</v>
      </c>
      <c r="L65" s="258">
        <f t="shared" si="25"/>
        <v>51.5</v>
      </c>
      <c r="M65" s="258">
        <f t="shared" si="25"/>
        <v>52.699999999999996</v>
      </c>
      <c r="N65" s="258">
        <f t="shared" si="25"/>
        <v>52.599999999999994</v>
      </c>
      <c r="O65" s="258">
        <f t="shared" si="25"/>
        <v>63.7</v>
      </c>
      <c r="P65" s="258">
        <f t="shared" si="25"/>
        <v>64.400000000000006</v>
      </c>
      <c r="Q65" s="258">
        <f t="shared" si="25"/>
        <v>65.8</v>
      </c>
      <c r="R65" s="258">
        <f t="shared" si="25"/>
        <v>62.599999999999994</v>
      </c>
      <c r="S65" s="258">
        <f t="shared" si="25"/>
        <v>74.8</v>
      </c>
      <c r="T65" s="258">
        <f t="shared" si="25"/>
        <v>74</v>
      </c>
      <c r="U65" s="258">
        <f t="shared" si="25"/>
        <v>75.599999999999994</v>
      </c>
      <c r="V65" s="258">
        <f t="shared" si="25"/>
        <v>84.2</v>
      </c>
      <c r="W65" s="258">
        <f t="shared" si="25"/>
        <v>91</v>
      </c>
      <c r="X65" s="258">
        <f t="shared" si="25"/>
        <v>99.3</v>
      </c>
      <c r="Y65" s="258">
        <f t="shared" si="25"/>
        <v>112.3</v>
      </c>
      <c r="Z65" s="258">
        <f t="shared" si="25"/>
        <v>121.5</v>
      </c>
      <c r="AA65" s="258">
        <f t="shared" si="25"/>
        <v>122.30000000000001</v>
      </c>
      <c r="AB65" s="258">
        <f t="shared" si="25"/>
        <v>132.30000000000001</v>
      </c>
      <c r="AC65" s="258">
        <f t="shared" si="25"/>
        <v>133.10000000000002</v>
      </c>
      <c r="AD65" s="258">
        <f t="shared" si="25"/>
        <v>125.5</v>
      </c>
      <c r="AE65" s="258">
        <f t="shared" si="25"/>
        <v>143.1</v>
      </c>
      <c r="AF65" s="258">
        <f t="shared" si="25"/>
        <v>161.69999999999999</v>
      </c>
      <c r="AG65" s="258">
        <f t="shared" si="25"/>
        <v>176.6</v>
      </c>
      <c r="AH65" s="258">
        <f t="shared" si="25"/>
        <v>176.60000000000002</v>
      </c>
      <c r="AI65" s="258">
        <f t="shared" si="25"/>
        <v>213.2</v>
      </c>
      <c r="AJ65" s="258">
        <f t="shared" si="25"/>
        <v>249.8</v>
      </c>
      <c r="AK65" s="258">
        <f t="shared" si="25"/>
        <v>290.79999999999995</v>
      </c>
      <c r="AL65" s="258">
        <f t="shared" si="25"/>
        <v>330</v>
      </c>
      <c r="AM65" s="258">
        <f t="shared" ref="AM65:BR65" si="26">AM24+AM64</f>
        <v>346</v>
      </c>
      <c r="AN65" s="258">
        <f t="shared" si="26"/>
        <v>346</v>
      </c>
      <c r="AO65" s="258">
        <f t="shared" si="26"/>
        <v>401.9</v>
      </c>
      <c r="AP65" s="258">
        <f t="shared" si="26"/>
        <v>404.7</v>
      </c>
      <c r="AQ65" s="258">
        <f t="shared" si="26"/>
        <v>465.5</v>
      </c>
      <c r="AR65" s="258">
        <f t="shared" si="26"/>
        <v>535.20000000000005</v>
      </c>
      <c r="AS65" s="258">
        <f t="shared" si="26"/>
        <v>566.4</v>
      </c>
      <c r="AT65" s="258">
        <f t="shared" si="26"/>
        <v>564.79999999999995</v>
      </c>
      <c r="AU65" s="258">
        <f t="shared" si="26"/>
        <v>626.5</v>
      </c>
      <c r="AV65" s="258">
        <f t="shared" si="26"/>
        <v>698.7</v>
      </c>
      <c r="AW65" s="258">
        <f t="shared" si="26"/>
        <v>709.5</v>
      </c>
      <c r="AX65" s="258">
        <f t="shared" si="26"/>
        <v>731.8</v>
      </c>
      <c r="AY65" s="258">
        <f t="shared" si="26"/>
        <v>773.2</v>
      </c>
      <c r="AZ65" s="258">
        <f t="shared" si="26"/>
        <v>825.40000000000009</v>
      </c>
      <c r="BA65" s="258">
        <f t="shared" si="26"/>
        <v>887.2</v>
      </c>
      <c r="BB65" s="258">
        <f t="shared" si="26"/>
        <v>995.5</v>
      </c>
      <c r="BC65" s="258">
        <f t="shared" si="26"/>
        <v>1100.4000000000001</v>
      </c>
      <c r="BD65" s="258">
        <f t="shared" si="26"/>
        <v>1205.8</v>
      </c>
      <c r="BE65" s="258">
        <f t="shared" si="26"/>
        <v>1318.5</v>
      </c>
      <c r="BF65" s="258">
        <f t="shared" si="26"/>
        <v>1288.3000000000002</v>
      </c>
      <c r="BG65" s="258">
        <f t="shared" si="26"/>
        <v>1359.6999999999998</v>
      </c>
      <c r="BH65" s="258">
        <f t="shared" si="26"/>
        <v>1355.7</v>
      </c>
      <c r="BI65" s="258">
        <f t="shared" si="26"/>
        <v>1339.6</v>
      </c>
      <c r="BJ65" s="258">
        <f t="shared" si="26"/>
        <v>1463.6</v>
      </c>
      <c r="BK65" s="258">
        <f t="shared" si="26"/>
        <v>1580.3</v>
      </c>
      <c r="BL65" s="258">
        <f t="shared" si="26"/>
        <v>1845</v>
      </c>
      <c r="BM65" s="258">
        <f t="shared" si="26"/>
        <v>2072.3999999999996</v>
      </c>
      <c r="BN65" s="258">
        <f t="shared" si="26"/>
        <v>2269.9</v>
      </c>
      <c r="BO65" s="258">
        <f t="shared" si="26"/>
        <v>2136.1999999999998</v>
      </c>
      <c r="BP65" s="258">
        <f t="shared" si="26"/>
        <v>1870.3</v>
      </c>
      <c r="BQ65" s="258">
        <f t="shared" si="26"/>
        <v>2019.9</v>
      </c>
      <c r="BR65" s="258">
        <f t="shared" si="26"/>
        <v>2327.4</v>
      </c>
      <c r="BS65" s="258">
        <f t="shared" ref="BS65" si="27">BS24+BS64</f>
        <v>2450</v>
      </c>
    </row>
    <row r="66" spans="1:73" x14ac:dyDescent="0.35">
      <c r="C66" s="257"/>
      <c r="D66" s="257" t="s">
        <v>624</v>
      </c>
      <c r="E66" s="54"/>
      <c r="F66" s="54"/>
      <c r="G66" s="258"/>
      <c r="H66" s="258">
        <f>H65-G65</f>
        <v>8.6000000000000014</v>
      </c>
      <c r="I66" s="258">
        <f t="shared" ref="I66:BS66" si="28">I65-H65</f>
        <v>-1.2000000000000028</v>
      </c>
      <c r="J66" s="258">
        <f t="shared" si="28"/>
        <v>7.6000000000000014</v>
      </c>
      <c r="K66" s="258">
        <f t="shared" si="28"/>
        <v>6.3000000000000043</v>
      </c>
      <c r="L66" s="258">
        <f t="shared" si="28"/>
        <v>-1.2000000000000028</v>
      </c>
      <c r="M66" s="258">
        <f t="shared" si="28"/>
        <v>1.1999999999999957</v>
      </c>
      <c r="N66" s="258">
        <f t="shared" si="28"/>
        <v>-0.10000000000000142</v>
      </c>
      <c r="O66" s="258">
        <f t="shared" si="28"/>
        <v>11.100000000000009</v>
      </c>
      <c r="P66" s="258">
        <f t="shared" si="28"/>
        <v>0.70000000000000284</v>
      </c>
      <c r="Q66" s="258">
        <f t="shared" si="28"/>
        <v>1.3999999999999915</v>
      </c>
      <c r="R66" s="258">
        <f t="shared" si="28"/>
        <v>-3.2000000000000028</v>
      </c>
      <c r="S66" s="258">
        <f t="shared" si="28"/>
        <v>12.200000000000003</v>
      </c>
      <c r="T66" s="258">
        <f t="shared" si="28"/>
        <v>-0.79999999999999716</v>
      </c>
      <c r="U66" s="258">
        <f t="shared" si="28"/>
        <v>1.5999999999999943</v>
      </c>
      <c r="V66" s="258">
        <f t="shared" si="28"/>
        <v>8.6000000000000085</v>
      </c>
      <c r="W66" s="258">
        <f t="shared" si="28"/>
        <v>6.7999999999999972</v>
      </c>
      <c r="X66" s="258">
        <f t="shared" si="28"/>
        <v>8.2999999999999972</v>
      </c>
      <c r="Y66" s="258">
        <f t="shared" si="28"/>
        <v>13</v>
      </c>
      <c r="Z66" s="258">
        <f t="shared" si="28"/>
        <v>9.2000000000000028</v>
      </c>
      <c r="AA66" s="258">
        <f t="shared" si="28"/>
        <v>0.80000000000001137</v>
      </c>
      <c r="AB66" s="258">
        <f t="shared" si="28"/>
        <v>10</v>
      </c>
      <c r="AC66" s="258">
        <f t="shared" si="28"/>
        <v>0.80000000000001137</v>
      </c>
      <c r="AD66" s="258">
        <f t="shared" si="28"/>
        <v>-7.6000000000000227</v>
      </c>
      <c r="AE66" s="258">
        <f t="shared" si="28"/>
        <v>17.599999999999994</v>
      </c>
      <c r="AF66" s="258">
        <f t="shared" si="28"/>
        <v>18.599999999999994</v>
      </c>
      <c r="AG66" s="258">
        <f t="shared" si="28"/>
        <v>14.900000000000006</v>
      </c>
      <c r="AH66" s="258">
        <f t="shared" si="28"/>
        <v>0</v>
      </c>
      <c r="AI66" s="258">
        <f t="shared" si="28"/>
        <v>36.599999999999966</v>
      </c>
      <c r="AJ66" s="258">
        <f t="shared" si="28"/>
        <v>36.600000000000023</v>
      </c>
      <c r="AK66" s="258">
        <f t="shared" si="28"/>
        <v>40.999999999999943</v>
      </c>
      <c r="AL66" s="258">
        <f t="shared" si="28"/>
        <v>39.200000000000045</v>
      </c>
      <c r="AM66" s="258">
        <f t="shared" si="28"/>
        <v>16</v>
      </c>
      <c r="AN66" s="258">
        <f t="shared" si="28"/>
        <v>0</v>
      </c>
      <c r="AO66" s="258">
        <f t="shared" si="28"/>
        <v>55.899999999999977</v>
      </c>
      <c r="AP66" s="258">
        <f t="shared" si="28"/>
        <v>2.8000000000000114</v>
      </c>
      <c r="AQ66" s="258">
        <f t="shared" si="28"/>
        <v>60.800000000000011</v>
      </c>
      <c r="AR66" s="258">
        <f t="shared" si="28"/>
        <v>69.700000000000045</v>
      </c>
      <c r="AS66" s="258">
        <f t="shared" si="28"/>
        <v>31.199999999999932</v>
      </c>
      <c r="AT66" s="258">
        <f t="shared" si="28"/>
        <v>-1.6000000000000227</v>
      </c>
      <c r="AU66" s="258">
        <f t="shared" si="28"/>
        <v>61.700000000000045</v>
      </c>
      <c r="AV66" s="258">
        <f t="shared" si="28"/>
        <v>72.200000000000045</v>
      </c>
      <c r="AW66" s="258">
        <f t="shared" si="28"/>
        <v>10.799999999999955</v>
      </c>
      <c r="AX66" s="258">
        <f t="shared" si="28"/>
        <v>22.299999999999955</v>
      </c>
      <c r="AY66" s="258">
        <f t="shared" si="28"/>
        <v>41.400000000000091</v>
      </c>
      <c r="AZ66" s="258">
        <f t="shared" si="28"/>
        <v>52.200000000000045</v>
      </c>
      <c r="BA66" s="258">
        <f t="shared" si="28"/>
        <v>61.799999999999955</v>
      </c>
      <c r="BB66" s="258">
        <f t="shared" si="28"/>
        <v>108.29999999999995</v>
      </c>
      <c r="BC66" s="258">
        <f t="shared" si="28"/>
        <v>104.90000000000009</v>
      </c>
      <c r="BD66" s="258">
        <f t="shared" si="28"/>
        <v>105.39999999999986</v>
      </c>
      <c r="BE66" s="258">
        <f t="shared" si="28"/>
        <v>112.70000000000005</v>
      </c>
      <c r="BF66" s="258">
        <f t="shared" si="28"/>
        <v>-30.199999999999818</v>
      </c>
      <c r="BG66" s="258">
        <f t="shared" si="28"/>
        <v>71.399999999999636</v>
      </c>
      <c r="BH66" s="258">
        <f t="shared" si="28"/>
        <v>-3.9999999999997726</v>
      </c>
      <c r="BI66" s="258">
        <f t="shared" si="28"/>
        <v>-16.100000000000136</v>
      </c>
      <c r="BJ66" s="258">
        <f t="shared" si="28"/>
        <v>124</v>
      </c>
      <c r="BK66" s="258">
        <f t="shared" si="28"/>
        <v>116.70000000000005</v>
      </c>
      <c r="BL66" s="258">
        <f t="shared" si="28"/>
        <v>264.70000000000005</v>
      </c>
      <c r="BM66" s="258">
        <f t="shared" si="28"/>
        <v>227.39999999999964</v>
      </c>
      <c r="BN66" s="258">
        <f t="shared" si="28"/>
        <v>197.50000000000045</v>
      </c>
      <c r="BO66" s="258">
        <f t="shared" si="28"/>
        <v>-133.70000000000027</v>
      </c>
      <c r="BP66" s="258">
        <f t="shared" si="28"/>
        <v>-265.89999999999986</v>
      </c>
      <c r="BQ66" s="258">
        <f t="shared" si="28"/>
        <v>149.60000000000014</v>
      </c>
      <c r="BR66" s="258">
        <f t="shared" si="28"/>
        <v>307.5</v>
      </c>
      <c r="BS66" s="258">
        <f t="shared" si="28"/>
        <v>122.59999999999991</v>
      </c>
    </row>
    <row r="67" spans="1:73" x14ac:dyDescent="0.35">
      <c r="B67" s="113" t="s">
        <v>610</v>
      </c>
      <c r="C67" s="257" t="s">
        <v>611</v>
      </c>
      <c r="D67" s="257" t="s">
        <v>150</v>
      </c>
      <c r="E67" s="54"/>
      <c r="F67" s="54"/>
      <c r="G67" s="258">
        <f t="shared" ref="G67:AL67" si="29">G23+G64</f>
        <v>33.799999999999997</v>
      </c>
      <c r="H67" s="258">
        <f t="shared" si="29"/>
        <v>42.5</v>
      </c>
      <c r="I67" s="258">
        <f t="shared" si="29"/>
        <v>41.4</v>
      </c>
      <c r="J67" s="258">
        <f t="shared" si="29"/>
        <v>49.2</v>
      </c>
      <c r="K67" s="258">
        <f t="shared" si="29"/>
        <v>56.1</v>
      </c>
      <c r="L67" s="258">
        <f t="shared" si="29"/>
        <v>55.1</v>
      </c>
      <c r="M67" s="258">
        <f t="shared" si="29"/>
        <v>56.499999999999993</v>
      </c>
      <c r="N67" s="258">
        <f t="shared" si="29"/>
        <v>56.5</v>
      </c>
      <c r="O67" s="258">
        <f t="shared" si="29"/>
        <v>68.400000000000006</v>
      </c>
      <c r="P67" s="258">
        <f t="shared" si="29"/>
        <v>69.5</v>
      </c>
      <c r="Q67" s="258">
        <f t="shared" si="29"/>
        <v>71.8</v>
      </c>
      <c r="R67" s="258">
        <f t="shared" si="29"/>
        <v>69.099999999999994</v>
      </c>
      <c r="S67" s="258">
        <f t="shared" si="29"/>
        <v>81.399999999999991</v>
      </c>
      <c r="T67" s="258">
        <f t="shared" si="29"/>
        <v>81.199999999999989</v>
      </c>
      <c r="U67" s="258">
        <f t="shared" si="29"/>
        <v>83.600000000000009</v>
      </c>
      <c r="V67" s="258">
        <f t="shared" si="29"/>
        <v>93.300000000000011</v>
      </c>
      <c r="W67" s="258">
        <f t="shared" si="29"/>
        <v>100.9</v>
      </c>
      <c r="X67" s="258">
        <f t="shared" si="29"/>
        <v>110.3</v>
      </c>
      <c r="Y67" s="258">
        <f t="shared" si="29"/>
        <v>124.9</v>
      </c>
      <c r="Z67" s="258">
        <f t="shared" si="29"/>
        <v>135.5</v>
      </c>
      <c r="AA67" s="258">
        <f t="shared" si="29"/>
        <v>138.4</v>
      </c>
      <c r="AB67" s="258">
        <f t="shared" si="29"/>
        <v>151</v>
      </c>
      <c r="AC67" s="258">
        <f t="shared" si="29"/>
        <v>156.19999999999999</v>
      </c>
      <c r="AD67" s="258">
        <f t="shared" si="29"/>
        <v>152.70000000000002</v>
      </c>
      <c r="AE67" s="258">
        <f t="shared" si="29"/>
        <v>170.9</v>
      </c>
      <c r="AF67" s="258">
        <f t="shared" si="29"/>
        <v>191.5</v>
      </c>
      <c r="AG67" s="258">
        <f t="shared" si="29"/>
        <v>212.2</v>
      </c>
      <c r="AH67" s="258">
        <f t="shared" si="29"/>
        <v>221.3</v>
      </c>
      <c r="AI67" s="258">
        <f t="shared" si="29"/>
        <v>260.60000000000002</v>
      </c>
      <c r="AJ67" s="258">
        <f t="shared" si="29"/>
        <v>295.40000000000003</v>
      </c>
      <c r="AK67" s="258">
        <f t="shared" si="29"/>
        <v>338.8</v>
      </c>
      <c r="AL67" s="258">
        <f t="shared" si="29"/>
        <v>387.5</v>
      </c>
      <c r="AM67" s="258">
        <f t="shared" ref="AM67:BS67" si="30">AM23+AM64</f>
        <v>418.40000000000003</v>
      </c>
      <c r="AN67" s="258">
        <f t="shared" si="30"/>
        <v>435.7</v>
      </c>
      <c r="AO67" s="258">
        <f t="shared" si="30"/>
        <v>511.59999999999991</v>
      </c>
      <c r="AP67" s="258">
        <f t="shared" si="30"/>
        <v>527.70000000000005</v>
      </c>
      <c r="AQ67" s="258">
        <f t="shared" si="30"/>
        <v>584.79999999999995</v>
      </c>
      <c r="AR67" s="258">
        <f t="shared" si="30"/>
        <v>676.89999999999986</v>
      </c>
      <c r="AS67" s="258">
        <f t="shared" si="30"/>
        <v>717.3</v>
      </c>
      <c r="AT67" s="258">
        <f t="shared" si="30"/>
        <v>722.5</v>
      </c>
      <c r="AU67" s="258">
        <f t="shared" si="30"/>
        <v>785.59999999999991</v>
      </c>
      <c r="AV67" s="258">
        <f t="shared" si="30"/>
        <v>877.6</v>
      </c>
      <c r="AW67" s="258">
        <f t="shared" si="30"/>
        <v>925.5</v>
      </c>
      <c r="AX67" s="258">
        <f t="shared" si="30"/>
        <v>953.19999999999993</v>
      </c>
      <c r="AY67" s="258">
        <f t="shared" si="30"/>
        <v>984.5</v>
      </c>
      <c r="AZ67" s="258">
        <f t="shared" si="30"/>
        <v>1010.9000000000001</v>
      </c>
      <c r="BA67" s="258">
        <f t="shared" si="30"/>
        <v>1061.5999999999999</v>
      </c>
      <c r="BB67" s="258">
        <f t="shared" si="30"/>
        <v>1175.1000000000001</v>
      </c>
      <c r="BC67" s="258">
        <f t="shared" si="30"/>
        <v>1302.4000000000001</v>
      </c>
      <c r="BD67" s="258">
        <f t="shared" si="30"/>
        <v>1413.3999999999999</v>
      </c>
      <c r="BE67" s="258">
        <f t="shared" si="30"/>
        <v>1532</v>
      </c>
      <c r="BF67" s="258">
        <f t="shared" si="30"/>
        <v>1545</v>
      </c>
      <c r="BG67" s="258">
        <f t="shared" si="30"/>
        <v>1637.5000000000005</v>
      </c>
      <c r="BH67" s="258">
        <f t="shared" si="30"/>
        <v>1689.3999999999999</v>
      </c>
      <c r="BI67" s="258">
        <f t="shared" si="30"/>
        <v>1691.4</v>
      </c>
      <c r="BJ67" s="258">
        <f t="shared" si="30"/>
        <v>1758.8000000000002</v>
      </c>
      <c r="BK67" s="258">
        <f t="shared" si="30"/>
        <v>1852.8</v>
      </c>
      <c r="BL67" s="258">
        <f t="shared" si="30"/>
        <v>2110.9</v>
      </c>
      <c r="BM67" s="258">
        <f t="shared" si="30"/>
        <v>2367.1000000000004</v>
      </c>
      <c r="BN67" s="258">
        <f t="shared" si="30"/>
        <v>2572.5</v>
      </c>
      <c r="BO67" s="258">
        <f t="shared" si="30"/>
        <v>2527.8000000000002</v>
      </c>
      <c r="BP67" s="258">
        <f t="shared" si="30"/>
        <v>2317</v>
      </c>
      <c r="BQ67" s="258">
        <f t="shared" si="30"/>
        <v>2447.1999999999998</v>
      </c>
      <c r="BR67" s="258">
        <f t="shared" si="30"/>
        <v>2765.1</v>
      </c>
      <c r="BS67" s="258">
        <f t="shared" si="30"/>
        <v>2924.3</v>
      </c>
    </row>
    <row r="68" spans="1:73" x14ac:dyDescent="0.35">
      <c r="C68" s="257"/>
      <c r="D68" s="257" t="s">
        <v>623</v>
      </c>
      <c r="E68" s="54"/>
      <c r="F68" s="54"/>
      <c r="G68" s="258"/>
      <c r="H68" s="258">
        <f>H67-G67</f>
        <v>8.7000000000000028</v>
      </c>
      <c r="I68" s="258">
        <f t="shared" ref="I68:BS68" si="31">I67-H67</f>
        <v>-1.1000000000000014</v>
      </c>
      <c r="J68" s="258">
        <f t="shared" si="31"/>
        <v>7.8000000000000043</v>
      </c>
      <c r="K68" s="258">
        <f t="shared" si="31"/>
        <v>6.8999999999999986</v>
      </c>
      <c r="L68" s="258">
        <f t="shared" si="31"/>
        <v>-1</v>
      </c>
      <c r="M68" s="258">
        <f t="shared" si="31"/>
        <v>1.3999999999999915</v>
      </c>
      <c r="N68" s="258">
        <f t="shared" si="31"/>
        <v>0</v>
      </c>
      <c r="O68" s="258">
        <f t="shared" si="31"/>
        <v>11.900000000000006</v>
      </c>
      <c r="P68" s="258">
        <f t="shared" si="31"/>
        <v>1.0999999999999943</v>
      </c>
      <c r="Q68" s="258">
        <f t="shared" si="31"/>
        <v>2.2999999999999972</v>
      </c>
      <c r="R68" s="258">
        <f t="shared" si="31"/>
        <v>-2.7000000000000028</v>
      </c>
      <c r="S68" s="258">
        <f t="shared" si="31"/>
        <v>12.299999999999997</v>
      </c>
      <c r="T68" s="258">
        <f t="shared" si="31"/>
        <v>-0.20000000000000284</v>
      </c>
      <c r="U68" s="258">
        <f t="shared" si="31"/>
        <v>2.4000000000000199</v>
      </c>
      <c r="V68" s="258">
        <f t="shared" si="31"/>
        <v>9.7000000000000028</v>
      </c>
      <c r="W68" s="258">
        <f t="shared" si="31"/>
        <v>7.5999999999999943</v>
      </c>
      <c r="X68" s="258">
        <f t="shared" si="31"/>
        <v>9.3999999999999915</v>
      </c>
      <c r="Y68" s="258">
        <f t="shared" si="31"/>
        <v>14.600000000000009</v>
      </c>
      <c r="Z68" s="258">
        <f t="shared" si="31"/>
        <v>10.599999999999994</v>
      </c>
      <c r="AA68" s="258">
        <f t="shared" si="31"/>
        <v>2.9000000000000057</v>
      </c>
      <c r="AB68" s="258">
        <f t="shared" si="31"/>
        <v>12.599999999999994</v>
      </c>
      <c r="AC68" s="258">
        <f t="shared" si="31"/>
        <v>5.1999999999999886</v>
      </c>
      <c r="AD68" s="258">
        <f t="shared" si="31"/>
        <v>-3.4999999999999716</v>
      </c>
      <c r="AE68" s="258">
        <f t="shared" si="31"/>
        <v>18.199999999999989</v>
      </c>
      <c r="AF68" s="258">
        <f t="shared" si="31"/>
        <v>20.599999999999994</v>
      </c>
      <c r="AG68" s="258">
        <f t="shared" si="31"/>
        <v>20.699999999999989</v>
      </c>
      <c r="AH68" s="258">
        <f t="shared" si="31"/>
        <v>9.1000000000000227</v>
      </c>
      <c r="AI68" s="258">
        <f t="shared" si="31"/>
        <v>39.300000000000011</v>
      </c>
      <c r="AJ68" s="258">
        <f t="shared" si="31"/>
        <v>34.800000000000011</v>
      </c>
      <c r="AK68" s="258">
        <f t="shared" si="31"/>
        <v>43.399999999999977</v>
      </c>
      <c r="AL68" s="258">
        <f t="shared" si="31"/>
        <v>48.699999999999989</v>
      </c>
      <c r="AM68" s="258">
        <f t="shared" si="31"/>
        <v>30.900000000000034</v>
      </c>
      <c r="AN68" s="258">
        <f t="shared" si="31"/>
        <v>17.299999999999955</v>
      </c>
      <c r="AO68" s="258">
        <f t="shared" si="31"/>
        <v>75.89999999999992</v>
      </c>
      <c r="AP68" s="258">
        <f t="shared" si="31"/>
        <v>16.100000000000136</v>
      </c>
      <c r="AQ68" s="258">
        <f t="shared" si="31"/>
        <v>57.099999999999909</v>
      </c>
      <c r="AR68" s="258">
        <f t="shared" si="31"/>
        <v>92.099999999999909</v>
      </c>
      <c r="AS68" s="258">
        <f t="shared" si="31"/>
        <v>40.400000000000091</v>
      </c>
      <c r="AT68" s="258">
        <f t="shared" si="31"/>
        <v>5.2000000000000455</v>
      </c>
      <c r="AU68" s="258">
        <f t="shared" si="31"/>
        <v>63.099999999999909</v>
      </c>
      <c r="AV68" s="258">
        <f t="shared" si="31"/>
        <v>92.000000000000114</v>
      </c>
      <c r="AW68" s="258">
        <f t="shared" si="31"/>
        <v>47.899999999999977</v>
      </c>
      <c r="AX68" s="258">
        <f t="shared" si="31"/>
        <v>27.699999999999932</v>
      </c>
      <c r="AY68" s="258">
        <f t="shared" si="31"/>
        <v>31.300000000000068</v>
      </c>
      <c r="AZ68" s="258">
        <f t="shared" si="31"/>
        <v>26.400000000000091</v>
      </c>
      <c r="BA68" s="258">
        <f t="shared" si="31"/>
        <v>50.699999999999818</v>
      </c>
      <c r="BB68" s="258">
        <f t="shared" si="31"/>
        <v>113.50000000000023</v>
      </c>
      <c r="BC68" s="258">
        <f t="shared" si="31"/>
        <v>127.29999999999995</v>
      </c>
      <c r="BD68" s="258">
        <f t="shared" si="31"/>
        <v>110.99999999999977</v>
      </c>
      <c r="BE68" s="258">
        <f t="shared" si="31"/>
        <v>118.60000000000014</v>
      </c>
      <c r="BF68" s="258">
        <f t="shared" si="31"/>
        <v>13</v>
      </c>
      <c r="BG68" s="258">
        <f t="shared" si="31"/>
        <v>92.500000000000455</v>
      </c>
      <c r="BH68" s="258">
        <f t="shared" si="31"/>
        <v>51.899999999999409</v>
      </c>
      <c r="BI68" s="258">
        <f t="shared" si="31"/>
        <v>2.0000000000002274</v>
      </c>
      <c r="BJ68" s="258">
        <f t="shared" si="31"/>
        <v>67.400000000000091</v>
      </c>
      <c r="BK68" s="258">
        <f t="shared" si="31"/>
        <v>93.999999999999773</v>
      </c>
      <c r="BL68" s="258">
        <f t="shared" si="31"/>
        <v>258.10000000000014</v>
      </c>
      <c r="BM68" s="258">
        <f t="shared" si="31"/>
        <v>256.20000000000027</v>
      </c>
      <c r="BN68" s="258">
        <f t="shared" si="31"/>
        <v>205.39999999999964</v>
      </c>
      <c r="BO68" s="258">
        <f t="shared" si="31"/>
        <v>-44.699999999999818</v>
      </c>
      <c r="BP68" s="258">
        <f t="shared" si="31"/>
        <v>-210.80000000000018</v>
      </c>
      <c r="BQ68" s="258">
        <f t="shared" si="31"/>
        <v>130.19999999999982</v>
      </c>
      <c r="BR68" s="258">
        <f t="shared" si="31"/>
        <v>317.90000000000009</v>
      </c>
      <c r="BS68" s="258">
        <f t="shared" si="31"/>
        <v>159.20000000000027</v>
      </c>
    </row>
    <row r="69" spans="1:73" x14ac:dyDescent="0.35">
      <c r="B69" s="21" t="s">
        <v>568</v>
      </c>
      <c r="C69" s="133"/>
      <c r="D69" s="260" t="s">
        <v>615</v>
      </c>
      <c r="E69" s="54"/>
      <c r="F69" s="54"/>
      <c r="G69" s="258">
        <f t="shared" ref="G69:AL69" si="32">G27-F27</f>
        <v>4.5132156339318286</v>
      </c>
      <c r="H69" s="258">
        <f t="shared" si="32"/>
        <v>3.6056766719389763</v>
      </c>
      <c r="I69" s="258">
        <f t="shared" si="32"/>
        <v>-0.27532726602231605</v>
      </c>
      <c r="J69" s="258">
        <f t="shared" si="32"/>
        <v>7.1755264902489948</v>
      </c>
      <c r="K69" s="258">
        <f t="shared" si="32"/>
        <v>6.5382141565214837</v>
      </c>
      <c r="L69" s="258">
        <f t="shared" si="32"/>
        <v>2.0111464603859659</v>
      </c>
      <c r="M69" s="258">
        <f t="shared" si="32"/>
        <v>1.8534496229811666</v>
      </c>
      <c r="N69" s="258">
        <f t="shared" si="32"/>
        <v>-6.362778366541022E-2</v>
      </c>
      <c r="O69" s="258">
        <f t="shared" si="32"/>
        <v>6.7463704026009594</v>
      </c>
      <c r="P69" s="258">
        <f t="shared" si="32"/>
        <v>6.0443249172841931</v>
      </c>
      <c r="Q69" s="258">
        <f t="shared" si="32"/>
        <v>2.7276667742166438</v>
      </c>
      <c r="R69" s="258">
        <f t="shared" si="32"/>
        <v>2.8293539509260626</v>
      </c>
      <c r="S69" s="258">
        <f t="shared" si="32"/>
        <v>7.5019956385486353</v>
      </c>
      <c r="T69" s="258">
        <f t="shared" si="32"/>
        <v>3.2444116525900597</v>
      </c>
      <c r="U69" s="258">
        <f t="shared" si="32"/>
        <v>4.8198217474174072</v>
      </c>
      <c r="V69" s="258">
        <f t="shared" si="32"/>
        <v>5.6474891119944459</v>
      </c>
      <c r="W69" s="258">
        <f t="shared" si="32"/>
        <v>6.6879156999185767</v>
      </c>
      <c r="X69" s="258">
        <f t="shared" si="32"/>
        <v>6.4529809301918561</v>
      </c>
      <c r="Y69" s="258">
        <f t="shared" si="32"/>
        <v>11.936090467721513</v>
      </c>
      <c r="Z69" s="258">
        <f t="shared" si="32"/>
        <v>13.667235564747614</v>
      </c>
      <c r="AA69" s="258">
        <f t="shared" si="32"/>
        <v>12.902669507422232</v>
      </c>
      <c r="AB69" s="258">
        <f t="shared" si="32"/>
        <v>13.62723151717239</v>
      </c>
      <c r="AC69" s="258">
        <f t="shared" si="32"/>
        <v>20.280922127525884</v>
      </c>
      <c r="AD69" s="258">
        <f t="shared" si="32"/>
        <v>9.3986130335972859</v>
      </c>
      <c r="AE69" s="258">
        <f t="shared" si="32"/>
        <v>11.807721653558389</v>
      </c>
      <c r="AF69" s="258">
        <f t="shared" si="32"/>
        <v>25.335446926999481</v>
      </c>
      <c r="AG69" s="258">
        <f t="shared" si="32"/>
        <v>37.789099301536538</v>
      </c>
      <c r="AH69" s="258">
        <f t="shared" si="32"/>
        <v>50.374652027795804</v>
      </c>
      <c r="AI69" s="258">
        <f t="shared" si="32"/>
        <v>13.614839019532496</v>
      </c>
      <c r="AJ69" s="258">
        <f t="shared" si="32"/>
        <v>37.111257525102872</v>
      </c>
      <c r="AK69" s="258">
        <f t="shared" si="32"/>
        <v>46.336218879588898</v>
      </c>
      <c r="AL69" s="258">
        <f t="shared" si="32"/>
        <v>45.699705492747796</v>
      </c>
      <c r="AM69" s="258">
        <f t="shared" ref="AM69:BS69" si="33">AM27-AL27</f>
        <v>63.40286061958534</v>
      </c>
      <c r="AN69" s="258">
        <f t="shared" si="33"/>
        <v>43.640801374187049</v>
      </c>
      <c r="AO69" s="258">
        <f t="shared" si="33"/>
        <v>62.569298755672889</v>
      </c>
      <c r="AP69" s="258">
        <f t="shared" si="33"/>
        <v>14.231286878984747</v>
      </c>
      <c r="AQ69" s="258">
        <f t="shared" si="33"/>
        <v>40.82172070444733</v>
      </c>
      <c r="AR69" s="258">
        <f t="shared" si="33"/>
        <v>72.198623058076464</v>
      </c>
      <c r="AS69" s="258">
        <f t="shared" si="33"/>
        <v>71.123163067870792</v>
      </c>
      <c r="AT69" s="258">
        <f t="shared" si="33"/>
        <v>47.124190831019405</v>
      </c>
      <c r="AU69" s="258">
        <f t="shared" si="33"/>
        <v>137.35006918821057</v>
      </c>
      <c r="AV69" s="258">
        <f t="shared" si="33"/>
        <v>31.953688678838262</v>
      </c>
      <c r="AW69" s="258">
        <f t="shared" si="33"/>
        <v>52.388832298987609</v>
      </c>
      <c r="AX69" s="258">
        <f t="shared" si="33"/>
        <v>32.439928099808867</v>
      </c>
      <c r="AY69" s="258">
        <f t="shared" si="33"/>
        <v>18.754544230469264</v>
      </c>
      <c r="AZ69" s="258">
        <f t="shared" si="33"/>
        <v>60.586127430794477</v>
      </c>
      <c r="BA69" s="258">
        <f t="shared" si="33"/>
        <v>50.974067150544897</v>
      </c>
      <c r="BB69" s="258">
        <f t="shared" si="33"/>
        <v>249.12897093492415</v>
      </c>
      <c r="BC69" s="258">
        <f t="shared" si="33"/>
        <v>-98.538460702000975</v>
      </c>
      <c r="BD69" s="258">
        <f t="shared" si="33"/>
        <v>63.371817810259472</v>
      </c>
      <c r="BE69" s="258">
        <f t="shared" si="33"/>
        <v>66.825529688787128</v>
      </c>
      <c r="BF69" s="258">
        <f t="shared" si="33"/>
        <v>55.072962882570437</v>
      </c>
      <c r="BG69" s="258">
        <f t="shared" si="33"/>
        <v>105.66114329102925</v>
      </c>
      <c r="BH69" s="258">
        <f t="shared" si="33"/>
        <v>126.34200710120695</v>
      </c>
      <c r="BI69" s="258">
        <f t="shared" si="33"/>
        <v>-29.428339145129257</v>
      </c>
      <c r="BJ69" s="258">
        <f t="shared" si="33"/>
        <v>87.45723503277145</v>
      </c>
      <c r="BK69" s="258">
        <f t="shared" si="33"/>
        <v>104.54267754991406</v>
      </c>
      <c r="BL69" s="258">
        <f t="shared" si="33"/>
        <v>208.41292940843186</v>
      </c>
      <c r="BM69" s="258">
        <f t="shared" si="33"/>
        <v>207.05644045009376</v>
      </c>
      <c r="BN69" s="258">
        <f t="shared" si="33"/>
        <v>184.00551203232908</v>
      </c>
      <c r="BO69" s="258">
        <f t="shared" si="33"/>
        <v>98.123388545836406</v>
      </c>
      <c r="BP69" s="258">
        <f t="shared" si="33"/>
        <v>-0.32146204500486419</v>
      </c>
      <c r="BQ69" s="258">
        <f t="shared" si="33"/>
        <v>-113.82890833622014</v>
      </c>
      <c r="BR69" s="258">
        <f t="shared" si="33"/>
        <v>164.93310181834067</v>
      </c>
      <c r="BS69" s="258">
        <f t="shared" si="33"/>
        <v>210.53341849274921</v>
      </c>
    </row>
    <row r="70" spans="1:73" ht="24" x14ac:dyDescent="0.35">
      <c r="B70" s="21" t="s">
        <v>569</v>
      </c>
      <c r="C70" s="257"/>
      <c r="D70" s="256" t="s">
        <v>612</v>
      </c>
      <c r="E70" s="54"/>
      <c r="F70" s="54"/>
      <c r="G70" s="258">
        <f>G63+G69</f>
        <v>20.213215633931828</v>
      </c>
      <c r="H70" s="258">
        <f>H63+H69</f>
        <v>21.405676671938977</v>
      </c>
      <c r="I70" s="258">
        <f t="shared" ref="I70:BS70" si="34">I63+I69</f>
        <v>15.924672733977683</v>
      </c>
      <c r="J70" s="258">
        <f t="shared" si="34"/>
        <v>24.975526490248996</v>
      </c>
      <c r="K70" s="258">
        <f t="shared" si="34"/>
        <v>28.238214156521483</v>
      </c>
      <c r="L70" s="258">
        <f t="shared" si="34"/>
        <v>24.711146460385965</v>
      </c>
      <c r="M70" s="258">
        <f t="shared" si="34"/>
        <v>26.653449622981167</v>
      </c>
      <c r="N70" s="258">
        <f t="shared" si="34"/>
        <v>24.036372216334591</v>
      </c>
      <c r="O70" s="258">
        <f t="shared" si="34"/>
        <v>33.346370402600961</v>
      </c>
      <c r="P70" s="258">
        <f t="shared" si="34"/>
        <v>38.244324917284196</v>
      </c>
      <c r="Q70" s="258">
        <f t="shared" si="34"/>
        <v>37.627666774216642</v>
      </c>
      <c r="R70" s="258">
        <f t="shared" si="34"/>
        <v>33.029353950926065</v>
      </c>
      <c r="S70" s="258">
        <f t="shared" si="34"/>
        <v>40.201995638548638</v>
      </c>
      <c r="T70" s="258">
        <f t="shared" si="34"/>
        <v>38.844411652590061</v>
      </c>
      <c r="U70" s="258">
        <f t="shared" si="34"/>
        <v>40.01982174741741</v>
      </c>
      <c r="V70" s="258">
        <f t="shared" si="34"/>
        <v>43.947489111994443</v>
      </c>
      <c r="W70" s="258">
        <f t="shared" si="34"/>
        <v>47.087915699918575</v>
      </c>
      <c r="X70" s="258">
        <f t="shared" si="34"/>
        <v>52.552980930191858</v>
      </c>
      <c r="Y70" s="258">
        <f t="shared" si="34"/>
        <v>67.036090467721522</v>
      </c>
      <c r="Z70" s="258">
        <f t="shared" si="34"/>
        <v>77.467235564747611</v>
      </c>
      <c r="AA70" s="258">
        <f t="shared" si="34"/>
        <v>77.802669507422237</v>
      </c>
      <c r="AB70" s="258">
        <f t="shared" si="34"/>
        <v>84.62723151717239</v>
      </c>
      <c r="AC70" s="258">
        <f t="shared" si="34"/>
        <v>99.480922127525886</v>
      </c>
      <c r="AD70" s="258">
        <f t="shared" si="34"/>
        <v>90.798613033597292</v>
      </c>
      <c r="AE70" s="258">
        <f t="shared" si="34"/>
        <v>96.407721653558383</v>
      </c>
      <c r="AF70" s="258">
        <f t="shared" si="34"/>
        <v>121.53544692699948</v>
      </c>
      <c r="AG70" s="258">
        <f t="shared" si="34"/>
        <v>152.58909930153652</v>
      </c>
      <c r="AH70" s="258">
        <f t="shared" si="34"/>
        <v>181.57465202779579</v>
      </c>
      <c r="AI70" s="258">
        <f t="shared" si="34"/>
        <v>147.6148390195325</v>
      </c>
      <c r="AJ70" s="258">
        <f t="shared" si="34"/>
        <v>185.71125752510287</v>
      </c>
      <c r="AK70" s="258">
        <f t="shared" si="34"/>
        <v>223.7362188795889</v>
      </c>
      <c r="AL70" s="258">
        <f t="shared" si="34"/>
        <v>263.89970549274778</v>
      </c>
      <c r="AM70" s="258">
        <f t="shared" si="34"/>
        <v>322.90286061958534</v>
      </c>
      <c r="AN70" s="258">
        <f t="shared" si="34"/>
        <v>328.24080137418707</v>
      </c>
      <c r="AO70" s="258">
        <f t="shared" si="34"/>
        <v>386.96929875567287</v>
      </c>
      <c r="AP70" s="258">
        <f t="shared" si="34"/>
        <v>341.33128687898477</v>
      </c>
      <c r="AQ70" s="258">
        <f t="shared" si="34"/>
        <v>364.52172070444732</v>
      </c>
      <c r="AR70" s="258">
        <f t="shared" si="34"/>
        <v>455.79862305807649</v>
      </c>
      <c r="AS70" s="258">
        <f t="shared" si="34"/>
        <v>483.62316306787079</v>
      </c>
      <c r="AT70" s="258">
        <f t="shared" si="34"/>
        <v>449.42419083101942</v>
      </c>
      <c r="AU70" s="258">
        <f t="shared" si="34"/>
        <v>540.65006918821064</v>
      </c>
      <c r="AV70" s="258">
        <f t="shared" si="34"/>
        <v>465.15368867883825</v>
      </c>
      <c r="AW70" s="258">
        <f t="shared" si="34"/>
        <v>523.88883229898761</v>
      </c>
      <c r="AX70" s="258">
        <f t="shared" si="34"/>
        <v>534.53992809980889</v>
      </c>
      <c r="AY70" s="258">
        <f t="shared" si="34"/>
        <v>501.15454423046924</v>
      </c>
      <c r="AZ70" s="258">
        <f t="shared" si="34"/>
        <v>555.88612743079443</v>
      </c>
      <c r="BA70" s="258">
        <f t="shared" si="34"/>
        <v>596.37406715054487</v>
      </c>
      <c r="BB70" s="258">
        <f t="shared" si="34"/>
        <v>849.8289709349242</v>
      </c>
      <c r="BC70" s="258">
        <f t="shared" si="34"/>
        <v>576.26153929799898</v>
      </c>
      <c r="BD70" s="258">
        <f t="shared" si="34"/>
        <v>798.57181781025952</v>
      </c>
      <c r="BE70" s="258">
        <f t="shared" si="34"/>
        <v>866.82552968878713</v>
      </c>
      <c r="BF70" s="258">
        <f t="shared" si="34"/>
        <v>926.07296288257044</v>
      </c>
      <c r="BG70" s="258">
        <f t="shared" si="34"/>
        <v>1051.9611432910292</v>
      </c>
      <c r="BH70" s="258">
        <f t="shared" si="34"/>
        <v>1164.1420071012069</v>
      </c>
      <c r="BI70" s="258">
        <f t="shared" si="34"/>
        <v>962.27166085487079</v>
      </c>
      <c r="BJ70" s="258">
        <f t="shared" si="34"/>
        <v>972.55723503277147</v>
      </c>
      <c r="BK70" s="258">
        <f t="shared" si="34"/>
        <v>996.34267754991401</v>
      </c>
      <c r="BL70" s="258">
        <f t="shared" si="34"/>
        <v>1168.4129294084319</v>
      </c>
      <c r="BM70" s="258">
        <f t="shared" si="34"/>
        <v>1272.2564404500938</v>
      </c>
      <c r="BN70" s="258">
        <f t="shared" si="34"/>
        <v>1377.0055120323291</v>
      </c>
      <c r="BO70" s="258">
        <f t="shared" si="34"/>
        <v>1393.4233885458364</v>
      </c>
      <c r="BP70" s="258">
        <f t="shared" si="34"/>
        <v>1311.1785379549951</v>
      </c>
      <c r="BQ70" s="258">
        <f t="shared" si="34"/>
        <v>935.97109166377982</v>
      </c>
      <c r="BR70" s="258">
        <f t="shared" si="34"/>
        <v>1228.8331018183408</v>
      </c>
      <c r="BS70" s="258">
        <f t="shared" si="34"/>
        <v>1392.9334184927493</v>
      </c>
    </row>
    <row r="71" spans="1:73" s="181" customFormat="1" x14ac:dyDescent="0.35">
      <c r="A71" s="261">
        <f>AVERAGE(H71:BS71)</f>
        <v>0.13447268143931551</v>
      </c>
      <c r="B71" s="141" t="s">
        <v>616</v>
      </c>
      <c r="C71" s="256" t="s">
        <v>618</v>
      </c>
      <c r="D71" s="257" t="s">
        <v>621</v>
      </c>
      <c r="E71" s="80"/>
      <c r="F71" s="80"/>
      <c r="G71" s="288"/>
      <c r="H71" s="213">
        <f>H68/G70</f>
        <v>0.43041147720184386</v>
      </c>
      <c r="I71" s="213">
        <f t="shared" ref="I71:BS71" si="35">I68/H70</f>
        <v>-5.1388237655762031E-2</v>
      </c>
      <c r="J71" s="213">
        <f t="shared" si="35"/>
        <v>0.48980598410399556</v>
      </c>
      <c r="K71" s="213">
        <f t="shared" si="35"/>
        <v>0.27627045230433533</v>
      </c>
      <c r="L71" s="213">
        <f t="shared" si="35"/>
        <v>-3.5413004323046213E-2</v>
      </c>
      <c r="M71" s="213">
        <f t="shared" si="35"/>
        <v>5.6654595214524289E-2</v>
      </c>
      <c r="N71" s="213">
        <f t="shared" si="35"/>
        <v>0</v>
      </c>
      <c r="O71" s="213">
        <f t="shared" si="35"/>
        <v>0.49508303053790398</v>
      </c>
      <c r="P71" s="213">
        <f t="shared" si="35"/>
        <v>3.2987098347417032E-2</v>
      </c>
      <c r="Q71" s="213">
        <f t="shared" si="35"/>
        <v>6.0139641763176523E-2</v>
      </c>
      <c r="R71" s="213">
        <f t="shared" si="35"/>
        <v>-7.1755711460964308E-2</v>
      </c>
      <c r="S71" s="213">
        <f t="shared" si="35"/>
        <v>0.37239602137767924</v>
      </c>
      <c r="T71" s="213">
        <f t="shared" si="35"/>
        <v>-4.9748774115140719E-3</v>
      </c>
      <c r="U71" s="213">
        <f t="shared" si="35"/>
        <v>6.1784949183031145E-2</v>
      </c>
      <c r="V71" s="213">
        <f t="shared" si="35"/>
        <v>0.24237989017594688</v>
      </c>
      <c r="W71" s="213">
        <f t="shared" si="35"/>
        <v>0.17293365681557793</v>
      </c>
      <c r="X71" s="213">
        <f t="shared" si="35"/>
        <v>0.19962658912117118</v>
      </c>
      <c r="Y71" s="213">
        <f t="shared" si="35"/>
        <v>0.27781487827291373</v>
      </c>
      <c r="Z71" s="213">
        <f t="shared" si="35"/>
        <v>0.15812377968407912</v>
      </c>
      <c r="AA71" s="213">
        <f t="shared" si="35"/>
        <v>3.7435181194456942E-2</v>
      </c>
      <c r="AB71" s="213">
        <f t="shared" si="35"/>
        <v>0.16194817067039038</v>
      </c>
      <c r="AC71" s="213">
        <f t="shared" si="35"/>
        <v>6.1445942479458455E-2</v>
      </c>
      <c r="AD71" s="213">
        <f t="shared" si="35"/>
        <v>-3.518262522248513E-2</v>
      </c>
      <c r="AE71" s="213">
        <f t="shared" si="35"/>
        <v>0.20044359040226337</v>
      </c>
      <c r="AF71" s="213">
        <f t="shared" si="35"/>
        <v>0.21367583059400774</v>
      </c>
      <c r="AG71" s="213">
        <f t="shared" si="35"/>
        <v>0.17032068029036407</v>
      </c>
      <c r="AH71" s="213">
        <f t="shared" si="35"/>
        <v>5.9637287602158279E-2</v>
      </c>
      <c r="AI71" s="213">
        <f t="shared" si="35"/>
        <v>0.216439902602616</v>
      </c>
      <c r="AJ71" s="213">
        <f t="shared" si="35"/>
        <v>0.23574865664687852</v>
      </c>
      <c r="AK71" s="213">
        <f t="shared" si="35"/>
        <v>0.23369611825569345</v>
      </c>
      <c r="AL71" s="213">
        <f t="shared" si="35"/>
        <v>0.2176670377459517</v>
      </c>
      <c r="AM71" s="213">
        <f t="shared" si="35"/>
        <v>0.11708993741506542</v>
      </c>
      <c r="AN71" s="213">
        <f t="shared" si="35"/>
        <v>5.3576484168659115E-2</v>
      </c>
      <c r="AO71" s="213">
        <f t="shared" si="35"/>
        <v>0.23123267942998849</v>
      </c>
      <c r="AP71" s="213">
        <f t="shared" si="35"/>
        <v>4.1605367794734165E-2</v>
      </c>
      <c r="AQ71" s="213">
        <f t="shared" si="35"/>
        <v>0.16728615920943715</v>
      </c>
      <c r="AR71" s="213">
        <f t="shared" si="35"/>
        <v>0.25265984101582306</v>
      </c>
      <c r="AS71" s="213">
        <f t="shared" si="35"/>
        <v>8.8635634151208148E-2</v>
      </c>
      <c r="AT71" s="213">
        <f t="shared" si="35"/>
        <v>1.0752173173455479E-2</v>
      </c>
      <c r="AU71" s="213">
        <f t="shared" si="35"/>
        <v>0.14040187708481652</v>
      </c>
      <c r="AV71" s="213">
        <f t="shared" si="35"/>
        <v>0.17016551970138222</v>
      </c>
      <c r="AW71" s="213">
        <f t="shared" si="35"/>
        <v>0.10297671751469686</v>
      </c>
      <c r="AX71" s="213">
        <f t="shared" si="35"/>
        <v>5.287381271031049E-2</v>
      </c>
      <c r="AY71" s="213">
        <f t="shared" si="35"/>
        <v>5.8555027145055019E-2</v>
      </c>
      <c r="AZ71" s="213">
        <f t="shared" si="35"/>
        <v>5.2678361004463624E-2</v>
      </c>
      <c r="BA71" s="213">
        <f t="shared" si="35"/>
        <v>9.1205729911494796E-2</v>
      </c>
      <c r="BB71" s="213">
        <f t="shared" si="35"/>
        <v>0.19031679318703343</v>
      </c>
      <c r="BC71" s="213">
        <f t="shared" si="35"/>
        <v>0.14979484620294026</v>
      </c>
      <c r="BD71" s="213">
        <f t="shared" si="35"/>
        <v>0.19262087165355476</v>
      </c>
      <c r="BE71" s="213">
        <f t="shared" si="35"/>
        <v>0.14851513333542091</v>
      </c>
      <c r="BF71" s="213">
        <f t="shared" si="35"/>
        <v>1.4997250951604226E-2</v>
      </c>
      <c r="BG71" s="213">
        <f t="shared" si="35"/>
        <v>9.9884138407493717E-2</v>
      </c>
      <c r="BH71" s="213">
        <f t="shared" si="35"/>
        <v>4.9336423052311416E-2</v>
      </c>
      <c r="BI71" s="213">
        <f t="shared" si="35"/>
        <v>1.7180034633234858E-3</v>
      </c>
      <c r="BJ71" s="213">
        <f t="shared" si="35"/>
        <v>7.0042590613260639E-2</v>
      </c>
      <c r="BK71" s="213">
        <f t="shared" si="35"/>
        <v>9.6652409353401525E-2</v>
      </c>
      <c r="BL71" s="213">
        <f t="shared" si="35"/>
        <v>0.2590474199446004</v>
      </c>
      <c r="BM71" s="213">
        <f t="shared" si="35"/>
        <v>0.21927179471534475</v>
      </c>
      <c r="BN71" s="213">
        <f t="shared" si="35"/>
        <v>0.16144543935445441</v>
      </c>
      <c r="BO71" s="213">
        <f t="shared" si="35"/>
        <v>-3.246174369631017E-2</v>
      </c>
      <c r="BP71" s="213">
        <f t="shared" si="35"/>
        <v>-0.15128208822444777</v>
      </c>
      <c r="BQ71" s="213">
        <f t="shared" si="35"/>
        <v>9.9299978020589597E-2</v>
      </c>
      <c r="BR71" s="213">
        <f t="shared" si="35"/>
        <v>0.33964724213319653</v>
      </c>
      <c r="BS71" s="213">
        <f t="shared" si="35"/>
        <v>0.12955380170376865</v>
      </c>
    </row>
    <row r="72" spans="1:73" s="181" customFormat="1" x14ac:dyDescent="0.35">
      <c r="A72" s="261">
        <f>AVERAGE(H72:BS72)</f>
        <v>0.13618538826416948</v>
      </c>
      <c r="B72" s="141" t="s">
        <v>617</v>
      </c>
      <c r="C72" s="257" t="s">
        <v>619</v>
      </c>
      <c r="D72" s="257" t="s">
        <v>622</v>
      </c>
      <c r="E72" s="80"/>
      <c r="F72" s="80"/>
      <c r="G72" s="288"/>
      <c r="H72" s="213">
        <f>H66/F63</f>
        <v>0.71666666666666679</v>
      </c>
      <c r="I72" s="213">
        <f t="shared" ref="I72:BS72" si="36">I66/G63</f>
        <v>-7.6433121019108471E-2</v>
      </c>
      <c r="J72" s="213">
        <f t="shared" si="36"/>
        <v>0.4269662921348315</v>
      </c>
      <c r="K72" s="213">
        <f t="shared" si="36"/>
        <v>0.38888888888888917</v>
      </c>
      <c r="L72" s="213">
        <f t="shared" si="36"/>
        <v>-6.7415730337078802E-2</v>
      </c>
      <c r="M72" s="213">
        <f t="shared" si="36"/>
        <v>5.5299539170506715E-2</v>
      </c>
      <c r="N72" s="213">
        <f t="shared" si="36"/>
        <v>-4.4052863436123977E-3</v>
      </c>
      <c r="O72" s="213">
        <f t="shared" si="36"/>
        <v>0.44758064516129065</v>
      </c>
      <c r="P72" s="213">
        <f t="shared" si="36"/>
        <v>2.9045643153527086E-2</v>
      </c>
      <c r="Q72" s="213">
        <f t="shared" si="36"/>
        <v>5.2631578947368099E-2</v>
      </c>
      <c r="R72" s="213">
        <f t="shared" si="36"/>
        <v>-9.9378881987577716E-2</v>
      </c>
      <c r="S72" s="213">
        <f t="shared" si="36"/>
        <v>0.34957020057306598</v>
      </c>
      <c r="T72" s="213">
        <f t="shared" si="36"/>
        <v>-2.6490066225165469E-2</v>
      </c>
      <c r="U72" s="213">
        <f t="shared" si="36"/>
        <v>4.8929663608562511E-2</v>
      </c>
      <c r="V72" s="213">
        <f t="shared" si="36"/>
        <v>0.2415730337078654</v>
      </c>
      <c r="W72" s="213">
        <f t="shared" si="36"/>
        <v>0.19318181818181809</v>
      </c>
      <c r="X72" s="213">
        <f t="shared" si="36"/>
        <v>0.21671018276762397</v>
      </c>
      <c r="Y72" s="213">
        <f t="shared" si="36"/>
        <v>0.32178217821782179</v>
      </c>
      <c r="Z72" s="213">
        <f t="shared" si="36"/>
        <v>0.19956616052060744</v>
      </c>
      <c r="AA72" s="213">
        <f t="shared" si="36"/>
        <v>1.4519056261343219E-2</v>
      </c>
      <c r="AB72" s="213">
        <f t="shared" si="36"/>
        <v>0.15673981191222572</v>
      </c>
      <c r="AC72" s="213">
        <f t="shared" si="36"/>
        <v>1.2326656394453179E-2</v>
      </c>
      <c r="AD72" s="213">
        <f t="shared" si="36"/>
        <v>-0.10704225352112708</v>
      </c>
      <c r="AE72" s="213">
        <f t="shared" si="36"/>
        <v>0.22222222222222215</v>
      </c>
      <c r="AF72" s="213">
        <f t="shared" si="36"/>
        <v>0.22850122850122842</v>
      </c>
      <c r="AG72" s="213">
        <f t="shared" si="36"/>
        <v>0.17612293144208047</v>
      </c>
      <c r="AH72" s="213">
        <f t="shared" si="36"/>
        <v>0</v>
      </c>
      <c r="AI72" s="213">
        <f t="shared" si="36"/>
        <v>0.31881533101045267</v>
      </c>
      <c r="AJ72" s="213">
        <f t="shared" si="36"/>
        <v>0.27896341463414653</v>
      </c>
      <c r="AK72" s="213">
        <f t="shared" si="36"/>
        <v>0.30597014925373089</v>
      </c>
      <c r="AL72" s="213">
        <f t="shared" si="36"/>
        <v>0.26379542395693167</v>
      </c>
      <c r="AM72" s="213">
        <f t="shared" si="36"/>
        <v>9.0191657271702363E-2</v>
      </c>
      <c r="AN72" s="213">
        <f t="shared" si="36"/>
        <v>0</v>
      </c>
      <c r="AO72" s="213">
        <f t="shared" si="36"/>
        <v>0.21541425818882456</v>
      </c>
      <c r="AP72" s="213">
        <f t="shared" si="36"/>
        <v>9.8383696416022882E-3</v>
      </c>
      <c r="AQ72" s="213">
        <f t="shared" si="36"/>
        <v>0.18742293464858203</v>
      </c>
      <c r="AR72" s="213">
        <f t="shared" si="36"/>
        <v>0.21308468358300225</v>
      </c>
      <c r="AS72" s="213">
        <f t="shared" si="36"/>
        <v>9.6385542168674496E-2</v>
      </c>
      <c r="AT72" s="213">
        <f t="shared" si="36"/>
        <v>-4.1710114702816024E-3</v>
      </c>
      <c r="AU72" s="213">
        <f t="shared" si="36"/>
        <v>0.1495757575757577</v>
      </c>
      <c r="AV72" s="213">
        <f t="shared" si="36"/>
        <v>0.17946805866268964</v>
      </c>
      <c r="AW72" s="213">
        <f t="shared" si="36"/>
        <v>2.6779072650632171E-2</v>
      </c>
      <c r="AX72" s="213">
        <f t="shared" si="36"/>
        <v>5.147737765466287E-2</v>
      </c>
      <c r="AY72" s="213">
        <f t="shared" si="36"/>
        <v>8.7804878048780677E-2</v>
      </c>
      <c r="AZ72" s="213">
        <f t="shared" si="36"/>
        <v>0.10396335391356312</v>
      </c>
      <c r="BA72" s="213">
        <f t="shared" si="36"/>
        <v>0.12810945273631832</v>
      </c>
      <c r="BB72" s="213">
        <f t="shared" si="36"/>
        <v>0.21865536038764374</v>
      </c>
      <c r="BC72" s="213">
        <f t="shared" si="36"/>
        <v>0.1923359002566925</v>
      </c>
      <c r="BD72" s="213">
        <f t="shared" si="36"/>
        <v>0.17546196104544673</v>
      </c>
      <c r="BE72" s="213">
        <f t="shared" si="36"/>
        <v>0.16701244813278016</v>
      </c>
      <c r="BF72" s="213">
        <f t="shared" si="36"/>
        <v>-4.1077257889009545E-2</v>
      </c>
      <c r="BG72" s="213">
        <f t="shared" si="36"/>
        <v>8.9249999999999552E-2</v>
      </c>
      <c r="BH72" s="213">
        <f t="shared" si="36"/>
        <v>-4.5924225028700031E-3</v>
      </c>
      <c r="BI72" s="213">
        <f t="shared" si="36"/>
        <v>-1.7013632040579242E-2</v>
      </c>
      <c r="BJ72" s="213">
        <f t="shared" si="36"/>
        <v>0.11948352283677009</v>
      </c>
      <c r="BK72" s="213">
        <f t="shared" si="36"/>
        <v>0.11767671674901688</v>
      </c>
      <c r="BL72" s="213">
        <f t="shared" si="36"/>
        <v>0.29906225285278504</v>
      </c>
      <c r="BM72" s="213">
        <f t="shared" si="36"/>
        <v>0.25498990805113214</v>
      </c>
      <c r="BN72" s="213">
        <f t="shared" si="36"/>
        <v>0.20572916666666713</v>
      </c>
      <c r="BO72" s="213">
        <f t="shared" si="36"/>
        <v>-0.12551633496057105</v>
      </c>
      <c r="BP72" s="213">
        <f t="shared" si="36"/>
        <v>-0.2228834870075439</v>
      </c>
      <c r="BQ72" s="213">
        <f t="shared" si="36"/>
        <v>0.11549448004323334</v>
      </c>
      <c r="BR72" s="213">
        <f t="shared" si="36"/>
        <v>0.23446435379336639</v>
      </c>
      <c r="BS72" s="213">
        <f t="shared" si="36"/>
        <v>0.11678414936178312</v>
      </c>
    </row>
    <row r="73" spans="1:73" ht="22.25" customHeight="1" x14ac:dyDescent="0.35">
      <c r="B73" s="113" t="s">
        <v>588</v>
      </c>
      <c r="C73" s="257" t="s">
        <v>637</v>
      </c>
      <c r="D73" s="80" t="s">
        <v>249</v>
      </c>
      <c r="E73" s="54"/>
      <c r="F73" s="54"/>
      <c r="G73" s="258">
        <f>'Appndx 6.8.II.1'!Z30</f>
        <v>67.405856</v>
      </c>
      <c r="H73" s="258">
        <f>'Appndx 6.8.II.1'!AA30</f>
        <v>70.228636000000009</v>
      </c>
      <c r="I73" s="258">
        <f>'Appndx 6.8.II.1'!AB30</f>
        <v>62.079856000000007</v>
      </c>
      <c r="J73" s="258">
        <f>'Appndx 6.8.II.1'!AC30</f>
        <v>66.575000000000003</v>
      </c>
      <c r="K73" s="258">
        <f>'Appndx 6.8.II.1'!AD30</f>
        <v>73.786404000000005</v>
      </c>
      <c r="L73" s="258">
        <f>'Appndx 6.8.II.1'!AE30</f>
        <v>75.597244000000003</v>
      </c>
      <c r="M73" s="258">
        <f>'Appndx 6.8.II.1'!AF30</f>
        <v>81.125631999999996</v>
      </c>
      <c r="N73" s="258">
        <f>'Appndx 6.8.II.1'!AG30</f>
        <v>78.35611200000001</v>
      </c>
      <c r="O73" s="258">
        <f>'Appndx 6.8.II.1'!AH30</f>
        <v>85.503603999999996</v>
      </c>
      <c r="P73" s="258">
        <f>'Appndx 6.8.II.1'!AI30</f>
        <v>96.102344000000016</v>
      </c>
      <c r="Q73" s="258">
        <f>'Appndx 6.8.II.1'!AJ30</f>
        <v>98.594912000000008</v>
      </c>
      <c r="R73" s="258">
        <f>'Appndx 6.8.II.1'!AK30</f>
        <v>84.481012000000007</v>
      </c>
      <c r="S73" s="258">
        <f>'Appndx 6.8.II.1'!AL30</f>
        <v>89.359628000000001</v>
      </c>
      <c r="T73" s="258">
        <f>'Appndx 6.8.II.1'!AM30</f>
        <v>97.284716000000003</v>
      </c>
      <c r="U73" s="258">
        <f>'Appndx 6.8.II.1'!AN30</f>
        <v>96.549728000000002</v>
      </c>
      <c r="V73" s="258">
        <f>'Appndx 6.8.II.1'!AO30</f>
        <v>105.284368</v>
      </c>
      <c r="W73" s="258">
        <f>'Appndx 6.8.II.1'!AP30</f>
        <v>110.87666800000001</v>
      </c>
      <c r="X73" s="258">
        <f>'Appndx 6.8.II.1'!AQ30</f>
        <v>125.714904</v>
      </c>
      <c r="Y73" s="258">
        <f>'Appndx 6.8.II.1'!AR30</f>
        <v>148.80844000000002</v>
      </c>
      <c r="Z73" s="258">
        <f>'Appndx 6.8.II.1'!AS30</f>
        <v>170.00592000000003</v>
      </c>
      <c r="AA73" s="258">
        <f>'Appndx 6.8.II.1'!AT30</f>
        <v>169.10050000000001</v>
      </c>
      <c r="AB73" s="258">
        <f>'Appndx 6.8.II.1'!AU30</f>
        <v>179.08142400000003</v>
      </c>
      <c r="AC73" s="258">
        <f>'Appndx 6.8.II.1'!AV30</f>
        <v>192.18338400000005</v>
      </c>
      <c r="AD73" s="258">
        <f>'Appndx 6.8.II.1'!AW30</f>
        <v>188.66822400000001</v>
      </c>
      <c r="AE73" s="258">
        <f>'Appndx 6.8.II.1'!AX30</f>
        <v>187.64563199999998</v>
      </c>
      <c r="AF73" s="258">
        <f>'Appndx 6.8.II.1'!AY30</f>
        <v>206.957708</v>
      </c>
      <c r="AG73" s="258">
        <f>'Appndx 6.8.II.1'!AZ30</f>
        <v>237.27329999999998</v>
      </c>
      <c r="AH73" s="258">
        <f>'Appndx 6.8.II.1'!BA30</f>
        <v>246.51923600000001</v>
      </c>
      <c r="AI73" s="258">
        <f>'Appndx 6.8.II.1'!BB30</f>
        <v>221.52964400000002</v>
      </c>
      <c r="AJ73" s="258">
        <f>'Appndx 6.8.II.1'!BC30</f>
        <v>232.46924800000002</v>
      </c>
      <c r="AK73" s="258">
        <f>'Appndx 6.8.II.1'!BD30</f>
        <v>260.46270400000003</v>
      </c>
      <c r="AL73" s="258">
        <f>'Appndx 6.8.II.1'!BE30</f>
        <v>301.85637600000001</v>
      </c>
      <c r="AM73" s="258">
        <f>'Appndx 6.8.II.1'!BF30</f>
        <v>332.71522000000004</v>
      </c>
      <c r="AN73" s="258">
        <f>'Appndx 6.8.II.1'!BG30</f>
        <v>336.51798400000001</v>
      </c>
      <c r="AO73" s="258">
        <f>'Appndx 6.8.II.1'!BH30</f>
        <v>350.21645600000005</v>
      </c>
      <c r="AP73" s="258">
        <f>'Appndx 6.8.II.1'!BI30</f>
        <v>334.88822800000003</v>
      </c>
      <c r="AQ73" s="258">
        <f>'Appndx 6.8.II.1'!BJ30</f>
        <v>335.07996400000002</v>
      </c>
      <c r="AR73" s="258">
        <f>'Appndx 6.8.II.1'!BK30</f>
        <v>399.07718000000006</v>
      </c>
      <c r="AS73" s="258">
        <f>'Appndx 6.8.II.1'!BL30</f>
        <v>427.66714800000005</v>
      </c>
      <c r="AT73" s="258">
        <f>'Appndx 6.8.II.1'!BM30</f>
        <v>413.22303600000004</v>
      </c>
      <c r="AU73" s="258">
        <f>'Appndx 6.8.II.1'!BN30</f>
        <v>411.82762399999996</v>
      </c>
      <c r="AV73" s="258">
        <f>'Appndx 6.8.II.1'!BO30</f>
        <v>431.95990399999999</v>
      </c>
      <c r="AW73" s="258">
        <f>'Appndx 6.8.II.1'!BP30</f>
        <v>461.44464000000005</v>
      </c>
      <c r="AX73" s="258">
        <f>'Appndx 6.8.II.1'!BQ30</f>
        <v>483.49428000000006</v>
      </c>
      <c r="AY73" s="258">
        <f>'Appndx 6.8.II.1'!BR30</f>
        <v>458.78164000000004</v>
      </c>
      <c r="AZ73" s="258">
        <f>'Appndx 6.8.II.1'!BS30</f>
        <v>475.77158000000003</v>
      </c>
      <c r="BA73" s="258">
        <f>'Appndx 6.8.II.1'!BT30</f>
        <v>524.08905200000004</v>
      </c>
      <c r="BB73" s="258">
        <f>'Appndx 6.8.II.1'!BU30</f>
        <v>575.25060799999994</v>
      </c>
      <c r="BC73" s="258">
        <f>'Appndx 6.8.II.1'!BV30</f>
        <v>643.90274799999997</v>
      </c>
      <c r="BD73" s="258">
        <f>'Appndx 6.8.II.1'!BW30</f>
        <v>713.02357600000005</v>
      </c>
      <c r="BE73" s="258">
        <f>'Appndx 6.8.II.1'!BX30</f>
        <v>789.19602799999996</v>
      </c>
      <c r="BF73" s="258">
        <f>'Appndx 6.8.II.1'!BY30</f>
        <v>882.10277200000019</v>
      </c>
      <c r="BG73" s="258">
        <f>'Appndx 6.8.II.1'!BZ30</f>
        <v>973.48628000000008</v>
      </c>
      <c r="BH73" s="258">
        <f>'Appndx 6.8.II.1'!CA30</f>
        <v>1068.331688</v>
      </c>
      <c r="BI73" s="258">
        <f>'Appndx 6.8.II.1'!CB30</f>
        <v>1025.4147800000001</v>
      </c>
      <c r="BJ73" s="258">
        <f>'Appndx 6.8.II.1'!CC30</f>
        <v>919.10782000000006</v>
      </c>
      <c r="BK73" s="258">
        <f>'Appndx 6.8.II.1'!CD30</f>
        <v>927.95963200000006</v>
      </c>
      <c r="BL73" s="258">
        <f>'Appndx 6.8.II.1'!CE30</f>
        <v>987.53626800000018</v>
      </c>
      <c r="BM73" s="258">
        <f>'Appndx 6.8.II.1'!CF30</f>
        <v>1065.2</v>
      </c>
      <c r="BN73" s="258">
        <f>'Appndx 6.8.II.1'!CG30</f>
        <v>1151.6409800000001</v>
      </c>
      <c r="BO73" s="258">
        <f>'Appndx 6.8.II.1'!CH30</f>
        <v>1225.065216</v>
      </c>
      <c r="BP73" s="258">
        <f>'Appndx 6.8.II.1'!CI30</f>
        <v>1214.6049520000001</v>
      </c>
      <c r="BQ73" s="258">
        <f>'Appndx 6.8.II.1'!CJ30</f>
        <v>985.46978000000013</v>
      </c>
      <c r="BR73" s="258">
        <f>'Appndx 6.8.II.1'!CK30</f>
        <v>1003.7699160000001</v>
      </c>
      <c r="BS73" s="258">
        <f>'Appndx 6.8.II.1'!CL30</f>
        <v>1093.118892</v>
      </c>
    </row>
    <row r="74" spans="1:73" x14ac:dyDescent="0.35">
      <c r="B74" s="113" t="s">
        <v>592</v>
      </c>
      <c r="C74" s="257" t="s">
        <v>634</v>
      </c>
      <c r="D74" s="80" t="s">
        <v>341</v>
      </c>
      <c r="E74" s="54"/>
      <c r="F74" s="258">
        <f>'Appndx 6.8.II.1'!Y31</f>
        <v>19.910728258778938</v>
      </c>
      <c r="G74" s="258">
        <f>'Appndx 6.8.II.1'!Z31</f>
        <v>23.291744859675099</v>
      </c>
      <c r="H74" s="258">
        <f>'Appndx 6.8.II.1'!AA31</f>
        <v>25.345786297202181</v>
      </c>
      <c r="I74" s="258">
        <f>'Appndx 6.8.II.1'!AB31</f>
        <v>26.095421355358813</v>
      </c>
      <c r="J74" s="258">
        <f>'Appndx 6.8.II.1'!AC31</f>
        <v>26.736763049192643</v>
      </c>
      <c r="K74" s="258">
        <f>'Appndx 6.8.II.1'!AD31</f>
        <v>29.409212027733457</v>
      </c>
      <c r="L74" s="258">
        <f>'Appndx 6.8.II.1'!AE31</f>
        <v>30.027549681573046</v>
      </c>
      <c r="M74" s="258">
        <f>'Appndx 6.8.II.1'!AF31</f>
        <v>30.569869705298569</v>
      </c>
      <c r="N74" s="258">
        <f>'Appndx 6.8.II.1'!AG31</f>
        <v>30.757013569024455</v>
      </c>
      <c r="O74" s="258">
        <f>'Appndx 6.8.II.1'!AH31</f>
        <v>31.109799769375808</v>
      </c>
      <c r="P74" s="258">
        <f>'Appndx 6.8.II.1'!AI31</f>
        <v>33.505946535497614</v>
      </c>
      <c r="Q74" s="258">
        <f>'Appndx 6.8.II.1'!AJ31</f>
        <v>35.397364115503237</v>
      </c>
      <c r="R74" s="258">
        <f>'Appndx 6.8.II.1'!AK31</f>
        <v>35.747677833215349</v>
      </c>
      <c r="S74" s="258">
        <f>'Appndx 6.8.II.1'!AL31</f>
        <v>36.593706500210587</v>
      </c>
      <c r="T74" s="258">
        <f>'Appndx 6.8.II.1'!AM31</f>
        <v>36.593620728666153</v>
      </c>
      <c r="U74" s="258">
        <f>'Appndx 6.8.II.1'!AN31</f>
        <v>36.45789659811367</v>
      </c>
      <c r="V74" s="258">
        <f>'Appndx 6.8.II.1'!AO31</f>
        <v>36.377670044996613</v>
      </c>
      <c r="W74" s="258">
        <f>'Appndx 6.8.II.1'!AP31</f>
        <v>36.436881382474439</v>
      </c>
      <c r="X74" s="258">
        <f>'Appndx 6.8.II.1'!AQ31</f>
        <v>36.670274194378734</v>
      </c>
      <c r="Y74" s="258">
        <f>'Appndx 6.8.II.1'!AR31</f>
        <v>37.027469678467156</v>
      </c>
      <c r="Z74" s="258">
        <f>'Appndx 6.8.II.1'!AS31</f>
        <v>37.528104903640994</v>
      </c>
      <c r="AA74" s="258">
        <f>'Appndx 6.8.II.1'!AT31</f>
        <v>38.379543525891407</v>
      </c>
      <c r="AB74" s="258">
        <f>'Appndx 6.8.II.1'!AU31</f>
        <v>39.646769840293423</v>
      </c>
      <c r="AC74" s="258">
        <f>'Appndx 6.8.II.1'!AV31</f>
        <v>41.210638688722426</v>
      </c>
      <c r="AD74" s="258">
        <f>'Appndx 6.8.II.1'!AW31</f>
        <v>43.144520192229088</v>
      </c>
      <c r="AE74" s="258">
        <f>'Appndx 6.8.II.1'!AX31</f>
        <v>45.084982313896873</v>
      </c>
      <c r="AF74" s="258">
        <f>'Appndx 6.8.II.1'!AY31</f>
        <v>46.482926840299186</v>
      </c>
      <c r="AG74" s="258">
        <f>'Appndx 6.8.II.1'!AZ31</f>
        <v>48.383024975840101</v>
      </c>
      <c r="AH74" s="258">
        <f>'Appndx 6.8.II.1'!BA31</f>
        <v>53.220998948739229</v>
      </c>
      <c r="AI74" s="258">
        <f>'Appndx 6.8.II.1'!BB31</f>
        <v>60.488518638164734</v>
      </c>
      <c r="AJ74" s="258">
        <f>'Appndx 6.8.II.1'!BC31</f>
        <v>63.922433301801696</v>
      </c>
      <c r="AK74" s="258">
        <f>'Appndx 6.8.II.1'!BD31</f>
        <v>68.109559363247641</v>
      </c>
      <c r="AL74" s="258">
        <f>'Appndx 6.8.II.1'!BE31</f>
        <v>72.286033143126318</v>
      </c>
      <c r="AM74" s="258">
        <f>'Appndx 6.8.II.1'!BF31</f>
        <v>77.994628559523065</v>
      </c>
      <c r="AN74" s="258">
        <f>'Appndx 6.8.II.1'!BG31</f>
        <v>84.572003141442806</v>
      </c>
      <c r="AO74" s="258">
        <f>'Appndx 6.8.II.1'!BH31</f>
        <v>92.6284286310064</v>
      </c>
      <c r="AP74" s="258">
        <f>'Appndx 6.8.II.1'!BI31</f>
        <v>97.674379882950078</v>
      </c>
      <c r="AQ74" s="258">
        <f>'Appndx 6.8.II.1'!BJ31</f>
        <v>96.603806487218066</v>
      </c>
      <c r="AR74" s="258">
        <f>'Appndx 6.8.II.1'!BK31</f>
        <v>96.121757701104329</v>
      </c>
      <c r="AS74" s="258">
        <f>'Appndx 6.8.II.1'!BL31</f>
        <v>96.453515760813119</v>
      </c>
      <c r="AT74" s="258">
        <f>'Appndx 6.8.II.1'!BM31</f>
        <v>97.356624619543226</v>
      </c>
      <c r="AU74" s="258">
        <f>'Appndx 6.8.II.1'!BN31</f>
        <v>97.929322001964607</v>
      </c>
      <c r="AV74" s="258">
        <f>'Appndx 6.8.II.1'!BO31</f>
        <v>100.28708590508437</v>
      </c>
      <c r="AW74" s="258">
        <f>'Appndx 6.8.II.1'!BP31</f>
        <v>102.17910430165576</v>
      </c>
      <c r="AX74" s="258">
        <f>'Appndx 6.8.II.1'!BQ31</f>
        <v>103.8481778936454</v>
      </c>
      <c r="AY74" s="258">
        <f>'Appndx 6.8.II.1'!BR31</f>
        <v>105.1480612868466</v>
      </c>
      <c r="AZ74" s="258">
        <f>'Appndx 6.8.II.1'!BS31</f>
        <v>104.1045789241972</v>
      </c>
      <c r="BA74" s="258">
        <f>'Appndx 6.8.II.1'!BT31</f>
        <v>104.06628375820375</v>
      </c>
      <c r="BB74" s="258">
        <f>'Appndx 6.8.II.1'!BU31</f>
        <v>104.42405303811519</v>
      </c>
      <c r="BC74" s="258">
        <f>'Appndx 6.8.II.1'!BV31</f>
        <v>104.79843456111482</v>
      </c>
      <c r="BD74" s="258">
        <f>'Appndx 6.8.II.1'!BW31</f>
        <v>103.11019505475652</v>
      </c>
      <c r="BE74" s="258">
        <f>'Appndx 6.8.II.1'!BX31</f>
        <v>101.36898458895945</v>
      </c>
      <c r="BF74" s="258">
        <f>'Appndx 6.8.II.1'!BY31</f>
        <v>98.741328975213762</v>
      </c>
      <c r="BG74" s="258">
        <f>'Appndx 6.8.II.1'!BZ31</f>
        <v>97.207327873177618</v>
      </c>
      <c r="BH74" s="258">
        <f>'Appndx 6.8.II.1'!CA31</f>
        <v>97.14211528657755</v>
      </c>
      <c r="BI74" s="258">
        <f>'Appndx 6.8.II.1'!CB31</f>
        <v>96.71208367018076</v>
      </c>
      <c r="BJ74" s="258">
        <f>'Appndx 6.8.II.1'!CC31</f>
        <v>96.299909623225702</v>
      </c>
      <c r="BK74" s="258">
        <f>'Appndx 6.8.II.1'!CD31</f>
        <v>96.103318425385979</v>
      </c>
      <c r="BL74" s="258">
        <f>'Appndx 6.8.II.1'!CE31</f>
        <v>97.21161957365193</v>
      </c>
      <c r="BM74" s="258">
        <f>'Appndx 6.8.II.1'!CF31</f>
        <v>100</v>
      </c>
      <c r="BN74" s="258">
        <f>'Appndx 6.8.II.1'!CG31</f>
        <v>103.5913119382049</v>
      </c>
      <c r="BO74" s="258">
        <f>'Appndx 6.8.II.1'!CH31</f>
        <v>105.7331465364208</v>
      </c>
      <c r="BP74" s="258">
        <f>'Appndx 6.8.II.1'!CI31</f>
        <v>107.97749489168886</v>
      </c>
      <c r="BQ74" s="258">
        <f>'Appndx 6.8.II.1'!CJ31</f>
        <v>106.52787343717426</v>
      </c>
      <c r="BR74" s="258">
        <f>'Appndx 6.8.II.1'!CK31</f>
        <v>105.99042500094215</v>
      </c>
      <c r="BS74" s="258">
        <f>'Appndx 6.8.II.1'!CL31</f>
        <v>108.16755694676989</v>
      </c>
      <c r="BT74" s="307">
        <f>'Appndx 6.8.II.1'!CM31</f>
        <v>109.73557469073501</v>
      </c>
      <c r="BU74" s="307">
        <f>'Appndx 6.8.II.1'!CN31</f>
        <v>110.96791245557486</v>
      </c>
    </row>
    <row r="75" spans="1:73" x14ac:dyDescent="0.35">
      <c r="B75" s="113" t="s">
        <v>609</v>
      </c>
      <c r="C75" s="257" t="s">
        <v>600</v>
      </c>
      <c r="D75" s="80" t="s">
        <v>599</v>
      </c>
      <c r="E75" s="54"/>
      <c r="F75" s="258"/>
      <c r="G75" s="258">
        <f t="shared" ref="G75:AL75" si="37">(G23+G64)*100/G74</f>
        <v>145.11579189808916</v>
      </c>
      <c r="H75" s="258">
        <f t="shared" si="37"/>
        <v>167.68073202247191</v>
      </c>
      <c r="I75" s="258">
        <f t="shared" si="37"/>
        <v>158.6485208888889</v>
      </c>
      <c r="J75" s="258">
        <f t="shared" si="37"/>
        <v>184.01629213483145</v>
      </c>
      <c r="K75" s="258">
        <f t="shared" si="37"/>
        <v>190.75655596313365</v>
      </c>
      <c r="L75" s="258">
        <f t="shared" si="37"/>
        <v>183.49815614096917</v>
      </c>
      <c r="M75" s="258">
        <f t="shared" si="37"/>
        <v>184.82250838709675</v>
      </c>
      <c r="N75" s="258">
        <f t="shared" si="37"/>
        <v>183.69793892116184</v>
      </c>
      <c r="O75" s="258">
        <f t="shared" si="37"/>
        <v>219.86641028571427</v>
      </c>
      <c r="P75" s="258">
        <f t="shared" si="37"/>
        <v>207.42586670807455</v>
      </c>
      <c r="Q75" s="258">
        <f t="shared" si="37"/>
        <v>202.83996222349575</v>
      </c>
      <c r="R75" s="258">
        <f t="shared" si="37"/>
        <v>193.29926917880792</v>
      </c>
      <c r="S75" s="258">
        <f t="shared" si="37"/>
        <v>222.44262138226298</v>
      </c>
      <c r="T75" s="258">
        <f t="shared" si="37"/>
        <v>221.89659941573032</v>
      </c>
      <c r="U75" s="258">
        <f t="shared" si="37"/>
        <v>229.30560399999999</v>
      </c>
      <c r="V75" s="258">
        <f t="shared" si="37"/>
        <v>256.47601917493478</v>
      </c>
      <c r="W75" s="258">
        <f t="shared" si="37"/>
        <v>276.91722280198024</v>
      </c>
      <c r="X75" s="258">
        <f t="shared" si="37"/>
        <v>300.78858809544471</v>
      </c>
      <c r="Y75" s="258">
        <f t="shared" si="37"/>
        <v>337.31713531760442</v>
      </c>
      <c r="Z75" s="258">
        <f t="shared" si="37"/>
        <v>361.06272978056433</v>
      </c>
      <c r="AA75" s="258">
        <f t="shared" si="37"/>
        <v>360.60877041602464</v>
      </c>
      <c r="AB75" s="258">
        <f t="shared" si="37"/>
        <v>380.86331019718318</v>
      </c>
      <c r="AC75" s="258">
        <f t="shared" si="37"/>
        <v>379.02834066666668</v>
      </c>
      <c r="AD75" s="258">
        <f t="shared" si="37"/>
        <v>353.92675435872235</v>
      </c>
      <c r="AE75" s="258">
        <f t="shared" si="37"/>
        <v>379.06192090780138</v>
      </c>
      <c r="AF75" s="258">
        <f t="shared" si="37"/>
        <v>411.97922122661117</v>
      </c>
      <c r="AG75" s="258">
        <f t="shared" si="37"/>
        <v>438.58357369337978</v>
      </c>
      <c r="AH75" s="258">
        <f t="shared" si="37"/>
        <v>415.81331499085371</v>
      </c>
      <c r="AI75" s="258">
        <f t="shared" si="37"/>
        <v>430.82556139104491</v>
      </c>
      <c r="AJ75" s="258">
        <f t="shared" si="37"/>
        <v>462.12258317092881</v>
      </c>
      <c r="AK75" s="258">
        <f t="shared" si="37"/>
        <v>497.43384506877118</v>
      </c>
      <c r="AL75" s="258">
        <f t="shared" si="37"/>
        <v>536.06482905591201</v>
      </c>
      <c r="AM75" s="258">
        <f t="shared" ref="AM75:BR75" si="38">(AM23+AM64)*100/AM74</f>
        <v>536.44719864354533</v>
      </c>
      <c r="AN75" s="258">
        <f t="shared" si="38"/>
        <v>515.18231071257901</v>
      </c>
      <c r="AO75" s="258">
        <f t="shared" si="38"/>
        <v>552.31423825400748</v>
      </c>
      <c r="AP75" s="258">
        <f t="shared" si="38"/>
        <v>540.26449989483342</v>
      </c>
      <c r="AQ75" s="258">
        <f t="shared" si="38"/>
        <v>605.35916882051288</v>
      </c>
      <c r="AR75" s="258">
        <f t="shared" si="38"/>
        <v>704.21100923357653</v>
      </c>
      <c r="AS75" s="258">
        <f t="shared" si="38"/>
        <v>743.6742915403637</v>
      </c>
      <c r="AT75" s="258">
        <f t="shared" si="38"/>
        <v>742.11693639075327</v>
      </c>
      <c r="AU75" s="258">
        <f t="shared" si="38"/>
        <v>802.21121104487941</v>
      </c>
      <c r="AV75" s="258">
        <f t="shared" si="38"/>
        <v>875.08774642289939</v>
      </c>
      <c r="AW75" s="258">
        <f t="shared" si="38"/>
        <v>905.762490604454</v>
      </c>
      <c r="AX75" s="258">
        <f t="shared" si="38"/>
        <v>917.87840608643694</v>
      </c>
      <c r="AY75" s="258">
        <f t="shared" si="38"/>
        <v>936.29876571310126</v>
      </c>
      <c r="AZ75" s="258">
        <f t="shared" si="38"/>
        <v>971.0427826004443</v>
      </c>
      <c r="BA75" s="258">
        <f t="shared" si="38"/>
        <v>1020.119064178951</v>
      </c>
      <c r="BB75" s="258">
        <f t="shared" si="38"/>
        <v>1125.3154477456301</v>
      </c>
      <c r="BC75" s="258">
        <f t="shared" si="38"/>
        <v>1242.7666552981625</v>
      </c>
      <c r="BD75" s="258">
        <f t="shared" si="38"/>
        <v>1370.7664884635471</v>
      </c>
      <c r="BE75" s="258">
        <f t="shared" si="38"/>
        <v>1511.3103936199998</v>
      </c>
      <c r="BF75" s="258">
        <f t="shared" si="38"/>
        <v>1564.6943544661312</v>
      </c>
      <c r="BG75" s="258">
        <f t="shared" si="38"/>
        <v>1684.5437847405692</v>
      </c>
      <c r="BH75" s="258">
        <f t="shared" si="38"/>
        <v>1739.1015163877435</v>
      </c>
      <c r="BI75" s="258">
        <f t="shared" si="38"/>
        <v>1748.9024492205303</v>
      </c>
      <c r="BJ75" s="258">
        <f t="shared" si="38"/>
        <v>1826.3776226595869</v>
      </c>
      <c r="BK75" s="258">
        <f t="shared" si="38"/>
        <v>1927.9251022309936</v>
      </c>
      <c r="BL75" s="258">
        <f t="shared" si="38"/>
        <v>2171.4482376262504</v>
      </c>
      <c r="BM75" s="258">
        <f t="shared" si="38"/>
        <v>2367.1000000000004</v>
      </c>
      <c r="BN75" s="258">
        <f t="shared" si="38"/>
        <v>2483.3163629924561</v>
      </c>
      <c r="BO75" s="258">
        <f t="shared" si="38"/>
        <v>2390.7356234114109</v>
      </c>
      <c r="BP75" s="258">
        <f t="shared" si="38"/>
        <v>2145.817517181853</v>
      </c>
      <c r="BQ75" s="258">
        <f t="shared" si="38"/>
        <v>2297.2391366126885</v>
      </c>
      <c r="BR75" s="258">
        <f t="shared" si="38"/>
        <v>2608.8205608906851</v>
      </c>
      <c r="BS75" s="258">
        <f t="shared" ref="BS75" si="39">(BS23+BS64)*100/BS74</f>
        <v>2703.4908456322732</v>
      </c>
    </row>
    <row r="76" spans="1:73" s="2" customFormat="1" ht="26.5" x14ac:dyDescent="0.35">
      <c r="B76" s="277" t="s">
        <v>590</v>
      </c>
      <c r="C76" s="257" t="s">
        <v>591</v>
      </c>
      <c r="D76" s="257" t="s">
        <v>589</v>
      </c>
      <c r="E76" s="7"/>
      <c r="F76" s="7"/>
      <c r="G76" s="278">
        <f>G65*100/G74</f>
        <v>134.811712</v>
      </c>
      <c r="H76" s="278">
        <f t="shared" ref="H76:BS76" si="40">H65*100/H74</f>
        <v>157.81715955056183</v>
      </c>
      <c r="I76" s="278">
        <f t="shared" si="40"/>
        <v>148.68508720987654</v>
      </c>
      <c r="J76" s="278">
        <f t="shared" si="40"/>
        <v>173.54382022471907</v>
      </c>
      <c r="K76" s="278">
        <f t="shared" si="40"/>
        <v>179.19555257142858</v>
      </c>
      <c r="L76" s="278">
        <f t="shared" si="40"/>
        <v>171.50916590308373</v>
      </c>
      <c r="M76" s="278">
        <f t="shared" si="40"/>
        <v>172.39196799999999</v>
      </c>
      <c r="N76" s="278">
        <f t="shared" si="40"/>
        <v>171.01790419917009</v>
      </c>
      <c r="O76" s="278">
        <f t="shared" si="40"/>
        <v>204.75863063157891</v>
      </c>
      <c r="P76" s="278">
        <f t="shared" si="40"/>
        <v>192.20468800000003</v>
      </c>
      <c r="Q76" s="278">
        <f t="shared" si="40"/>
        <v>185.88954755300861</v>
      </c>
      <c r="R76" s="278">
        <f t="shared" si="40"/>
        <v>175.11626990728476</v>
      </c>
      <c r="S76" s="278">
        <f t="shared" si="40"/>
        <v>204.40673316207952</v>
      </c>
      <c r="T76" s="278">
        <f t="shared" si="40"/>
        <v>202.22103887640452</v>
      </c>
      <c r="U76" s="278">
        <f t="shared" si="40"/>
        <v>207.36248399999997</v>
      </c>
      <c r="V76" s="278">
        <f t="shared" si="40"/>
        <v>231.46067325326371</v>
      </c>
      <c r="W76" s="278">
        <f t="shared" si="40"/>
        <v>249.74695019801985</v>
      </c>
      <c r="X76" s="278">
        <f t="shared" si="40"/>
        <v>270.79153941865508</v>
      </c>
      <c r="Y76" s="278">
        <f t="shared" si="40"/>
        <v>303.28834504537213</v>
      </c>
      <c r="Z76" s="278">
        <f t="shared" si="40"/>
        <v>323.75735548589347</v>
      </c>
      <c r="AA76" s="278">
        <f t="shared" si="40"/>
        <v>318.65933975346695</v>
      </c>
      <c r="AB76" s="278">
        <f t="shared" si="40"/>
        <v>333.69679429859167</v>
      </c>
      <c r="AC76" s="278">
        <f t="shared" si="40"/>
        <v>322.97485366666677</v>
      </c>
      <c r="AD76" s="278">
        <f t="shared" si="40"/>
        <v>290.88282692874691</v>
      </c>
      <c r="AE76" s="278">
        <f t="shared" si="40"/>
        <v>317.40059029787227</v>
      </c>
      <c r="AF76" s="278">
        <f t="shared" si="40"/>
        <v>347.86966095218287</v>
      </c>
      <c r="AG76" s="278">
        <f t="shared" si="40"/>
        <v>365.00404860627174</v>
      </c>
      <c r="AH76" s="278">
        <f t="shared" si="40"/>
        <v>331.82391065243917</v>
      </c>
      <c r="AI76" s="278">
        <f t="shared" si="40"/>
        <v>352.46358284179109</v>
      </c>
      <c r="AJ76" s="278">
        <f t="shared" si="40"/>
        <v>390.78612483445499</v>
      </c>
      <c r="AK76" s="278">
        <f t="shared" si="40"/>
        <v>426.95915627508452</v>
      </c>
      <c r="AL76" s="278">
        <f t="shared" si="40"/>
        <v>456.5197253895509</v>
      </c>
      <c r="AM76" s="278">
        <f t="shared" si="40"/>
        <v>443.62029333333334</v>
      </c>
      <c r="AN76" s="278">
        <f t="shared" si="40"/>
        <v>409.11884210822205</v>
      </c>
      <c r="AO76" s="278">
        <f t="shared" si="40"/>
        <v>433.88407418742304</v>
      </c>
      <c r="AP76" s="278">
        <f t="shared" si="40"/>
        <v>414.33587854356466</v>
      </c>
      <c r="AQ76" s="278">
        <f t="shared" si="40"/>
        <v>481.86507025641032</v>
      </c>
      <c r="AR76" s="278">
        <f t="shared" si="40"/>
        <v>556.79381318039634</v>
      </c>
      <c r="AS76" s="278">
        <f t="shared" si="40"/>
        <v>587.22587303563637</v>
      </c>
      <c r="AT76" s="278">
        <f t="shared" si="40"/>
        <v>580.13514972110363</v>
      </c>
      <c r="AU76" s="278">
        <f t="shared" si="40"/>
        <v>639.74710249442091</v>
      </c>
      <c r="AV76" s="278">
        <f t="shared" si="40"/>
        <v>696.69987286426601</v>
      </c>
      <c r="AW76" s="278">
        <f t="shared" si="40"/>
        <v>694.3689757794275</v>
      </c>
      <c r="AX76" s="278">
        <f t="shared" si="40"/>
        <v>704.68256144991039</v>
      </c>
      <c r="AY76" s="278">
        <f t="shared" si="40"/>
        <v>735.34403824212279</v>
      </c>
      <c r="AZ76" s="278">
        <f t="shared" si="40"/>
        <v>792.85657607914402</v>
      </c>
      <c r="BA76" s="278">
        <f t="shared" si="40"/>
        <v>852.53356606967361</v>
      </c>
      <c r="BB76" s="278">
        <f t="shared" si="40"/>
        <v>953.3244219477275</v>
      </c>
      <c r="BC76" s="278">
        <f t="shared" si="40"/>
        <v>1050.0156844979253</v>
      </c>
      <c r="BD76" s="278">
        <f t="shared" si="40"/>
        <v>1169.4284928465722</v>
      </c>
      <c r="BE76" s="278">
        <f t="shared" si="40"/>
        <v>1300.6937036474999</v>
      </c>
      <c r="BF76" s="278">
        <f t="shared" si="40"/>
        <v>1304.7221597791049</v>
      </c>
      <c r="BG76" s="278">
        <f t="shared" si="40"/>
        <v>1398.7628605262601</v>
      </c>
      <c r="BH76" s="278">
        <f t="shared" si="40"/>
        <v>1395.5841871474272</v>
      </c>
      <c r="BI76" s="278">
        <f t="shared" si="40"/>
        <v>1385.142320548553</v>
      </c>
      <c r="BJ76" s="278">
        <f t="shared" si="40"/>
        <v>1519.8352788972998</v>
      </c>
      <c r="BK76" s="278">
        <f t="shared" si="40"/>
        <v>1644.3761005265756</v>
      </c>
      <c r="BL76" s="278">
        <f t="shared" si="40"/>
        <v>1897.9212650625004</v>
      </c>
      <c r="BM76" s="278">
        <f t="shared" si="40"/>
        <v>2072.3999999999996</v>
      </c>
      <c r="BN76" s="278">
        <f t="shared" si="40"/>
        <v>2191.2069241424983</v>
      </c>
      <c r="BO76" s="278">
        <f t="shared" si="40"/>
        <v>2020.3692692188679</v>
      </c>
      <c r="BP76" s="278">
        <f t="shared" si="40"/>
        <v>1732.1201995620283</v>
      </c>
      <c r="BQ76" s="278">
        <f t="shared" si="40"/>
        <v>1896.1234602991051</v>
      </c>
      <c r="BR76" s="278">
        <f t="shared" si="40"/>
        <v>2195.8587296723376</v>
      </c>
      <c r="BS76" s="278">
        <f t="shared" si="40"/>
        <v>2265.0044700608928</v>
      </c>
    </row>
    <row r="77" spans="1:73" s="2" customFormat="1" ht="26.5" x14ac:dyDescent="0.35">
      <c r="B77" s="277" t="s">
        <v>594</v>
      </c>
      <c r="C77" s="257" t="s">
        <v>596</v>
      </c>
      <c r="D77" s="30" t="s">
        <v>595</v>
      </c>
      <c r="E77" s="7"/>
      <c r="F77" s="278">
        <f t="shared" ref="F77:AK77" si="41">F27*100/F74</f>
        <v>103.85961208170774</v>
      </c>
      <c r="G77" s="278">
        <f t="shared" si="41"/>
        <v>108.16029850025589</v>
      </c>
      <c r="H77" s="278">
        <f t="shared" si="41"/>
        <v>113.62084845345862</v>
      </c>
      <c r="I77" s="278">
        <f t="shared" si="41"/>
        <v>109.30181882731692</v>
      </c>
      <c r="J77" s="278">
        <f t="shared" si="41"/>
        <v>133.51764608388606</v>
      </c>
      <c r="K77" s="278">
        <f t="shared" si="41"/>
        <v>143.61660142067012</v>
      </c>
      <c r="L77" s="278">
        <f t="shared" si="41"/>
        <v>147.35686976939408</v>
      </c>
      <c r="M77" s="278">
        <f t="shared" si="41"/>
        <v>150.80570295726949</v>
      </c>
      <c r="N77" s="278">
        <f t="shared" si="41"/>
        <v>149.68123941947354</v>
      </c>
      <c r="O77" s="278">
        <f t="shared" si="41"/>
        <v>169.66952507708626</v>
      </c>
      <c r="P77" s="278">
        <f t="shared" si="41"/>
        <v>175.5753247444944</v>
      </c>
      <c r="Q77" s="278">
        <f t="shared" si="41"/>
        <v>173.89950565746562</v>
      </c>
      <c r="R77" s="278">
        <f t="shared" si="41"/>
        <v>180.11014719321182</v>
      </c>
      <c r="S77" s="278">
        <f t="shared" si="41"/>
        <v>196.44686935906387</v>
      </c>
      <c r="T77" s="278">
        <f t="shared" si="41"/>
        <v>205.31338784916292</v>
      </c>
      <c r="U77" s="278">
        <f t="shared" si="41"/>
        <v>219.29796192974035</v>
      </c>
      <c r="V77" s="278">
        <f t="shared" si="41"/>
        <v>235.30620077709773</v>
      </c>
      <c r="W77" s="278">
        <f t="shared" si="41"/>
        <v>253.27861637032674</v>
      </c>
      <c r="X77" s="278">
        <f t="shared" si="41"/>
        <v>269.26389865761172</v>
      </c>
      <c r="Y77" s="278">
        <f t="shared" si="41"/>
        <v>298.90214311971721</v>
      </c>
      <c r="Z77" s="278">
        <f t="shared" si="41"/>
        <v>331.33337347025378</v>
      </c>
      <c r="AA77" s="278">
        <f t="shared" si="41"/>
        <v>357.60145347097108</v>
      </c>
      <c r="AB77" s="278">
        <f t="shared" si="41"/>
        <v>380.54307478020621</v>
      </c>
      <c r="AC77" s="278">
        <f t="shared" si="41"/>
        <v>415.31498800975243</v>
      </c>
      <c r="AD77" s="278">
        <f t="shared" si="41"/>
        <v>418.48320796699272</v>
      </c>
      <c r="AE77" s="278">
        <f t="shared" si="41"/>
        <v>426.66157097875356</v>
      </c>
      <c r="AF77" s="278">
        <f t="shared" si="41"/>
        <v>468.3348393505849</v>
      </c>
      <c r="AG77" s="278">
        <f t="shared" si="41"/>
        <v>528.04643813006135</v>
      </c>
      <c r="AH77" s="278">
        <f t="shared" si="41"/>
        <v>574.69701455038739</v>
      </c>
      <c r="AI77" s="278">
        <f t="shared" si="41"/>
        <v>528.15697637247183</v>
      </c>
      <c r="AJ77" s="278">
        <f t="shared" si="41"/>
        <v>557.84107424909655</v>
      </c>
      <c r="AK77" s="278">
        <f t="shared" si="41"/>
        <v>591.57893732306388</v>
      </c>
      <c r="AL77" s="278">
        <f t="shared" ref="AL77:BS77" si="42">AL27*100/AL74</f>
        <v>620.61990882941257</v>
      </c>
      <c r="AM77" s="278">
        <f t="shared" si="42"/>
        <v>656.48671333576999</v>
      </c>
      <c r="AN77" s="278">
        <f t="shared" si="42"/>
        <v>657.03206066163204</v>
      </c>
      <c r="AO77" s="278">
        <f t="shared" si="42"/>
        <v>667.43491482675029</v>
      </c>
      <c r="AP77" s="278">
        <f t="shared" si="42"/>
        <v>647.52472590624757</v>
      </c>
      <c r="AQ77" s="278">
        <f t="shared" si="42"/>
        <v>696.95750696038192</v>
      </c>
      <c r="AR77" s="278">
        <f t="shared" si="42"/>
        <v>775.56436982597802</v>
      </c>
      <c r="AS77" s="278">
        <f t="shared" si="42"/>
        <v>846.63504591489857</v>
      </c>
      <c r="AT77" s="278">
        <f t="shared" si="42"/>
        <v>887.18509054157266</v>
      </c>
      <c r="AU77" s="278">
        <f t="shared" si="42"/>
        <v>1022.2510551510209</v>
      </c>
      <c r="AV77" s="278">
        <f t="shared" si="42"/>
        <v>1030.0800016503315</v>
      </c>
      <c r="AW77" s="278">
        <f t="shared" si="42"/>
        <v>1062.277904923425</v>
      </c>
      <c r="AX77" s="278">
        <f t="shared" si="42"/>
        <v>1076.4425522129093</v>
      </c>
      <c r="AY77" s="278">
        <f t="shared" si="42"/>
        <v>1080.9714481322658</v>
      </c>
      <c r="AZ77" s="278">
        <f t="shared" si="42"/>
        <v>1150.0038332396098</v>
      </c>
      <c r="BA77" s="278">
        <f t="shared" si="42"/>
        <v>1199.409328632215</v>
      </c>
      <c r="BB77" s="278">
        <f t="shared" si="42"/>
        <v>1433.8743256260775</v>
      </c>
      <c r="BC77" s="278">
        <f t="shared" si="42"/>
        <v>1334.7253052467838</v>
      </c>
      <c r="BD77" s="278">
        <f t="shared" si="42"/>
        <v>1418.0392565676759</v>
      </c>
      <c r="BE77" s="278">
        <f t="shared" si="42"/>
        <v>1508.3199060230738</v>
      </c>
      <c r="BF77" s="278">
        <f t="shared" si="42"/>
        <v>1604.2335589476791</v>
      </c>
      <c r="BG77" s="278">
        <f t="shared" si="42"/>
        <v>1738.2461962814391</v>
      </c>
      <c r="BH77" s="278">
        <f t="shared" si="42"/>
        <v>1869.4720420757326</v>
      </c>
      <c r="BI77" s="278">
        <f t="shared" si="42"/>
        <v>1847.3558622843343</v>
      </c>
      <c r="BJ77" s="278">
        <f t="shared" si="42"/>
        <v>1946.0803126228429</v>
      </c>
      <c r="BK77" s="278">
        <f t="shared" si="42"/>
        <v>2058.8428081568127</v>
      </c>
      <c r="BL77" s="278">
        <f t="shared" si="42"/>
        <v>2249.7610869990081</v>
      </c>
      <c r="BM77" s="278">
        <f t="shared" si="42"/>
        <v>2394.0856296596257</v>
      </c>
      <c r="BN77" s="278">
        <f t="shared" si="42"/>
        <v>2488.7136705343182</v>
      </c>
      <c r="BO77" s="278">
        <f t="shared" si="42"/>
        <v>2531.1027032719048</v>
      </c>
      <c r="BP77" s="278">
        <f t="shared" si="42"/>
        <v>2478.195174723166</v>
      </c>
      <c r="BQ77" s="278">
        <f t="shared" si="42"/>
        <v>2405.0645875021296</v>
      </c>
      <c r="BR77" s="278">
        <f t="shared" si="42"/>
        <v>2572.8713340385857</v>
      </c>
      <c r="BS77" s="278">
        <f t="shared" si="42"/>
        <v>2715.7224985799007</v>
      </c>
    </row>
    <row r="78" spans="1:73" s="2" customFormat="1" x14ac:dyDescent="0.35">
      <c r="B78" s="277"/>
      <c r="C78" s="257"/>
      <c r="D78" s="257" t="s">
        <v>601</v>
      </c>
      <c r="E78" s="7"/>
      <c r="F78" s="7"/>
      <c r="G78" s="278"/>
      <c r="H78" s="278">
        <f>H75-G75</f>
        <v>22.564940124382758</v>
      </c>
      <c r="I78" s="278">
        <f t="shared" ref="I78:BS78" si="43">I75-H75</f>
        <v>-9.0322111335830186</v>
      </c>
      <c r="J78" s="278">
        <f t="shared" si="43"/>
        <v>25.367771245942549</v>
      </c>
      <c r="K78" s="278">
        <f t="shared" si="43"/>
        <v>6.7402638283022043</v>
      </c>
      <c r="L78" s="278">
        <f t="shared" si="43"/>
        <v>-7.2583998221644777</v>
      </c>
      <c r="M78" s="278">
        <f t="shared" si="43"/>
        <v>1.3243522461275745</v>
      </c>
      <c r="N78" s="278">
        <f t="shared" si="43"/>
        <v>-1.1245694659349112</v>
      </c>
      <c r="O78" s="278">
        <f t="shared" si="43"/>
        <v>36.168471364552431</v>
      </c>
      <c r="P78" s="278">
        <f t="shared" si="43"/>
        <v>-12.440543577639716</v>
      </c>
      <c r="Q78" s="278">
        <f t="shared" si="43"/>
        <v>-4.5859044845788048</v>
      </c>
      <c r="R78" s="278">
        <f t="shared" si="43"/>
        <v>-9.5406930446878278</v>
      </c>
      <c r="S78" s="278">
        <f t="shared" si="43"/>
        <v>29.143352203455066</v>
      </c>
      <c r="T78" s="278">
        <f t="shared" si="43"/>
        <v>-0.54602196653266333</v>
      </c>
      <c r="U78" s="278">
        <f t="shared" si="43"/>
        <v>7.4090045842696668</v>
      </c>
      <c r="V78" s="278">
        <f t="shared" si="43"/>
        <v>27.170415174934789</v>
      </c>
      <c r="W78" s="278">
        <f t="shared" si="43"/>
        <v>20.441203627045468</v>
      </c>
      <c r="X78" s="278">
        <f t="shared" si="43"/>
        <v>23.871365293464464</v>
      </c>
      <c r="Y78" s="278">
        <f t="shared" si="43"/>
        <v>36.528547222159716</v>
      </c>
      <c r="Z78" s="278">
        <f t="shared" si="43"/>
        <v>23.7455944629599</v>
      </c>
      <c r="AA78" s="278">
        <f t="shared" si="43"/>
        <v>-0.45395936453968488</v>
      </c>
      <c r="AB78" s="278">
        <f t="shared" si="43"/>
        <v>20.254539781158542</v>
      </c>
      <c r="AC78" s="278">
        <f t="shared" si="43"/>
        <v>-1.8349695305165028</v>
      </c>
      <c r="AD78" s="278">
        <f t="shared" si="43"/>
        <v>-25.101586307944331</v>
      </c>
      <c r="AE78" s="278">
        <f t="shared" si="43"/>
        <v>25.135166549079031</v>
      </c>
      <c r="AF78" s="278">
        <f t="shared" si="43"/>
        <v>32.917300318809794</v>
      </c>
      <c r="AG78" s="278">
        <f t="shared" si="43"/>
        <v>26.604352466768603</v>
      </c>
      <c r="AH78" s="278">
        <f t="shared" si="43"/>
        <v>-22.770258702526064</v>
      </c>
      <c r="AI78" s="278">
        <f t="shared" si="43"/>
        <v>15.012246400191202</v>
      </c>
      <c r="AJ78" s="278">
        <f t="shared" si="43"/>
        <v>31.297021779883892</v>
      </c>
      <c r="AK78" s="278">
        <f t="shared" si="43"/>
        <v>35.311261897842371</v>
      </c>
      <c r="AL78" s="278">
        <f t="shared" si="43"/>
        <v>38.630983987140837</v>
      </c>
      <c r="AM78" s="278">
        <f t="shared" si="43"/>
        <v>0.38236958763332041</v>
      </c>
      <c r="AN78" s="278">
        <f t="shared" si="43"/>
        <v>-21.264887930966324</v>
      </c>
      <c r="AO78" s="278">
        <f t="shared" si="43"/>
        <v>37.131927541428468</v>
      </c>
      <c r="AP78" s="278">
        <f t="shared" si="43"/>
        <v>-12.049738359174057</v>
      </c>
      <c r="AQ78" s="278">
        <f t="shared" si="43"/>
        <v>65.094668925679457</v>
      </c>
      <c r="AR78" s="278">
        <f t="shared" si="43"/>
        <v>98.851840413063655</v>
      </c>
      <c r="AS78" s="278">
        <f t="shared" si="43"/>
        <v>39.463282306787164</v>
      </c>
      <c r="AT78" s="278">
        <f t="shared" si="43"/>
        <v>-1.5573551496104301</v>
      </c>
      <c r="AU78" s="278">
        <f t="shared" si="43"/>
        <v>60.094274654126139</v>
      </c>
      <c r="AV78" s="278">
        <f t="shared" si="43"/>
        <v>72.87653537801998</v>
      </c>
      <c r="AW78" s="278">
        <f t="shared" si="43"/>
        <v>30.674744181554615</v>
      </c>
      <c r="AX78" s="278">
        <f t="shared" si="43"/>
        <v>12.115915481982938</v>
      </c>
      <c r="AY78" s="278">
        <f t="shared" si="43"/>
        <v>18.420359626664322</v>
      </c>
      <c r="AZ78" s="278">
        <f t="shared" si="43"/>
        <v>34.744016887343037</v>
      </c>
      <c r="BA78" s="278">
        <f t="shared" si="43"/>
        <v>49.076281578506723</v>
      </c>
      <c r="BB78" s="278">
        <f t="shared" si="43"/>
        <v>105.19638356667906</v>
      </c>
      <c r="BC78" s="278">
        <f t="shared" si="43"/>
        <v>117.45120755253242</v>
      </c>
      <c r="BD78" s="278">
        <f t="shared" si="43"/>
        <v>127.99983316538464</v>
      </c>
      <c r="BE78" s="278">
        <f t="shared" si="43"/>
        <v>140.54390515645264</v>
      </c>
      <c r="BF78" s="278">
        <f t="shared" si="43"/>
        <v>53.383960846131458</v>
      </c>
      <c r="BG78" s="278">
        <f t="shared" si="43"/>
        <v>119.84943027443796</v>
      </c>
      <c r="BH78" s="278">
        <f t="shared" si="43"/>
        <v>54.557731647174251</v>
      </c>
      <c r="BI78" s="278">
        <f t="shared" si="43"/>
        <v>9.8009328327868843</v>
      </c>
      <c r="BJ78" s="278">
        <f t="shared" si="43"/>
        <v>77.475173439056562</v>
      </c>
      <c r="BK78" s="278">
        <f t="shared" si="43"/>
        <v>101.54747957140671</v>
      </c>
      <c r="BL78" s="278">
        <f t="shared" si="43"/>
        <v>243.52313539525676</v>
      </c>
      <c r="BM78" s="278">
        <f t="shared" si="43"/>
        <v>195.65176237374999</v>
      </c>
      <c r="BN78" s="278">
        <f t="shared" si="43"/>
        <v>116.21636299245574</v>
      </c>
      <c r="BO78" s="278">
        <f t="shared" si="43"/>
        <v>-92.580739581045236</v>
      </c>
      <c r="BP78" s="278">
        <f t="shared" si="43"/>
        <v>-244.91810622955791</v>
      </c>
      <c r="BQ78" s="278">
        <f t="shared" si="43"/>
        <v>151.42161943083556</v>
      </c>
      <c r="BR78" s="278">
        <f t="shared" si="43"/>
        <v>311.58142427799658</v>
      </c>
      <c r="BS78" s="278">
        <f t="shared" si="43"/>
        <v>94.670284741588148</v>
      </c>
    </row>
    <row r="79" spans="1:73" x14ac:dyDescent="0.35">
      <c r="B79" s="21" t="s">
        <v>593</v>
      </c>
      <c r="C79" s="133"/>
      <c r="D79" s="257" t="s">
        <v>602</v>
      </c>
      <c r="E79" s="54"/>
      <c r="F79" s="54"/>
      <c r="G79" s="258"/>
      <c r="H79" s="258">
        <f>H76-G76</f>
        <v>23.005447550561826</v>
      </c>
      <c r="I79" s="258">
        <f t="shared" ref="I79:AN79" si="44">I76-H76</f>
        <v>-9.1320723406852835</v>
      </c>
      <c r="J79" s="258">
        <f t="shared" si="44"/>
        <v>24.858733014842528</v>
      </c>
      <c r="K79" s="258">
        <f t="shared" si="44"/>
        <v>5.6517323467095082</v>
      </c>
      <c r="L79" s="258">
        <f t="shared" si="44"/>
        <v>-7.6863866683448521</v>
      </c>
      <c r="M79" s="258">
        <f t="shared" si="44"/>
        <v>0.8828020969162651</v>
      </c>
      <c r="N79" s="258">
        <f t="shared" si="44"/>
        <v>-1.3740638008299015</v>
      </c>
      <c r="O79" s="258">
        <f t="shared" si="44"/>
        <v>33.74072643240882</v>
      </c>
      <c r="P79" s="258">
        <f t="shared" si="44"/>
        <v>-12.553942631578877</v>
      </c>
      <c r="Q79" s="258">
        <f t="shared" si="44"/>
        <v>-6.3151404469914212</v>
      </c>
      <c r="R79" s="258">
        <f t="shared" si="44"/>
        <v>-10.773277645723851</v>
      </c>
      <c r="S79" s="258">
        <f t="shared" si="44"/>
        <v>29.290463254794759</v>
      </c>
      <c r="T79" s="258">
        <f t="shared" si="44"/>
        <v>-2.1856942856749981</v>
      </c>
      <c r="U79" s="258">
        <f t="shared" si="44"/>
        <v>5.1414451235954459</v>
      </c>
      <c r="V79" s="258">
        <f t="shared" si="44"/>
        <v>24.09818925326374</v>
      </c>
      <c r="W79" s="258">
        <f t="shared" si="44"/>
        <v>18.286276944756139</v>
      </c>
      <c r="X79" s="258">
        <f t="shared" si="44"/>
        <v>21.044589220635231</v>
      </c>
      <c r="Y79" s="258">
        <f t="shared" si="44"/>
        <v>32.496805626717048</v>
      </c>
      <c r="Z79" s="258">
        <f t="shared" si="44"/>
        <v>20.469010440521345</v>
      </c>
      <c r="AA79" s="258">
        <f t="shared" si="44"/>
        <v>-5.0980157324265178</v>
      </c>
      <c r="AB79" s="258">
        <f t="shared" si="44"/>
        <v>15.037454545124717</v>
      </c>
      <c r="AC79" s="258">
        <f t="shared" si="44"/>
        <v>-10.721940631924895</v>
      </c>
      <c r="AD79" s="258">
        <f t="shared" si="44"/>
        <v>-32.092026737919866</v>
      </c>
      <c r="AE79" s="258">
        <f t="shared" si="44"/>
        <v>26.517763369125362</v>
      </c>
      <c r="AF79" s="258">
        <f t="shared" si="44"/>
        <v>30.469070654310599</v>
      </c>
      <c r="AG79" s="258">
        <f t="shared" si="44"/>
        <v>17.134387654088869</v>
      </c>
      <c r="AH79" s="258">
        <f t="shared" si="44"/>
        <v>-33.18013795383257</v>
      </c>
      <c r="AI79" s="258">
        <f t="shared" si="44"/>
        <v>20.639672189351927</v>
      </c>
      <c r="AJ79" s="258">
        <f t="shared" si="44"/>
        <v>38.322541992663901</v>
      </c>
      <c r="AK79" s="258">
        <f t="shared" si="44"/>
        <v>36.173031440629529</v>
      </c>
      <c r="AL79" s="258">
        <f t="shared" si="44"/>
        <v>29.560569114466375</v>
      </c>
      <c r="AM79" s="258">
        <f t="shared" si="44"/>
        <v>-12.899432056217563</v>
      </c>
      <c r="AN79" s="258">
        <f t="shared" si="44"/>
        <v>-34.501451225111282</v>
      </c>
      <c r="AO79" s="258">
        <f t="shared" ref="AO79:BS79" si="45">AO76-AN76</f>
        <v>24.765232079200985</v>
      </c>
      <c r="AP79" s="258">
        <f t="shared" si="45"/>
        <v>-19.548195643858378</v>
      </c>
      <c r="AQ79" s="258">
        <f t="shared" si="45"/>
        <v>67.529191712845659</v>
      </c>
      <c r="AR79" s="258">
        <f t="shared" si="45"/>
        <v>74.928742923986022</v>
      </c>
      <c r="AS79" s="258">
        <f t="shared" si="45"/>
        <v>30.432059855240027</v>
      </c>
      <c r="AT79" s="258">
        <f t="shared" si="45"/>
        <v>-7.0907233145327382</v>
      </c>
      <c r="AU79" s="258">
        <f t="shared" si="45"/>
        <v>59.611952773317284</v>
      </c>
      <c r="AV79" s="258">
        <f t="shared" si="45"/>
        <v>56.952770369845098</v>
      </c>
      <c r="AW79" s="258">
        <f t="shared" si="45"/>
        <v>-2.3308970848385115</v>
      </c>
      <c r="AX79" s="258">
        <f t="shared" si="45"/>
        <v>10.313585670482894</v>
      </c>
      <c r="AY79" s="258">
        <f t="shared" si="45"/>
        <v>30.661476792212397</v>
      </c>
      <c r="AZ79" s="258">
        <f t="shared" si="45"/>
        <v>57.512537837021227</v>
      </c>
      <c r="BA79" s="258">
        <f t="shared" si="45"/>
        <v>59.676989990529592</v>
      </c>
      <c r="BB79" s="258">
        <f t="shared" si="45"/>
        <v>100.79085587805389</v>
      </c>
      <c r="BC79" s="258">
        <f t="shared" si="45"/>
        <v>96.691262550197848</v>
      </c>
      <c r="BD79" s="258">
        <f t="shared" si="45"/>
        <v>119.41280834864688</v>
      </c>
      <c r="BE79" s="258">
        <f t="shared" si="45"/>
        <v>131.26521080092766</v>
      </c>
      <c r="BF79" s="258">
        <f t="shared" si="45"/>
        <v>4.0284561316050258</v>
      </c>
      <c r="BG79" s="258">
        <f t="shared" si="45"/>
        <v>94.040700747155142</v>
      </c>
      <c r="BH79" s="258">
        <f t="shared" si="45"/>
        <v>-3.1786733788328547</v>
      </c>
      <c r="BI79" s="258">
        <f t="shared" si="45"/>
        <v>-10.441866598874185</v>
      </c>
      <c r="BJ79" s="258">
        <f t="shared" si="45"/>
        <v>134.69295834874674</v>
      </c>
      <c r="BK79" s="258">
        <f t="shared" si="45"/>
        <v>124.5408216292758</v>
      </c>
      <c r="BL79" s="258">
        <f t="shared" si="45"/>
        <v>253.54516453592487</v>
      </c>
      <c r="BM79" s="258">
        <f t="shared" si="45"/>
        <v>174.47873493749921</v>
      </c>
      <c r="BN79" s="258">
        <f t="shared" si="45"/>
        <v>118.8069241424987</v>
      </c>
      <c r="BO79" s="258">
        <f t="shared" si="45"/>
        <v>-170.83765492363045</v>
      </c>
      <c r="BP79" s="258">
        <f t="shared" si="45"/>
        <v>-288.24906965683954</v>
      </c>
      <c r="BQ79" s="258">
        <f t="shared" si="45"/>
        <v>164.00326073707674</v>
      </c>
      <c r="BR79" s="258">
        <f t="shared" si="45"/>
        <v>299.73526937323254</v>
      </c>
      <c r="BS79" s="258">
        <f t="shared" si="45"/>
        <v>69.145740388555168</v>
      </c>
    </row>
    <row r="80" spans="1:73" x14ac:dyDescent="0.35">
      <c r="B80" s="21" t="s">
        <v>614</v>
      </c>
      <c r="C80" s="133"/>
      <c r="D80" s="260" t="s">
        <v>597</v>
      </c>
      <c r="E80" s="54"/>
      <c r="F80" s="54"/>
      <c r="G80" s="258">
        <f>G77-F77</f>
        <v>4.3006864185481533</v>
      </c>
      <c r="H80" s="258">
        <f>H77-G77</f>
        <v>5.4605499532027295</v>
      </c>
      <c r="I80" s="258">
        <f t="shared" ref="I80:AN80" si="46">I77-H77</f>
        <v>-4.3190296261416989</v>
      </c>
      <c r="J80" s="258">
        <f t="shared" si="46"/>
        <v>24.215827256569142</v>
      </c>
      <c r="K80" s="258">
        <f t="shared" si="46"/>
        <v>10.098955336784059</v>
      </c>
      <c r="L80" s="258">
        <f t="shared" si="46"/>
        <v>3.7402683487239585</v>
      </c>
      <c r="M80" s="258">
        <f t="shared" si="46"/>
        <v>3.4488331878754082</v>
      </c>
      <c r="N80" s="258">
        <f t="shared" si="46"/>
        <v>-1.1244635377959469</v>
      </c>
      <c r="O80" s="258">
        <f t="shared" si="46"/>
        <v>19.988285657612721</v>
      </c>
      <c r="P80" s="258">
        <f t="shared" si="46"/>
        <v>5.9057996674081323</v>
      </c>
      <c r="Q80" s="258">
        <f t="shared" si="46"/>
        <v>-1.6758190870287706</v>
      </c>
      <c r="R80" s="258">
        <f t="shared" si="46"/>
        <v>6.2106415357461913</v>
      </c>
      <c r="S80" s="258">
        <f t="shared" si="46"/>
        <v>16.336722165852052</v>
      </c>
      <c r="T80" s="258">
        <f t="shared" si="46"/>
        <v>8.8665184900990539</v>
      </c>
      <c r="U80" s="258">
        <f t="shared" si="46"/>
        <v>13.984574080577431</v>
      </c>
      <c r="V80" s="258">
        <f t="shared" si="46"/>
        <v>16.008238847357376</v>
      </c>
      <c r="W80" s="258">
        <f t="shared" si="46"/>
        <v>17.972415593229016</v>
      </c>
      <c r="X80" s="258">
        <f t="shared" si="46"/>
        <v>15.985282287284974</v>
      </c>
      <c r="Y80" s="258">
        <f t="shared" si="46"/>
        <v>29.63824446210549</v>
      </c>
      <c r="Z80" s="258">
        <f t="shared" si="46"/>
        <v>32.431230350536566</v>
      </c>
      <c r="AA80" s="258">
        <f t="shared" si="46"/>
        <v>26.268080000717305</v>
      </c>
      <c r="AB80" s="258">
        <f t="shared" si="46"/>
        <v>22.941621309235131</v>
      </c>
      <c r="AC80" s="258">
        <f t="shared" si="46"/>
        <v>34.771913229546215</v>
      </c>
      <c r="AD80" s="258">
        <f t="shared" si="46"/>
        <v>3.1682199572402965</v>
      </c>
      <c r="AE80" s="258">
        <f t="shared" si="46"/>
        <v>8.1783630117608368</v>
      </c>
      <c r="AF80" s="258">
        <f t="shared" si="46"/>
        <v>41.673268371831341</v>
      </c>
      <c r="AG80" s="258">
        <f t="shared" si="46"/>
        <v>59.711598779476446</v>
      </c>
      <c r="AH80" s="258">
        <f t="shared" si="46"/>
        <v>46.650576420326047</v>
      </c>
      <c r="AI80" s="258">
        <f t="shared" si="46"/>
        <v>-46.540038177915562</v>
      </c>
      <c r="AJ80" s="258">
        <f t="shared" si="46"/>
        <v>29.684097876624719</v>
      </c>
      <c r="AK80" s="258">
        <f t="shared" si="46"/>
        <v>33.737863073967333</v>
      </c>
      <c r="AL80" s="258">
        <f t="shared" si="46"/>
        <v>29.040971506348683</v>
      </c>
      <c r="AM80" s="258">
        <f t="shared" si="46"/>
        <v>35.866804506357425</v>
      </c>
      <c r="AN80" s="258">
        <f t="shared" si="46"/>
        <v>0.54534732586205337</v>
      </c>
      <c r="AO80" s="258">
        <f t="shared" ref="AO80:BS80" si="47">AO77-AN77</f>
        <v>10.402854165118242</v>
      </c>
      <c r="AP80" s="258">
        <f t="shared" si="47"/>
        <v>-19.910188920502719</v>
      </c>
      <c r="AQ80" s="258">
        <f t="shared" si="47"/>
        <v>49.432781054134352</v>
      </c>
      <c r="AR80" s="258">
        <f t="shared" si="47"/>
        <v>78.606862865596099</v>
      </c>
      <c r="AS80" s="258">
        <f t="shared" si="47"/>
        <v>71.07067608892055</v>
      </c>
      <c r="AT80" s="258">
        <f t="shared" si="47"/>
        <v>40.550044626674094</v>
      </c>
      <c r="AU80" s="258">
        <f t="shared" si="47"/>
        <v>135.0659646094482</v>
      </c>
      <c r="AV80" s="258">
        <f t="shared" si="47"/>
        <v>7.8289464993106321</v>
      </c>
      <c r="AW80" s="258">
        <f t="shared" si="47"/>
        <v>32.197903273093516</v>
      </c>
      <c r="AX80" s="258">
        <f t="shared" si="47"/>
        <v>14.164647289484265</v>
      </c>
      <c r="AY80" s="258">
        <f t="shared" si="47"/>
        <v>4.5288959193565006</v>
      </c>
      <c r="AZ80" s="258">
        <f t="shared" si="47"/>
        <v>69.032385107343998</v>
      </c>
      <c r="BA80" s="258">
        <f t="shared" si="47"/>
        <v>49.405495392605189</v>
      </c>
      <c r="BB80" s="258">
        <f t="shared" si="47"/>
        <v>234.46499699386254</v>
      </c>
      <c r="BC80" s="258">
        <f t="shared" si="47"/>
        <v>-99.149020379293688</v>
      </c>
      <c r="BD80" s="258">
        <f t="shared" si="47"/>
        <v>83.313951320892102</v>
      </c>
      <c r="BE80" s="258">
        <f t="shared" si="47"/>
        <v>90.280649455397906</v>
      </c>
      <c r="BF80" s="258">
        <f t="shared" si="47"/>
        <v>95.913652924605231</v>
      </c>
      <c r="BG80" s="258">
        <f t="shared" si="47"/>
        <v>134.01263733376004</v>
      </c>
      <c r="BH80" s="258">
        <f t="shared" si="47"/>
        <v>131.22584579429349</v>
      </c>
      <c r="BI80" s="258">
        <f t="shared" si="47"/>
        <v>-22.116179791398281</v>
      </c>
      <c r="BJ80" s="258">
        <f t="shared" si="47"/>
        <v>98.724450338508632</v>
      </c>
      <c r="BK80" s="258">
        <f t="shared" si="47"/>
        <v>112.76249553396974</v>
      </c>
      <c r="BL80" s="258">
        <f t="shared" si="47"/>
        <v>190.91827884219538</v>
      </c>
      <c r="BM80" s="258">
        <f t="shared" si="47"/>
        <v>144.32454266061768</v>
      </c>
      <c r="BN80" s="258">
        <f t="shared" si="47"/>
        <v>94.628040874692488</v>
      </c>
      <c r="BO80" s="258">
        <f t="shared" si="47"/>
        <v>42.389032737586604</v>
      </c>
      <c r="BP80" s="258">
        <f t="shared" si="47"/>
        <v>-52.90752854873881</v>
      </c>
      <c r="BQ80" s="258">
        <f t="shared" si="47"/>
        <v>-73.130587221036421</v>
      </c>
      <c r="BR80" s="258">
        <f t="shared" si="47"/>
        <v>167.8067465364561</v>
      </c>
      <c r="BS80" s="258">
        <f t="shared" si="47"/>
        <v>142.85116454131503</v>
      </c>
    </row>
    <row r="81" spans="1:71" ht="24" x14ac:dyDescent="0.35">
      <c r="B81" s="21" t="s">
        <v>613</v>
      </c>
      <c r="C81" s="133"/>
      <c r="D81" s="256" t="s">
        <v>598</v>
      </c>
      <c r="E81" s="54"/>
      <c r="F81" s="54"/>
      <c r="G81" s="258">
        <f>G73+G80</f>
        <v>71.706542418548153</v>
      </c>
      <c r="H81" s="258">
        <f>H73+H80</f>
        <v>75.689185953202738</v>
      </c>
      <c r="I81" s="258">
        <f t="shared" ref="I81:BS81" si="48">I73+I80</f>
        <v>57.760826373858308</v>
      </c>
      <c r="J81" s="258">
        <f t="shared" si="48"/>
        <v>90.790827256569145</v>
      </c>
      <c r="K81" s="258">
        <f t="shared" si="48"/>
        <v>83.885359336784063</v>
      </c>
      <c r="L81" s="258">
        <f t="shared" si="48"/>
        <v>79.337512348723962</v>
      </c>
      <c r="M81" s="258">
        <f t="shared" si="48"/>
        <v>84.574465187875404</v>
      </c>
      <c r="N81" s="258">
        <f t="shared" si="48"/>
        <v>77.231648462204063</v>
      </c>
      <c r="O81" s="258">
        <f t="shared" si="48"/>
        <v>105.49188965761272</v>
      </c>
      <c r="P81" s="258">
        <f t="shared" si="48"/>
        <v>102.00814366740815</v>
      </c>
      <c r="Q81" s="258">
        <f t="shared" si="48"/>
        <v>96.919092912971237</v>
      </c>
      <c r="R81" s="258">
        <f t="shared" si="48"/>
        <v>90.691653535746198</v>
      </c>
      <c r="S81" s="258">
        <f t="shared" si="48"/>
        <v>105.69635016585205</v>
      </c>
      <c r="T81" s="258">
        <f t="shared" si="48"/>
        <v>106.15123449009906</v>
      </c>
      <c r="U81" s="258">
        <f t="shared" si="48"/>
        <v>110.53430208057743</v>
      </c>
      <c r="V81" s="258">
        <f t="shared" si="48"/>
        <v>121.29260684735738</v>
      </c>
      <c r="W81" s="258">
        <f t="shared" si="48"/>
        <v>128.84908359322901</v>
      </c>
      <c r="X81" s="258">
        <f t="shared" si="48"/>
        <v>141.70018628728496</v>
      </c>
      <c r="Y81" s="258">
        <f t="shared" si="48"/>
        <v>178.44668446210551</v>
      </c>
      <c r="Z81" s="258">
        <f t="shared" si="48"/>
        <v>202.4371503505366</v>
      </c>
      <c r="AA81" s="258">
        <f t="shared" si="48"/>
        <v>195.36858000071732</v>
      </c>
      <c r="AB81" s="258">
        <f t="shared" si="48"/>
        <v>202.02304530923516</v>
      </c>
      <c r="AC81" s="258">
        <f t="shared" si="48"/>
        <v>226.95529722954626</v>
      </c>
      <c r="AD81" s="258">
        <f t="shared" si="48"/>
        <v>191.83644395724031</v>
      </c>
      <c r="AE81" s="258">
        <f t="shared" si="48"/>
        <v>195.82399501176081</v>
      </c>
      <c r="AF81" s="258">
        <f t="shared" si="48"/>
        <v>248.63097637183134</v>
      </c>
      <c r="AG81" s="258">
        <f t="shared" si="48"/>
        <v>296.98489877947645</v>
      </c>
      <c r="AH81" s="258">
        <f t="shared" si="48"/>
        <v>293.16981242032602</v>
      </c>
      <c r="AI81" s="258">
        <f t="shared" si="48"/>
        <v>174.98960582208446</v>
      </c>
      <c r="AJ81" s="258">
        <f t="shared" si="48"/>
        <v>262.15334587662471</v>
      </c>
      <c r="AK81" s="258">
        <f t="shared" si="48"/>
        <v>294.20056707396736</v>
      </c>
      <c r="AL81" s="258">
        <f t="shared" si="48"/>
        <v>330.89734750634869</v>
      </c>
      <c r="AM81" s="258">
        <f t="shared" si="48"/>
        <v>368.58202450635747</v>
      </c>
      <c r="AN81" s="258">
        <f t="shared" si="48"/>
        <v>337.06333132586207</v>
      </c>
      <c r="AO81" s="258">
        <f t="shared" si="48"/>
        <v>360.61931016511829</v>
      </c>
      <c r="AP81" s="258">
        <f t="shared" si="48"/>
        <v>314.97803907949731</v>
      </c>
      <c r="AQ81" s="258">
        <f t="shared" si="48"/>
        <v>384.51274505413437</v>
      </c>
      <c r="AR81" s="258">
        <f t="shared" si="48"/>
        <v>477.68404286559615</v>
      </c>
      <c r="AS81" s="258">
        <f t="shared" si="48"/>
        <v>498.7378240889206</v>
      </c>
      <c r="AT81" s="258">
        <f t="shared" si="48"/>
        <v>453.77308062667413</v>
      </c>
      <c r="AU81" s="258">
        <f t="shared" si="48"/>
        <v>546.89358860944822</v>
      </c>
      <c r="AV81" s="258">
        <f t="shared" si="48"/>
        <v>439.78885049931063</v>
      </c>
      <c r="AW81" s="258">
        <f t="shared" si="48"/>
        <v>493.64254327309357</v>
      </c>
      <c r="AX81" s="258">
        <f t="shared" si="48"/>
        <v>497.65892728948432</v>
      </c>
      <c r="AY81" s="258">
        <f t="shared" si="48"/>
        <v>463.31053591935654</v>
      </c>
      <c r="AZ81" s="258">
        <f t="shared" si="48"/>
        <v>544.80396510734408</v>
      </c>
      <c r="BA81" s="258">
        <f t="shared" si="48"/>
        <v>573.49454739260523</v>
      </c>
      <c r="BB81" s="258">
        <f t="shared" si="48"/>
        <v>809.71560499386248</v>
      </c>
      <c r="BC81" s="258">
        <f t="shared" si="48"/>
        <v>544.75372762070629</v>
      </c>
      <c r="BD81" s="258">
        <f t="shared" si="48"/>
        <v>796.33752732089215</v>
      </c>
      <c r="BE81" s="258">
        <f t="shared" si="48"/>
        <v>879.47667745539786</v>
      </c>
      <c r="BF81" s="258">
        <f t="shared" si="48"/>
        <v>978.01642492460542</v>
      </c>
      <c r="BG81" s="258">
        <f t="shared" si="48"/>
        <v>1107.4989173337601</v>
      </c>
      <c r="BH81" s="258">
        <f t="shared" si="48"/>
        <v>1199.5575337942935</v>
      </c>
      <c r="BI81" s="258">
        <f t="shared" si="48"/>
        <v>1003.2986002086018</v>
      </c>
      <c r="BJ81" s="258">
        <f t="shared" si="48"/>
        <v>1017.8322703385087</v>
      </c>
      <c r="BK81" s="258">
        <f t="shared" si="48"/>
        <v>1040.7221275339698</v>
      </c>
      <c r="BL81" s="258">
        <f t="shared" si="48"/>
        <v>1178.4545468421957</v>
      </c>
      <c r="BM81" s="258">
        <f t="shared" si="48"/>
        <v>1209.5245426606177</v>
      </c>
      <c r="BN81" s="258">
        <f t="shared" si="48"/>
        <v>1246.2690208746926</v>
      </c>
      <c r="BO81" s="258">
        <f t="shared" si="48"/>
        <v>1267.4542487375866</v>
      </c>
      <c r="BP81" s="258">
        <f t="shared" si="48"/>
        <v>1161.6974234512613</v>
      </c>
      <c r="BQ81" s="258">
        <f t="shared" si="48"/>
        <v>912.33919277896371</v>
      </c>
      <c r="BR81" s="258">
        <f t="shared" si="48"/>
        <v>1171.5766625364563</v>
      </c>
      <c r="BS81" s="258">
        <f t="shared" si="48"/>
        <v>1235.970056541315</v>
      </c>
    </row>
    <row r="82" spans="1:71" s="181" customFormat="1" x14ac:dyDescent="0.35">
      <c r="A82" s="261">
        <f>AVERAGE(H82:BS82)</f>
        <v>9.5010927393296599E-2</v>
      </c>
      <c r="B82" s="141" t="s">
        <v>607</v>
      </c>
      <c r="C82" s="256" t="s">
        <v>603</v>
      </c>
      <c r="D82" s="257" t="s">
        <v>604</v>
      </c>
      <c r="E82" s="80"/>
      <c r="F82" s="80"/>
      <c r="G82" s="288"/>
      <c r="H82" s="213">
        <f>H78/G81</f>
        <v>0.31468453732815793</v>
      </c>
      <c r="I82" s="213">
        <f t="shared" ref="I82:BS82" si="49">I78/H81</f>
        <v>-0.11933291420477785</v>
      </c>
      <c r="J82" s="213">
        <f t="shared" si="49"/>
        <v>0.43918643202486496</v>
      </c>
      <c r="K82" s="213">
        <f t="shared" si="49"/>
        <v>7.4239480264395474E-2</v>
      </c>
      <c r="L82" s="213">
        <f t="shared" si="49"/>
        <v>-8.6527611964125437E-2</v>
      </c>
      <c r="M82" s="213">
        <f t="shared" si="49"/>
        <v>1.6692636395081967E-2</v>
      </c>
      <c r="N82" s="213">
        <f t="shared" si="49"/>
        <v>-1.3296796656494017E-2</v>
      </c>
      <c r="O82" s="213">
        <f t="shared" si="49"/>
        <v>0.46831152881907867</v>
      </c>
      <c r="P82" s="213">
        <f t="shared" si="49"/>
        <v>-0.11792891015619376</v>
      </c>
      <c r="Q82" s="213">
        <f t="shared" si="49"/>
        <v>-4.4956258585891827E-2</v>
      </c>
      <c r="R82" s="213">
        <f t="shared" si="49"/>
        <v>-9.8439768243135731E-2</v>
      </c>
      <c r="S82" s="213">
        <f t="shared" si="49"/>
        <v>0.32134547190682972</v>
      </c>
      <c r="T82" s="213">
        <f t="shared" si="49"/>
        <v>-5.165949114381718E-3</v>
      </c>
      <c r="U82" s="213">
        <f t="shared" si="49"/>
        <v>6.9796687903433852E-2</v>
      </c>
      <c r="V82" s="213">
        <f t="shared" si="49"/>
        <v>0.24580980440920561</v>
      </c>
      <c r="W82" s="213">
        <f t="shared" si="49"/>
        <v>0.16852802621985055</v>
      </c>
      <c r="X82" s="213">
        <f t="shared" si="49"/>
        <v>0.18526608515762</v>
      </c>
      <c r="Y82" s="213">
        <f t="shared" si="49"/>
        <v>0.25778757374461897</v>
      </c>
      <c r="Z82" s="213">
        <f t="shared" si="49"/>
        <v>0.13306828610762145</v>
      </c>
      <c r="AA82" s="213">
        <f t="shared" si="49"/>
        <v>-2.2424706322610095E-3</v>
      </c>
      <c r="AB82" s="213">
        <f t="shared" si="49"/>
        <v>0.10367347595546927</v>
      </c>
      <c r="AC82" s="213">
        <f t="shared" si="49"/>
        <v>-9.0829713397683354E-3</v>
      </c>
      <c r="AD82" s="213">
        <f t="shared" si="49"/>
        <v>-0.11060145594467521</v>
      </c>
      <c r="AE82" s="213">
        <f t="shared" si="49"/>
        <v>0.13102393909408358</v>
      </c>
      <c r="AF82" s="213">
        <f t="shared" si="49"/>
        <v>0.16809635773610299</v>
      </c>
      <c r="AG82" s="213">
        <f t="shared" si="49"/>
        <v>0.10700337043676085</v>
      </c>
      <c r="AH82" s="213">
        <f t="shared" si="49"/>
        <v>-7.6671436144077884E-2</v>
      </c>
      <c r="AI82" s="213">
        <f t="shared" si="49"/>
        <v>5.1206658271717657E-2</v>
      </c>
      <c r="AJ82" s="213">
        <f t="shared" si="49"/>
        <v>0.1788507473506982</v>
      </c>
      <c r="AK82" s="213">
        <f t="shared" si="49"/>
        <v>0.134696972032776</v>
      </c>
      <c r="AL82" s="213">
        <f t="shared" si="49"/>
        <v>0.13130832605576967</v>
      </c>
      <c r="AM82" s="213">
        <f t="shared" si="49"/>
        <v>1.1555534987356892E-3</v>
      </c>
      <c r="AN82" s="213">
        <f t="shared" si="49"/>
        <v>-5.7693773752115082E-2</v>
      </c>
      <c r="AO82" s="213">
        <f t="shared" si="49"/>
        <v>0.11016305866131283</v>
      </c>
      <c r="AP82" s="213">
        <f t="shared" si="49"/>
        <v>-3.3414013114430263E-2</v>
      </c>
      <c r="AQ82" s="213">
        <f t="shared" si="49"/>
        <v>0.20666415066877158</v>
      </c>
      <c r="AR82" s="213">
        <f t="shared" si="49"/>
        <v>0.25708339108277573</v>
      </c>
      <c r="AS82" s="213">
        <f t="shared" si="49"/>
        <v>8.2613775561874422E-2</v>
      </c>
      <c r="AT82" s="213">
        <f t="shared" si="49"/>
        <v>-3.1225928221011914E-3</v>
      </c>
      <c r="AU82" s="213">
        <f t="shared" si="49"/>
        <v>0.13243243643085692</v>
      </c>
      <c r="AV82" s="213">
        <f t="shared" si="49"/>
        <v>0.13325542097379225</v>
      </c>
      <c r="AW82" s="213">
        <f t="shared" si="49"/>
        <v>6.974879910377059E-2</v>
      </c>
      <c r="AX82" s="213">
        <f t="shared" si="49"/>
        <v>2.4543904586603178E-2</v>
      </c>
      <c r="AY82" s="213">
        <f t="shared" si="49"/>
        <v>3.7014024297708101E-2</v>
      </c>
      <c r="AZ82" s="213">
        <f t="shared" si="49"/>
        <v>7.4990776582276028E-2</v>
      </c>
      <c r="BA82" s="213">
        <f t="shared" si="49"/>
        <v>9.0080624814904017E-2</v>
      </c>
      <c r="BB82" s="213">
        <f t="shared" si="49"/>
        <v>0.1834304860350543</v>
      </c>
      <c r="BC82" s="213">
        <f t="shared" si="49"/>
        <v>0.14505241942746389</v>
      </c>
      <c r="BD82" s="213">
        <f t="shared" si="49"/>
        <v>0.23496825570050367</v>
      </c>
      <c r="BE82" s="213">
        <f t="shared" si="49"/>
        <v>0.17648785889732291</v>
      </c>
      <c r="BF82" s="213">
        <f t="shared" si="49"/>
        <v>6.0699689047568624E-2</v>
      </c>
      <c r="BG82" s="213">
        <f t="shared" si="49"/>
        <v>0.12254337168588664</v>
      </c>
      <c r="BH82" s="213">
        <f t="shared" si="49"/>
        <v>4.926210833552673E-2</v>
      </c>
      <c r="BI82" s="213">
        <f t="shared" si="49"/>
        <v>8.1704566531175665E-3</v>
      </c>
      <c r="BJ82" s="213">
        <f t="shared" si="49"/>
        <v>7.7220454033274086E-2</v>
      </c>
      <c r="BK82" s="213">
        <f t="shared" si="49"/>
        <v>9.976838279811491E-2</v>
      </c>
      <c r="BL82" s="213">
        <f t="shared" si="49"/>
        <v>0.23399438615982346</v>
      </c>
      <c r="BM82" s="213">
        <f t="shared" si="49"/>
        <v>0.16602402095016847</v>
      </c>
      <c r="BN82" s="213">
        <f t="shared" si="49"/>
        <v>9.608433635981628E-2</v>
      </c>
      <c r="BO82" s="213">
        <f t="shared" si="49"/>
        <v>-7.4286320232904074E-2</v>
      </c>
      <c r="BP82" s="213">
        <f t="shared" si="49"/>
        <v>-0.19323625012382256</v>
      </c>
      <c r="BQ82" s="213">
        <f t="shared" si="49"/>
        <v>0.13034514527972388</v>
      </c>
      <c r="BR82" s="213">
        <f t="shared" si="49"/>
        <v>0.34151928004860438</v>
      </c>
      <c r="BS82" s="213">
        <f t="shared" si="49"/>
        <v>8.0805881312647154E-2</v>
      </c>
    </row>
    <row r="83" spans="1:71" s="181" customFormat="1" x14ac:dyDescent="0.35">
      <c r="A83" s="261">
        <f>AVERAGE(H83:BS83)</f>
        <v>8.4926831633062416E-2</v>
      </c>
      <c r="B83" s="141" t="s">
        <v>587</v>
      </c>
      <c r="C83" s="257" t="s">
        <v>620</v>
      </c>
      <c r="D83" s="257" t="s">
        <v>605</v>
      </c>
      <c r="E83" s="80"/>
      <c r="F83" s="80"/>
      <c r="G83" s="288"/>
      <c r="H83" s="213">
        <f>H79/G73</f>
        <v>0.34129746161167102</v>
      </c>
      <c r="I83" s="213">
        <f t="shared" ref="I83:BS83" si="50">I79/H73</f>
        <v>-0.13003345730202254</v>
      </c>
      <c r="J83" s="213">
        <f t="shared" si="50"/>
        <v>0.40043155085350918</v>
      </c>
      <c r="K83" s="213">
        <f t="shared" si="50"/>
        <v>8.4892712680578408E-2</v>
      </c>
      <c r="L83" s="213">
        <f t="shared" si="50"/>
        <v>-0.10417077200760254</v>
      </c>
      <c r="M83" s="213">
        <f t="shared" si="50"/>
        <v>1.1677702125176218E-2</v>
      </c>
      <c r="N83" s="213">
        <f t="shared" si="50"/>
        <v>-1.6937480386345731E-2</v>
      </c>
      <c r="O83" s="213">
        <f t="shared" si="50"/>
        <v>0.43060746087565976</v>
      </c>
      <c r="P83" s="213">
        <f t="shared" si="50"/>
        <v>-0.1468235494679134</v>
      </c>
      <c r="Q83" s="213">
        <f t="shared" si="50"/>
        <v>-6.5712657820202802E-2</v>
      </c>
      <c r="R83" s="213">
        <f t="shared" si="50"/>
        <v>-0.10926808926736352</v>
      </c>
      <c r="S83" s="213">
        <f t="shared" si="50"/>
        <v>0.34671061060199843</v>
      </c>
      <c r="T83" s="213">
        <f t="shared" si="50"/>
        <v>-2.4459527580788475E-2</v>
      </c>
      <c r="U83" s="213">
        <f t="shared" si="50"/>
        <v>5.2849464283736471E-2</v>
      </c>
      <c r="V83" s="213">
        <f t="shared" si="50"/>
        <v>0.24959354886285895</v>
      </c>
      <c r="W83" s="213">
        <f t="shared" si="50"/>
        <v>0.17368463421612731</v>
      </c>
      <c r="X83" s="213">
        <f t="shared" si="50"/>
        <v>0.18980178246910548</v>
      </c>
      <c r="Y83" s="213">
        <f t="shared" si="50"/>
        <v>0.25849604615469496</v>
      </c>
      <c r="Z83" s="213">
        <f t="shared" si="50"/>
        <v>0.13755275198450667</v>
      </c>
      <c r="AA83" s="213">
        <f t="shared" si="50"/>
        <v>-2.9987283574751496E-2</v>
      </c>
      <c r="AB83" s="213">
        <f t="shared" si="50"/>
        <v>8.8926138864904108E-2</v>
      </c>
      <c r="AC83" s="213">
        <f t="shared" si="50"/>
        <v>-5.9871874996509374E-2</v>
      </c>
      <c r="AD83" s="213">
        <f t="shared" si="50"/>
        <v>-0.16698647963197411</v>
      </c>
      <c r="AE83" s="213">
        <f t="shared" si="50"/>
        <v>0.1405523559130199</v>
      </c>
      <c r="AF83" s="213">
        <f t="shared" si="50"/>
        <v>0.16237559238421603</v>
      </c>
      <c r="AG83" s="213">
        <f t="shared" si="50"/>
        <v>8.2791734696292973E-2</v>
      </c>
      <c r="AH83" s="213">
        <f t="shared" si="50"/>
        <v>-0.1398393243311935</v>
      </c>
      <c r="AI83" s="213">
        <f t="shared" si="50"/>
        <v>8.3724388101510769E-2</v>
      </c>
      <c r="AJ83" s="213">
        <f t="shared" si="50"/>
        <v>0.17299058176008217</v>
      </c>
      <c r="AK83" s="213">
        <f t="shared" si="50"/>
        <v>0.15560351208530396</v>
      </c>
      <c r="AL83" s="213">
        <f t="shared" si="50"/>
        <v>0.11349252181021038</v>
      </c>
      <c r="AM83" s="213">
        <f t="shared" si="50"/>
        <v>-4.2733674296207551E-2</v>
      </c>
      <c r="AN83" s="213">
        <f t="shared" si="50"/>
        <v>-0.103696642507401</v>
      </c>
      <c r="AO83" s="213">
        <f t="shared" si="50"/>
        <v>7.3592596106842795E-2</v>
      </c>
      <c r="AP83" s="213">
        <f t="shared" si="50"/>
        <v>-5.5817467480335579E-2</v>
      </c>
      <c r="AQ83" s="213">
        <f t="shared" si="50"/>
        <v>0.20164695581012079</v>
      </c>
      <c r="AR83" s="213">
        <f t="shared" si="50"/>
        <v>0.22361451287486117</v>
      </c>
      <c r="AS83" s="213">
        <f t="shared" si="50"/>
        <v>7.6256076218740504E-2</v>
      </c>
      <c r="AT83" s="213">
        <f t="shared" si="50"/>
        <v>-1.6580004678153903E-2</v>
      </c>
      <c r="AU83" s="213">
        <f t="shared" si="50"/>
        <v>0.14426096219213994</v>
      </c>
      <c r="AV83" s="213">
        <f t="shared" si="50"/>
        <v>0.13829273960953406</v>
      </c>
      <c r="AW83" s="213">
        <f t="shared" si="50"/>
        <v>-5.3960959414383787E-3</v>
      </c>
      <c r="AX83" s="213">
        <f t="shared" si="50"/>
        <v>2.2350645725309308E-2</v>
      </c>
      <c r="AY83" s="213">
        <f t="shared" si="50"/>
        <v>6.3416420959959224E-2</v>
      </c>
      <c r="AZ83" s="213">
        <f t="shared" si="50"/>
        <v>0.12535928385674114</v>
      </c>
      <c r="BA83" s="213">
        <f t="shared" si="50"/>
        <v>0.12543201926968733</v>
      </c>
      <c r="BB83" s="213">
        <f t="shared" si="50"/>
        <v>0.19231627810850338</v>
      </c>
      <c r="BC83" s="213">
        <f t="shared" si="50"/>
        <v>0.16808545911210554</v>
      </c>
      <c r="BD83" s="213">
        <f t="shared" si="50"/>
        <v>0.18545162094671924</v>
      </c>
      <c r="BE83" s="213">
        <f t="shared" si="50"/>
        <v>0.18409659262224404</v>
      </c>
      <c r="BF83" s="213">
        <f t="shared" si="50"/>
        <v>5.1045063440246126E-3</v>
      </c>
      <c r="BG83" s="213">
        <f t="shared" si="50"/>
        <v>0.10660968736549342</v>
      </c>
      <c r="BH83" s="213">
        <f t="shared" si="50"/>
        <v>-3.2652472296094965E-3</v>
      </c>
      <c r="BI83" s="213">
        <f t="shared" si="50"/>
        <v>-9.7739931485343948E-3</v>
      </c>
      <c r="BJ83" s="213">
        <f t="shared" si="50"/>
        <v>0.13135460983773486</v>
      </c>
      <c r="BK83" s="213">
        <f t="shared" si="50"/>
        <v>0.13550186269688771</v>
      </c>
      <c r="BL83" s="213">
        <f t="shared" si="50"/>
        <v>0.27322865757583392</v>
      </c>
      <c r="BM83" s="213">
        <f t="shared" si="50"/>
        <v>0.1766808375462107</v>
      </c>
      <c r="BN83" s="213">
        <f t="shared" si="50"/>
        <v>0.11153485180482416</v>
      </c>
      <c r="BO83" s="213">
        <f t="shared" si="50"/>
        <v>-0.14834280638713501</v>
      </c>
      <c r="BP83" s="213">
        <f t="shared" si="50"/>
        <v>-0.23529283657078345</v>
      </c>
      <c r="BQ83" s="213">
        <f t="shared" si="50"/>
        <v>0.13502601028179961</v>
      </c>
      <c r="BR83" s="213">
        <f t="shared" si="50"/>
        <v>0.30415470413839835</v>
      </c>
      <c r="BS83" s="213">
        <f t="shared" si="50"/>
        <v>6.8886045782383429E-2</v>
      </c>
    </row>
    <row r="84" spans="1:71" x14ac:dyDescent="0.35">
      <c r="B84" s="261"/>
      <c r="C84" s="257"/>
      <c r="D84" s="133"/>
      <c r="E84" s="54"/>
      <c r="F84" s="54"/>
      <c r="G84" s="25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row>
    <row r="85" spans="1:71" x14ac:dyDescent="0.35">
      <c r="B85" s="261"/>
      <c r="C85" s="257"/>
      <c r="D85" s="133"/>
      <c r="E85" s="54"/>
      <c r="F85" s="54"/>
      <c r="G85" s="25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row>
    <row r="86" spans="1:71" ht="27.65" customHeight="1" x14ac:dyDescent="0.35">
      <c r="B86" s="328" t="s">
        <v>625</v>
      </c>
      <c r="C86" s="309" t="s">
        <v>626</v>
      </c>
      <c r="D86" s="310" t="s">
        <v>627</v>
      </c>
      <c r="E86" s="311"/>
      <c r="F86" s="312" t="s">
        <v>630</v>
      </c>
      <c r="G86" s="313"/>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row>
    <row r="87" spans="1:71" x14ac:dyDescent="0.35">
      <c r="B87" s="329" t="s">
        <v>629</v>
      </c>
      <c r="C87" s="314">
        <f>A71</f>
        <v>0.13447268143931551</v>
      </c>
      <c r="D87" s="315">
        <f>STDEV(H71:BS71)</f>
        <v>0.12817295159225706</v>
      </c>
      <c r="E87" s="316"/>
      <c r="F87" s="317">
        <f>D87/C87</f>
        <v>0.95315234455333309</v>
      </c>
      <c r="G87" s="3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row>
    <row r="88" spans="1:71" ht="15" thickBot="1" x14ac:dyDescent="0.4">
      <c r="B88" s="330" t="s">
        <v>628</v>
      </c>
      <c r="C88" s="319">
        <f>A72</f>
        <v>0.13618538826416948</v>
      </c>
      <c r="D88" s="320">
        <f>STDEV(H72:BS72)</f>
        <v>0.15803971271295214</v>
      </c>
      <c r="E88" s="321"/>
      <c r="F88" s="322">
        <f>D88/C88</f>
        <v>1.1604748110450007</v>
      </c>
      <c r="G88" s="30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row>
    <row r="89" spans="1:71" ht="12" customHeight="1" x14ac:dyDescent="0.35">
      <c r="B89" s="331" t="s">
        <v>631</v>
      </c>
      <c r="C89" s="323">
        <f>A82</f>
        <v>9.5010927393296599E-2</v>
      </c>
      <c r="D89" s="324">
        <f>STDEV(H82:BS82)</f>
        <v>0.13207153167211741</v>
      </c>
      <c r="E89" s="325"/>
      <c r="F89" s="326">
        <f t="shared" ref="F89:F90" si="51">D89/C89</f>
        <v>1.3900667564837976</v>
      </c>
      <c r="G89" s="327"/>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row>
    <row r="90" spans="1:71" x14ac:dyDescent="0.35">
      <c r="B90" s="332" t="s">
        <v>632</v>
      </c>
      <c r="C90" s="314">
        <f>A83</f>
        <v>8.4926831633062416E-2</v>
      </c>
      <c r="D90" s="315">
        <f>STDEV(H83:BS83)</f>
        <v>0.14276838511183831</v>
      </c>
      <c r="E90" s="311"/>
      <c r="F90" s="317">
        <f t="shared" si="51"/>
        <v>1.6810751368741503</v>
      </c>
      <c r="G90" s="3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row>
    <row r="91" spans="1:71" x14ac:dyDescent="0.35">
      <c r="B91" s="261"/>
      <c r="C91" s="257"/>
      <c r="D91" s="133"/>
      <c r="E91" s="54"/>
      <c r="F91" s="54"/>
      <c r="G91" s="25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row>
    <row r="92" spans="1:71" x14ac:dyDescent="0.35">
      <c r="B92" s="261"/>
      <c r="C92" s="257"/>
      <c r="D92" s="133"/>
      <c r="E92" s="54"/>
      <c r="F92" s="54"/>
      <c r="G92" s="25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row>
    <row r="93" spans="1:71" x14ac:dyDescent="0.35">
      <c r="B93" s="261"/>
      <c r="C93" s="257"/>
      <c r="D93" s="133"/>
      <c r="E93" s="54"/>
      <c r="F93" s="54"/>
      <c r="G93" s="25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row>
    <row r="94" spans="1:71" x14ac:dyDescent="0.35">
      <c r="B94" s="21"/>
      <c r="D94" s="133"/>
      <c r="E94" s="54"/>
      <c r="F94" s="54"/>
      <c r="G94" s="118"/>
      <c r="H94" s="25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row>
    <row r="95" spans="1:71" x14ac:dyDescent="0.35">
      <c r="B95" s="134" t="s">
        <v>429</v>
      </c>
      <c r="C95" s="135"/>
      <c r="D95" s="136"/>
      <c r="E95" s="136"/>
      <c r="F95" s="256"/>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row>
    <row r="96" spans="1:71" s="54" customFormat="1" ht="12" x14ac:dyDescent="0.3">
      <c r="B96" s="137" t="s">
        <v>336</v>
      </c>
      <c r="C96" s="138" t="s">
        <v>581</v>
      </c>
      <c r="D96" s="138" t="s">
        <v>338</v>
      </c>
      <c r="E96" s="138" t="s">
        <v>337</v>
      </c>
      <c r="F96" s="298"/>
      <c r="G96" s="94"/>
    </row>
    <row r="97" spans="2:71" ht="24.65" customHeight="1" x14ac:dyDescent="0.35">
      <c r="B97" s="364" t="s">
        <v>572</v>
      </c>
      <c r="C97" s="217">
        <f>D104</f>
        <v>-1.5880357715507904E-2</v>
      </c>
      <c r="D97" s="217">
        <f>D105</f>
        <v>-6.20664916181518E-3</v>
      </c>
      <c r="E97" s="217">
        <f>D106</f>
        <v>-2.2020676374855122E-2</v>
      </c>
      <c r="F97" s="299"/>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row>
    <row r="98" spans="2:71" s="54" customFormat="1" ht="23.4" customHeight="1" x14ac:dyDescent="0.3">
      <c r="B98" s="139" t="s">
        <v>580</v>
      </c>
      <c r="C98" s="140">
        <f>D111</f>
        <v>-1.1756995460990736E-2</v>
      </c>
      <c r="D98" s="140">
        <f>D112</f>
        <v>-3.7536276538539651E-2</v>
      </c>
      <c r="E98" s="140">
        <f>D113</f>
        <v>-3.7064411607507654E-2</v>
      </c>
      <c r="F98" s="281"/>
      <c r="G98" s="214"/>
      <c r="H98" s="94"/>
      <c r="I98" s="94"/>
      <c r="BC98" s="94"/>
      <c r="BD98" s="94"/>
      <c r="BE98" s="94"/>
      <c r="BF98" s="94"/>
      <c r="BG98" s="94"/>
      <c r="BH98" s="94"/>
      <c r="BI98" s="94"/>
      <c r="BJ98" s="94"/>
      <c r="BK98" s="94"/>
      <c r="BL98" s="94"/>
      <c r="BM98" s="94"/>
      <c r="BN98" s="94"/>
      <c r="BO98" s="94"/>
      <c r="BP98" s="94"/>
      <c r="BQ98" s="94"/>
      <c r="BR98" s="94"/>
      <c r="BS98" s="94"/>
    </row>
    <row r="99" spans="2:71" ht="30.65" customHeight="1" x14ac:dyDescent="0.35">
      <c r="B99" s="137" t="s">
        <v>339</v>
      </c>
      <c r="C99" s="138" t="s">
        <v>581</v>
      </c>
      <c r="D99" s="138" t="s">
        <v>338</v>
      </c>
      <c r="E99" s="138" t="s">
        <v>337</v>
      </c>
      <c r="F99" s="298"/>
      <c r="G99" s="54"/>
      <c r="H99" s="94"/>
      <c r="I99" s="94"/>
      <c r="J99" s="141"/>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row>
    <row r="100" spans="2:71" ht="26.4" customHeight="1" x14ac:dyDescent="0.35">
      <c r="B100" s="216" t="s">
        <v>572</v>
      </c>
      <c r="C100" s="217">
        <f>E104</f>
        <v>-1.1181546211689437E-2</v>
      </c>
      <c r="D100" s="217">
        <f>E105</f>
        <v>7.7712808215292632E-3</v>
      </c>
      <c r="E100" s="217">
        <f>E106</f>
        <v>-3.4604248946454724E-3</v>
      </c>
      <c r="F100" s="299"/>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row>
    <row r="101" spans="2:71" ht="25.75" customHeight="1" x14ac:dyDescent="0.35">
      <c r="B101" s="139" t="s">
        <v>580</v>
      </c>
      <c r="C101" s="140">
        <f>E111</f>
        <v>-5.0694334280244674E-4</v>
      </c>
      <c r="D101" s="140">
        <f>E112</f>
        <v>2.3770311488271845E-2</v>
      </c>
      <c r="E101" s="140">
        <f>E113</f>
        <v>1.0544862882365114E-2</v>
      </c>
      <c r="F101" s="281"/>
      <c r="G101" s="5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row>
    <row r="102" spans="2:71" s="181" customFormat="1" x14ac:dyDescent="0.35">
      <c r="B102" s="279"/>
      <c r="C102" s="280"/>
      <c r="D102" s="280"/>
      <c r="E102" s="281"/>
      <c r="F102" s="28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1"/>
      <c r="AE102" s="141"/>
      <c r="AF102" s="141"/>
      <c r="AG102" s="141"/>
      <c r="AH102" s="141"/>
      <c r="AI102" s="141"/>
      <c r="AJ102" s="14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1"/>
      <c r="BN102" s="141"/>
      <c r="BO102" s="141"/>
      <c r="BP102" s="141"/>
      <c r="BQ102" s="141"/>
      <c r="BR102" s="141"/>
      <c r="BS102" s="141"/>
    </row>
    <row r="103" spans="2:71" x14ac:dyDescent="0.35">
      <c r="B103" s="142" t="s">
        <v>573</v>
      </c>
      <c r="C103" s="141"/>
      <c r="D103" s="286" t="s">
        <v>574</v>
      </c>
      <c r="E103" s="143" t="s">
        <v>428</v>
      </c>
      <c r="F103" s="143"/>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row>
    <row r="104" spans="2:71" s="2" customFormat="1" ht="30" customHeight="1" x14ac:dyDescent="0.35">
      <c r="B104" s="343" t="s">
        <v>572</v>
      </c>
      <c r="C104" s="144" t="s">
        <v>571</v>
      </c>
      <c r="D104" s="340">
        <f>AVERAGE(H104:AP104)</f>
        <v>-1.5880357715507904E-2</v>
      </c>
      <c r="E104" s="105">
        <f>AVERAGE(AP104:BS104)</f>
        <v>-1.1181546211689437E-2</v>
      </c>
      <c r="F104" s="105"/>
      <c r="G104" s="144"/>
      <c r="H104" s="341">
        <f t="shared" ref="H104:AM104" si="52">(H53-G53)/G53</f>
        <v>-2.798361112438072E-2</v>
      </c>
      <c r="I104" s="341">
        <f t="shared" si="52"/>
        <v>-8.1801616818111031E-2</v>
      </c>
      <c r="J104" s="341">
        <f t="shared" si="52"/>
        <v>8.2603964275875755E-2</v>
      </c>
      <c r="K104" s="341">
        <f t="shared" si="52"/>
        <v>-6.0348444742323377E-2</v>
      </c>
      <c r="L104" s="341">
        <f t="shared" si="52"/>
        <v>-5.0682083951163269E-2</v>
      </c>
      <c r="M104" s="341">
        <f t="shared" si="52"/>
        <v>-2.1753721173652305E-2</v>
      </c>
      <c r="N104" s="341">
        <f t="shared" si="52"/>
        <v>-2.819410846644407E-2</v>
      </c>
      <c r="O104" s="341">
        <f t="shared" si="52"/>
        <v>5.4717297603022963E-2</v>
      </c>
      <c r="P104" s="341">
        <f t="shared" si="52"/>
        <v>-1.2447332958597212E-2</v>
      </c>
      <c r="Q104" s="341">
        <f t="shared" si="52"/>
        <v>-4.5406134341162016E-2</v>
      </c>
      <c r="R104" s="341">
        <f t="shared" si="52"/>
        <v>-4.8970624709856032E-2</v>
      </c>
      <c r="S104" s="341">
        <f t="shared" si="52"/>
        <v>7.1309691331701459E-3</v>
      </c>
      <c r="T104" s="341">
        <f t="shared" si="52"/>
        <v>-4.1532693716373657E-2</v>
      </c>
      <c r="U104" s="341">
        <f t="shared" si="52"/>
        <v>-9.2426375100973391E-3</v>
      </c>
      <c r="V104" s="341">
        <f t="shared" si="52"/>
        <v>-1.2899759198544298E-2</v>
      </c>
      <c r="W104" s="341">
        <f t="shared" si="52"/>
        <v>-1.7455979841995536E-2</v>
      </c>
      <c r="X104" s="341">
        <f t="shared" si="52"/>
        <v>3.2847278214737108E-4</v>
      </c>
      <c r="Y104" s="341">
        <f t="shared" si="52"/>
        <v>-9.7881760863790784E-3</v>
      </c>
      <c r="Z104" s="341">
        <f t="shared" si="52"/>
        <v>-1.0588351805361671E-2</v>
      </c>
      <c r="AA104" s="341">
        <f t="shared" si="52"/>
        <v>-2.3742637643616053E-2</v>
      </c>
      <c r="AB104" s="341">
        <f t="shared" si="52"/>
        <v>-2.6971693288845859E-3</v>
      </c>
      <c r="AC104" s="341">
        <f t="shared" si="52"/>
        <v>-1.2225264254011957E-2</v>
      </c>
      <c r="AD104" s="341">
        <f t="shared" si="52"/>
        <v>-1.2932422993075399E-2</v>
      </c>
      <c r="AE104" s="341">
        <f t="shared" si="52"/>
        <v>-1.0907236828034655E-2</v>
      </c>
      <c r="AF104" s="341">
        <f t="shared" si="52"/>
        <v>-2.2945202866925526E-2</v>
      </c>
      <c r="AG104" s="341">
        <f t="shared" si="52"/>
        <v>1.7500278611006604E-2</v>
      </c>
      <c r="AH104" s="341">
        <f t="shared" si="52"/>
        <v>6.6832085855957804E-2</v>
      </c>
      <c r="AI104" s="341">
        <f t="shared" si="52"/>
        <v>-9.7016565286858564E-2</v>
      </c>
      <c r="AJ104" s="341">
        <f t="shared" si="52"/>
        <v>-1.5412085799751769E-2</v>
      </c>
      <c r="AK104" s="341">
        <f t="shared" si="52"/>
        <v>-7.1172529591031868E-3</v>
      </c>
      <c r="AL104" s="341">
        <f t="shared" si="52"/>
        <v>4.8463006562582756E-3</v>
      </c>
      <c r="AM104" s="341">
        <f t="shared" si="52"/>
        <v>4.5597837320236707E-4</v>
      </c>
      <c r="AN104" s="341">
        <f t="shared" ref="AN104:BS104" si="53">(AN53-AM53)/AM53</f>
        <v>-1.3140959354351825E-2</v>
      </c>
      <c r="AO104" s="341">
        <f t="shared" si="53"/>
        <v>-2.7294910138018293E-2</v>
      </c>
      <c r="AP104" s="341">
        <f t="shared" si="53"/>
        <v>-6.5700883436344573E-2</v>
      </c>
      <c r="AQ104" s="341">
        <f t="shared" si="53"/>
        <v>-3.3708210640790152E-2</v>
      </c>
      <c r="AR104" s="341">
        <f t="shared" si="53"/>
        <v>5.7530617653707185E-3</v>
      </c>
      <c r="AS104" s="341">
        <f t="shared" si="53"/>
        <v>-1.4242669212989195E-2</v>
      </c>
      <c r="AT104" s="341">
        <f t="shared" si="53"/>
        <v>-1.528225941242488E-2</v>
      </c>
      <c r="AU104" s="341">
        <f t="shared" si="53"/>
        <v>4.0394497036765569E-4</v>
      </c>
      <c r="AV104" s="341">
        <f t="shared" si="53"/>
        <v>-9.6712427578395099E-3</v>
      </c>
      <c r="AW104" s="341">
        <f t="shared" si="53"/>
        <v>-8.1801900637190131E-3</v>
      </c>
      <c r="AX104" s="341">
        <f t="shared" si="53"/>
        <v>-1.0220979515647996E-2</v>
      </c>
      <c r="AY104" s="341">
        <f t="shared" si="53"/>
        <v>-2.8782338545454873E-2</v>
      </c>
      <c r="AZ104" s="341">
        <f t="shared" si="53"/>
        <v>1.04905745913043E-3</v>
      </c>
      <c r="BA104" s="341">
        <f t="shared" si="53"/>
        <v>-7.0037830210836196E-4</v>
      </c>
      <c r="BB104" s="341">
        <f t="shared" si="53"/>
        <v>-1.0968939043936336E-2</v>
      </c>
      <c r="BC104" s="341">
        <f t="shared" si="53"/>
        <v>-2.0896294548100304E-2</v>
      </c>
      <c r="BD104" s="341">
        <f t="shared" si="53"/>
        <v>-7.7967111133185347E-3</v>
      </c>
      <c r="BE104" s="341">
        <f t="shared" si="53"/>
        <v>-9.5111837323067945E-3</v>
      </c>
      <c r="BF104" s="341">
        <f t="shared" si="53"/>
        <v>-2.0473468680301414E-2</v>
      </c>
      <c r="BG104" s="341">
        <f t="shared" si="53"/>
        <v>-6.0657379698622798E-3</v>
      </c>
      <c r="BH104" s="341">
        <f t="shared" si="53"/>
        <v>-1.3009570479436332E-3</v>
      </c>
      <c r="BI104" s="341">
        <f t="shared" si="53"/>
        <v>-2.4450909395873754E-2</v>
      </c>
      <c r="BJ104" s="341">
        <f t="shared" si="53"/>
        <v>-1.4470848310578922E-2</v>
      </c>
      <c r="BK104" s="341">
        <f t="shared" si="53"/>
        <v>-1.5339948832898756E-2</v>
      </c>
      <c r="BL104" s="341">
        <f t="shared" si="53"/>
        <v>3.7780197963773646E-2</v>
      </c>
      <c r="BM104" s="341">
        <f t="shared" si="53"/>
        <v>-3.8980829740723126E-3</v>
      </c>
      <c r="BN104" s="341">
        <f t="shared" si="53"/>
        <v>-2.0495898959589986E-2</v>
      </c>
      <c r="BO104" s="341">
        <f t="shared" si="53"/>
        <v>-2.8268703149709914E-2</v>
      </c>
      <c r="BP104" s="341">
        <f t="shared" si="53"/>
        <v>-1.3463618710302777E-2</v>
      </c>
      <c r="BQ104" s="341">
        <f t="shared" si="53"/>
        <v>-6.0547600856291801E-2</v>
      </c>
      <c r="BR104" s="341">
        <f t="shared" si="53"/>
        <v>5.6975391162832026E-2</v>
      </c>
      <c r="BS104" s="341">
        <f t="shared" si="53"/>
        <v>7.0300155402484845E-3</v>
      </c>
    </row>
    <row r="105" spans="2:71" s="363" customFormat="1" x14ac:dyDescent="0.35">
      <c r="B105" s="358"/>
      <c r="C105" s="358" t="s">
        <v>648</v>
      </c>
      <c r="D105" s="359">
        <f>AVERAGE(H105:AP105)</f>
        <v>-6.20664916181518E-3</v>
      </c>
      <c r="E105" s="360">
        <f>AVERAGE(AP105:BS105)</f>
        <v>7.7712808215292632E-3</v>
      </c>
      <c r="F105" s="360"/>
      <c r="G105" s="361"/>
      <c r="H105" s="362">
        <f>(H54-G54)/G54</f>
        <v>-5.4526266420993903E-4</v>
      </c>
      <c r="I105" s="362">
        <f t="shared" ref="I105:BS105" si="54">(I54-H54)/H54</f>
        <v>-1.3980339308403786E-3</v>
      </c>
      <c r="J105" s="362">
        <f t="shared" si="54"/>
        <v>-2.8158094587359024E-3</v>
      </c>
      <c r="K105" s="362">
        <f t="shared" si="54"/>
        <v>-4.846883364077321E-3</v>
      </c>
      <c r="L105" s="362">
        <f t="shared" si="54"/>
        <v>-6.6894207980881838E-3</v>
      </c>
      <c r="M105" s="362">
        <f t="shared" si="54"/>
        <v>-7.5284765187689498E-3</v>
      </c>
      <c r="N105" s="362">
        <f t="shared" si="54"/>
        <v>-7.4000152304443834E-3</v>
      </c>
      <c r="O105" s="362">
        <f t="shared" si="54"/>
        <v>-6.8028777007411115E-3</v>
      </c>
      <c r="P105" s="362">
        <f t="shared" si="54"/>
        <v>-6.2074693056357747E-3</v>
      </c>
      <c r="Q105" s="362">
        <f t="shared" si="54"/>
        <v>-4.8433797418542517E-3</v>
      </c>
      <c r="R105" s="362">
        <f t="shared" si="54"/>
        <v>-2.7329291178244458E-3</v>
      </c>
      <c r="S105" s="362">
        <f t="shared" si="54"/>
        <v>-2.2898308359249728E-4</v>
      </c>
      <c r="T105" s="362">
        <f t="shared" si="54"/>
        <v>1.7761874300142053E-3</v>
      </c>
      <c r="U105" s="362">
        <f t="shared" si="54"/>
        <v>3.3247008485088663E-3</v>
      </c>
      <c r="V105" s="362">
        <f t="shared" si="54"/>
        <v>3.9197789340020108E-3</v>
      </c>
      <c r="W105" s="362">
        <f t="shared" si="54"/>
        <v>3.066652434482133E-3</v>
      </c>
      <c r="X105" s="362">
        <f t="shared" si="54"/>
        <v>7.281209108008351E-4</v>
      </c>
      <c r="Y105" s="362">
        <f t="shared" si="54"/>
        <v>-2.8943365504697704E-3</v>
      </c>
      <c r="Z105" s="362">
        <f t="shared" si="54"/>
        <v>-7.4053616307700691E-3</v>
      </c>
      <c r="AA105" s="362">
        <f t="shared" si="54"/>
        <v>-1.1918330624764389E-2</v>
      </c>
      <c r="AB105" s="362">
        <f t="shared" si="54"/>
        <v>-1.5604919845130955E-2</v>
      </c>
      <c r="AC105" s="362">
        <f t="shared" si="54"/>
        <v>-1.8034781343020737E-2</v>
      </c>
      <c r="AD105" s="362">
        <f t="shared" si="54"/>
        <v>-1.8736023776378542E-2</v>
      </c>
      <c r="AE105" s="362">
        <f t="shared" si="54"/>
        <v>-1.7774508926092392E-2</v>
      </c>
      <c r="AF105" s="362">
        <f t="shared" si="54"/>
        <v>-1.6086487209232253E-2</v>
      </c>
      <c r="AG105" s="362">
        <f t="shared" si="54"/>
        <v>-1.4083469348433087E-2</v>
      </c>
      <c r="AH105" s="362">
        <f t="shared" si="54"/>
        <v>-1.1843864973925115E-2</v>
      </c>
      <c r="AI105" s="362">
        <f t="shared" si="54"/>
        <v>-9.4837374556133881E-3</v>
      </c>
      <c r="AJ105" s="362">
        <f t="shared" si="54"/>
        <v>-7.8834130907607988E-3</v>
      </c>
      <c r="AK105" s="362">
        <f t="shared" si="54"/>
        <v>-7.0261233177133404E-3</v>
      </c>
      <c r="AL105" s="362">
        <f t="shared" si="54"/>
        <v>-6.6320163808891268E-3</v>
      </c>
      <c r="AM105" s="362">
        <f t="shared" si="54"/>
        <v>-6.0935228220137597E-3</v>
      </c>
      <c r="AN105" s="362">
        <f t="shared" si="54"/>
        <v>-4.6771938432886564E-3</v>
      </c>
      <c r="AO105" s="362">
        <f t="shared" si="54"/>
        <v>-2.2429104903973329E-3</v>
      </c>
      <c r="AP105" s="362">
        <f t="shared" si="54"/>
        <v>4.123813223674883E-4</v>
      </c>
      <c r="AQ105" s="362">
        <f t="shared" si="54"/>
        <v>2.9596697236826935E-3</v>
      </c>
      <c r="AR105" s="362">
        <f t="shared" si="54"/>
        <v>4.5523139249694427E-3</v>
      </c>
      <c r="AS105" s="362">
        <f t="shared" si="54"/>
        <v>5.0438719797733398E-3</v>
      </c>
      <c r="AT105" s="362">
        <f t="shared" si="54"/>
        <v>5.138013397768911E-3</v>
      </c>
      <c r="AU105" s="362">
        <f t="shared" si="54"/>
        <v>5.3154820419791995E-3</v>
      </c>
      <c r="AV105" s="362">
        <f t="shared" si="54"/>
        <v>5.2892797441268001E-3</v>
      </c>
      <c r="AW105" s="362">
        <f t="shared" si="54"/>
        <v>5.0067810384160517E-3</v>
      </c>
      <c r="AX105" s="362">
        <f t="shared" si="54"/>
        <v>4.8678223029048314E-3</v>
      </c>
      <c r="AY105" s="362">
        <f t="shared" si="54"/>
        <v>5.1500221535886728E-3</v>
      </c>
      <c r="AZ105" s="362">
        <f t="shared" si="54"/>
        <v>5.7226763151132726E-3</v>
      </c>
      <c r="BA105" s="362">
        <f t="shared" si="54"/>
        <v>6.3444072328615311E-3</v>
      </c>
      <c r="BB105" s="362">
        <f t="shared" si="54"/>
        <v>6.5129217956564596E-3</v>
      </c>
      <c r="BC105" s="362">
        <f t="shared" si="54"/>
        <v>5.7205809881264924E-3</v>
      </c>
      <c r="BD105" s="362">
        <f t="shared" si="54"/>
        <v>3.9476011708298783E-3</v>
      </c>
      <c r="BE105" s="362">
        <f t="shared" si="54"/>
        <v>1.7147306920357955E-3</v>
      </c>
      <c r="BF105" s="362">
        <f t="shared" si="54"/>
        <v>-1.1468615260537237E-4</v>
      </c>
      <c r="BG105" s="362">
        <f t="shared" si="54"/>
        <v>-5.0972844370097698E-4</v>
      </c>
      <c r="BH105" s="362">
        <f t="shared" si="54"/>
        <v>7.1592591331335719E-4</v>
      </c>
      <c r="BI105" s="362">
        <f t="shared" si="54"/>
        <v>3.6079798385132283E-3</v>
      </c>
      <c r="BJ105" s="362">
        <f t="shared" si="54"/>
        <v>7.5009529772051328E-3</v>
      </c>
      <c r="BK105" s="362">
        <f t="shared" si="54"/>
        <v>1.1305540239191178E-2</v>
      </c>
      <c r="BL105" s="362">
        <f t="shared" si="54"/>
        <v>1.416648179041719E-2</v>
      </c>
      <c r="BM105" s="362">
        <f t="shared" si="54"/>
        <v>1.5470030868626408E-2</v>
      </c>
      <c r="BN105" s="362">
        <f t="shared" si="54"/>
        <v>1.5656896108227094E-2</v>
      </c>
      <c r="BO105" s="362">
        <f t="shared" si="54"/>
        <v>1.5728042292249774E-2</v>
      </c>
      <c r="BP105" s="362">
        <f t="shared" si="54"/>
        <v>1.6761768952660752E-2</v>
      </c>
      <c r="BQ105" s="362">
        <f t="shared" si="54"/>
        <v>1.8766370908871816E-2</v>
      </c>
      <c r="BR105" s="362">
        <f t="shared" si="54"/>
        <v>2.0122229837620843E-2</v>
      </c>
      <c r="BS105" s="362">
        <f t="shared" si="54"/>
        <v>2.0262063691086567E-2</v>
      </c>
    </row>
    <row r="106" spans="2:71" x14ac:dyDescent="0.35">
      <c r="C106" s="215" t="s">
        <v>570</v>
      </c>
      <c r="D106" s="145">
        <f>AVERAGE(H106:AP106)</f>
        <v>-2.2020676374855122E-2</v>
      </c>
      <c r="E106" s="102">
        <f>AVERAGE(AP106:BS106)</f>
        <v>-3.4604248946454724E-3</v>
      </c>
      <c r="F106" s="102"/>
      <c r="G106" s="94"/>
      <c r="H106" s="118">
        <f>(H55-G55)/G55</f>
        <v>-2.8513615370234766E-2</v>
      </c>
      <c r="I106" s="118">
        <f t="shared" ref="I106:AN106" si="55">(I55-H55)/H55</f>
        <v>-8.3085289313042113E-2</v>
      </c>
      <c r="J106" s="118">
        <f t="shared" si="55"/>
        <v>7.955555779320278E-2</v>
      </c>
      <c r="K106" s="118">
        <f t="shared" si="55"/>
        <v>-6.4902826233531288E-2</v>
      </c>
      <c r="L106" s="118">
        <f t="shared" si="55"/>
        <v>-5.7032470962778054E-2</v>
      </c>
      <c r="M106" s="118">
        <f t="shared" si="55"/>
        <v>-2.9118425313369486E-2</v>
      </c>
      <c r="N106" s="118">
        <f t="shared" si="55"/>
        <v>-3.5385486864828009E-2</v>
      </c>
      <c r="O106" s="118">
        <f t="shared" si="55"/>
        <v>4.7542184818573391E-2</v>
      </c>
      <c r="P106" s="118">
        <f t="shared" si="55"/>
        <v>-1.8577535826955489E-2</v>
      </c>
      <c r="Q106" s="118">
        <f t="shared" si="55"/>
        <v>-5.0029594931792272E-2</v>
      </c>
      <c r="R106" s="118">
        <f t="shared" si="55"/>
        <v>-5.1569720581492909E-2</v>
      </c>
      <c r="S106" s="118">
        <f t="shared" si="55"/>
        <v>6.9003531782765503E-3</v>
      </c>
      <c r="T106" s="118">
        <f t="shared" si="55"/>
        <v>-3.9830276134873131E-2</v>
      </c>
      <c r="U106" s="118">
        <f t="shared" si="55"/>
        <v>-5.9486656663608134E-3</v>
      </c>
      <c r="V106" s="118">
        <f t="shared" si="55"/>
        <v>-9.0305444689024496E-3</v>
      </c>
      <c r="W106" s="118">
        <f t="shared" si="55"/>
        <v>-1.4442858830592086E-2</v>
      </c>
      <c r="X106" s="118">
        <f t="shared" si="55"/>
        <v>1.0568328608494728E-3</v>
      </c>
      <c r="Y106" s="118">
        <f t="shared" si="55"/>
        <v>-1.2654182361039571E-2</v>
      </c>
      <c r="Z106" s="118">
        <f t="shared" si="55"/>
        <v>-1.7915302861939233E-2</v>
      </c>
      <c r="AA106" s="118">
        <f t="shared" si="55"/>
        <v>-3.5377995663039771E-2</v>
      </c>
      <c r="AB106" s="118">
        <f t="shared" si="55"/>
        <v>-1.8260000062829559E-2</v>
      </c>
      <c r="AC106" s="118">
        <f t="shared" si="55"/>
        <v>-3.0039565629350999E-2</v>
      </c>
      <c r="AD106" s="118">
        <f t="shared" si="55"/>
        <v>-3.1426144584769486E-2</v>
      </c>
      <c r="AE106" s="118">
        <f t="shared" si="55"/>
        <v>-2.8487874975768102E-2</v>
      </c>
      <c r="AF106" s="118">
        <f t="shared" si="55"/>
        <v>-3.8662582363725766E-2</v>
      </c>
      <c r="AG106" s="118">
        <f t="shared" si="55"/>
        <v>3.1703446251663122E-3</v>
      </c>
      <c r="AH106" s="118">
        <f t="shared" si="55"/>
        <v>5.4196670681228958E-2</v>
      </c>
      <c r="AI106" s="118">
        <f t="shared" si="55"/>
        <v>-0.10558022310844595</v>
      </c>
      <c r="AJ106" s="118">
        <f t="shared" si="55"/>
        <v>-2.3173999051562841E-2</v>
      </c>
      <c r="AK106" s="118">
        <f t="shared" si="55"/>
        <v>-1.4093369579842493E-2</v>
      </c>
      <c r="AL106" s="118">
        <f t="shared" si="55"/>
        <v>-1.8178564699699892E-3</v>
      </c>
      <c r="AM106" s="118">
        <f t="shared" si="55"/>
        <v>-5.6403229634347631E-3</v>
      </c>
      <c r="AN106" s="118">
        <f t="shared" si="55"/>
        <v>-1.7756690383453417E-2</v>
      </c>
      <c r="AO106" s="118">
        <f t="shared" ref="AO106:BS106" si="56">(AO55-AN55)/AN55</f>
        <v>-2.9476600588132611E-2</v>
      </c>
      <c r="AP106" s="118">
        <f t="shared" si="56"/>
        <v>-6.5315595931169229E-2</v>
      </c>
      <c r="AQ106" s="118">
        <f t="shared" si="56"/>
        <v>-3.0848306087580622E-2</v>
      </c>
      <c r="AR106" s="118">
        <f t="shared" si="56"/>
        <v>1.0331565433525982E-2</v>
      </c>
      <c r="AS106" s="118">
        <f t="shared" si="56"/>
        <v>-9.270635433376485E-3</v>
      </c>
      <c r="AT106" s="118">
        <f t="shared" si="56"/>
        <v>-1.0222766468265192E-2</v>
      </c>
      <c r="AU106" s="118">
        <f t="shared" si="56"/>
        <v>5.7215741745827381E-3</v>
      </c>
      <c r="AV106" s="118">
        <f t="shared" si="56"/>
        <v>-4.4331169221322976E-3</v>
      </c>
      <c r="AW106" s="118">
        <f t="shared" si="56"/>
        <v>-3.2143654458046478E-3</v>
      </c>
      <c r="AX106" s="118">
        <f t="shared" si="56"/>
        <v>-5.4029111247869497E-3</v>
      </c>
      <c r="AY106" s="118">
        <f t="shared" si="56"/>
        <v>-2.3780546073007273E-2</v>
      </c>
      <c r="AZ106" s="118">
        <f t="shared" si="56"/>
        <v>6.7777371905181714E-3</v>
      </c>
      <c r="BA106" s="118">
        <f t="shared" si="56"/>
        <v>5.6395854455875121E-3</v>
      </c>
      <c r="BB106" s="118">
        <f t="shared" si="56"/>
        <v>-4.5274570904543501E-3</v>
      </c>
      <c r="BC106" s="118">
        <f t="shared" si="56"/>
        <v>-1.5295252505287975E-2</v>
      </c>
      <c r="BD106" s="118">
        <f t="shared" si="56"/>
        <v>-3.8798882484081779E-3</v>
      </c>
      <c r="BE106" s="118">
        <f t="shared" si="56"/>
        <v>-7.8127621589343665E-3</v>
      </c>
      <c r="BF106" s="118">
        <f t="shared" si="56"/>
        <v>-2.0585806809553409E-2</v>
      </c>
      <c r="BG106" s="118">
        <f t="shared" si="56"/>
        <v>-6.5723745343879364E-3</v>
      </c>
      <c r="BH106" s="118">
        <f t="shared" si="56"/>
        <v>-5.859625234930152E-4</v>
      </c>
      <c r="BI106" s="118">
        <f t="shared" si="56"/>
        <v>-2.0931147945494215E-2</v>
      </c>
      <c r="BJ106" s="118">
        <f t="shared" si="56"/>
        <v>-7.0784404860917199E-3</v>
      </c>
      <c r="BK106" s="118">
        <f t="shared" si="56"/>
        <v>-4.2078350025050015E-3</v>
      </c>
      <c r="BL106" s="118">
        <f t="shared" si="56"/>
        <v>5.2481892240683031E-2</v>
      </c>
      <c r="BM106" s="118">
        <f t="shared" si="56"/>
        <v>1.1511644430616828E-2</v>
      </c>
      <c r="BN106" s="118">
        <f t="shared" si="56"/>
        <v>-5.1599050120179676E-3</v>
      </c>
      <c r="BO106" s="118">
        <f t="shared" si="56"/>
        <v>-1.2985272216145826E-2</v>
      </c>
      <c r="BP106" s="118">
        <f t="shared" si="56"/>
        <v>3.0724761762691804E-3</v>
      </c>
      <c r="BQ106" s="118">
        <f t="shared" si="56"/>
        <v>-4.2917488682731507E-2</v>
      </c>
      <c r="BR106" s="118">
        <f t="shared" si="56"/>
        <v>7.8244092916519681E-2</v>
      </c>
      <c r="BS106" s="118">
        <f t="shared" si="56"/>
        <v>2.7434521853960888E-2</v>
      </c>
    </row>
    <row r="109" spans="2:71" s="16" customFormat="1" ht="5.5" customHeight="1" x14ac:dyDescent="0.35">
      <c r="B109" s="146"/>
      <c r="C109" s="282"/>
      <c r="D109" s="283"/>
      <c r="E109" s="284"/>
      <c r="F109" s="284"/>
      <c r="G109" s="285"/>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row>
    <row r="110" spans="2:71" x14ac:dyDescent="0.35">
      <c r="D110" s="286" t="s">
        <v>576</v>
      </c>
      <c r="E110" s="143" t="s">
        <v>428</v>
      </c>
      <c r="F110" s="143"/>
    </row>
    <row r="111" spans="2:71" ht="26.4" customHeight="1" x14ac:dyDescent="0.35">
      <c r="B111" s="342" t="s">
        <v>575</v>
      </c>
      <c r="C111" s="269" t="s">
        <v>577</v>
      </c>
      <c r="D111" s="145">
        <f>AVERAGE(AB111:AP111)</f>
        <v>-1.1756995460990736E-2</v>
      </c>
      <c r="E111" s="102">
        <f>AVERAGE(AP111:BS111)</f>
        <v>-5.0694334280244674E-4</v>
      </c>
      <c r="F111" s="102"/>
      <c r="H111" s="118"/>
      <c r="I111" s="118"/>
      <c r="J111" s="118"/>
      <c r="K111" s="118"/>
      <c r="L111" s="118"/>
      <c r="M111" s="118"/>
      <c r="N111" s="118"/>
      <c r="O111" s="118"/>
      <c r="P111" s="118"/>
      <c r="Q111" s="118"/>
      <c r="R111" s="118"/>
      <c r="S111" s="118"/>
      <c r="T111" s="118"/>
      <c r="U111" s="118"/>
      <c r="V111" s="118"/>
      <c r="W111" s="118"/>
      <c r="X111" s="118"/>
      <c r="Y111" s="118"/>
      <c r="Z111" s="118"/>
      <c r="AA111" s="118"/>
      <c r="AB111" s="118">
        <f t="shared" ref="AB111:BS111" si="57">(AB56-AA56)/AA56</f>
        <v>1.4275000321482455E-2</v>
      </c>
      <c r="AC111" s="118">
        <f t="shared" si="57"/>
        <v>-1.2594002144185705E-2</v>
      </c>
      <c r="AD111" s="118">
        <f t="shared" si="57"/>
        <v>6.2093835440447812E-3</v>
      </c>
      <c r="AE111" s="118">
        <f t="shared" si="57"/>
        <v>8.0741944896378908E-4</v>
      </c>
      <c r="AF111" s="118">
        <f t="shared" si="57"/>
        <v>-4.7986811733824554E-2</v>
      </c>
      <c r="AG111" s="118">
        <f t="shared" si="57"/>
        <v>-1.1398912772464126E-2</v>
      </c>
      <c r="AH111" s="118">
        <f t="shared" si="57"/>
        <v>-1.1838232355580007E-2</v>
      </c>
      <c r="AI111" s="118">
        <f t="shared" si="57"/>
        <v>-1.6587569847574035E-2</v>
      </c>
      <c r="AJ111" s="118">
        <f t="shared" si="57"/>
        <v>-3.5265177759775536E-2</v>
      </c>
      <c r="AK111" s="118">
        <f t="shared" si="57"/>
        <v>-1.3143650648157935E-2</v>
      </c>
      <c r="AL111" s="118">
        <f t="shared" si="57"/>
        <v>6.2373336814690117E-3</v>
      </c>
      <c r="AM111" s="118">
        <f t="shared" si="57"/>
        <v>-2.6615108614671087E-2</v>
      </c>
      <c r="AN111" s="118">
        <f t="shared" si="57"/>
        <v>-1.4434567383662854E-2</v>
      </c>
      <c r="AO111" s="118">
        <f t="shared" si="57"/>
        <v>-3.1693733733631653E-4</v>
      </c>
      <c r="AP111" s="118">
        <f t="shared" si="57"/>
        <v>-1.3703098313588964E-2</v>
      </c>
      <c r="AQ111" s="118">
        <f t="shared" si="57"/>
        <v>2.9594005428465676E-4</v>
      </c>
      <c r="AR111" s="118">
        <f t="shared" si="57"/>
        <v>2.1672589386287643E-2</v>
      </c>
      <c r="AS111" s="118">
        <f t="shared" si="57"/>
        <v>1.9887203745896698E-2</v>
      </c>
      <c r="AT111" s="118">
        <f t="shared" si="57"/>
        <v>-4.9758540652347742E-3</v>
      </c>
      <c r="AU111" s="118">
        <f t="shared" si="57"/>
        <v>-3.6612823240173751E-3</v>
      </c>
      <c r="AV111" s="118">
        <f t="shared" si="57"/>
        <v>-8.5553796139602352E-3</v>
      </c>
      <c r="AW111" s="118">
        <f t="shared" si="57"/>
        <v>-4.4525030550397896E-3</v>
      </c>
      <c r="AX111" s="118">
        <f t="shared" si="57"/>
        <v>5.8013259702116853E-4</v>
      </c>
      <c r="AY111" s="118">
        <f t="shared" si="57"/>
        <v>1.6936941291860106E-3</v>
      </c>
      <c r="AZ111" s="118">
        <f t="shared" si="57"/>
        <v>2.1183382398625442E-2</v>
      </c>
      <c r="BA111" s="118">
        <f t="shared" si="57"/>
        <v>5.4377400515888494E-3</v>
      </c>
      <c r="BB111" s="118">
        <f t="shared" si="57"/>
        <v>2.5443254641011872E-3</v>
      </c>
      <c r="BC111" s="118">
        <f t="shared" si="57"/>
        <v>1.8719439635509215E-4</v>
      </c>
      <c r="BD111" s="118">
        <f t="shared" si="57"/>
        <v>1.1066402959945817E-2</v>
      </c>
      <c r="BE111" s="118">
        <f t="shared" si="57"/>
        <v>1.6398500503757438E-2</v>
      </c>
      <c r="BF111" s="118">
        <f t="shared" si="57"/>
        <v>2.4277053302614857E-2</v>
      </c>
      <c r="BG111" s="118">
        <f t="shared" si="57"/>
        <v>1.46499406687666E-2</v>
      </c>
      <c r="BH111" s="118">
        <f t="shared" si="57"/>
        <v>1.081841677478987E-2</v>
      </c>
      <c r="BI111" s="118">
        <f t="shared" si="57"/>
        <v>-4.3461451149538798E-3</v>
      </c>
      <c r="BJ111" s="118">
        <f t="shared" si="57"/>
        <v>-2.3590463516295807E-2</v>
      </c>
      <c r="BK111" s="118">
        <f t="shared" si="57"/>
        <v>-9.4528802267491423E-3</v>
      </c>
      <c r="BL111" s="118">
        <f t="shared" si="57"/>
        <v>8.5549030789799033E-3</v>
      </c>
      <c r="BM111" s="118">
        <f t="shared" si="57"/>
        <v>-2.3923971889628848E-2</v>
      </c>
      <c r="BN111" s="118">
        <f t="shared" si="57"/>
        <v>-1.7325890899264798E-2</v>
      </c>
      <c r="BO111" s="118">
        <f t="shared" si="57"/>
        <v>-6.9425391062710118E-2</v>
      </c>
      <c r="BP111" s="118">
        <f t="shared" si="57"/>
        <v>-1.9027913194543215E-2</v>
      </c>
      <c r="BQ111" s="118">
        <f t="shared" si="57"/>
        <v>7.9689391633412238E-3</v>
      </c>
      <c r="BR111" s="118">
        <f t="shared" si="57"/>
        <v>2.4244262266223303E-2</v>
      </c>
      <c r="BS111" s="118">
        <f t="shared" si="57"/>
        <v>-4.2281479498522167E-3</v>
      </c>
    </row>
    <row r="112" spans="2:71" x14ac:dyDescent="0.35">
      <c r="B112" s="114"/>
      <c r="C112" s="80" t="s">
        <v>578</v>
      </c>
      <c r="D112" s="145">
        <f>AVERAGE(AB112:AP112)</f>
        <v>-3.7536276538539651E-2</v>
      </c>
      <c r="E112" s="102">
        <f>AVERAGE(AP112:BS112)</f>
        <v>2.3770311488271845E-2</v>
      </c>
      <c r="F112" s="102"/>
      <c r="H112" s="118">
        <f t="shared" ref="H112:AM112" si="58">(H38-G38)/G38</f>
        <v>0.14878117491092885</v>
      </c>
      <c r="I112" s="118">
        <f t="shared" si="58"/>
        <v>-4.0374603306299495E-2</v>
      </c>
      <c r="J112" s="118">
        <f t="shared" si="58"/>
        <v>9.4359154654478694E-2</v>
      </c>
      <c r="K112" s="118">
        <f t="shared" si="58"/>
        <v>-9.538570784798403E-3</v>
      </c>
      <c r="L112" s="118">
        <f t="shared" si="58"/>
        <v>-9.5151865887579928E-2</v>
      </c>
      <c r="M112" s="118">
        <f t="shared" si="58"/>
        <v>-5.8993427389653873E-2</v>
      </c>
      <c r="N112" s="118">
        <f t="shared" si="58"/>
        <v>-6.4234437097462349E-3</v>
      </c>
      <c r="O112" s="118">
        <f t="shared" si="58"/>
        <v>0.12953477783986275</v>
      </c>
      <c r="P112" s="118">
        <f t="shared" si="58"/>
        <v>-9.0022596642351307E-2</v>
      </c>
      <c r="Q112" s="118">
        <f t="shared" si="58"/>
        <v>-5.3931216851720927E-2</v>
      </c>
      <c r="R112" s="118">
        <f t="shared" si="58"/>
        <v>-7.7931721097210235E-2</v>
      </c>
      <c r="S112" s="118">
        <f t="shared" si="58"/>
        <v>0.13636240096756252</v>
      </c>
      <c r="T112" s="118">
        <f t="shared" si="58"/>
        <v>-6.3942650354665023E-2</v>
      </c>
      <c r="U112" s="118">
        <f t="shared" si="58"/>
        <v>-9.880360360360458E-3</v>
      </c>
      <c r="V112" s="118">
        <f t="shared" si="58"/>
        <v>5.2650317351915984E-2</v>
      </c>
      <c r="W112" s="118">
        <f t="shared" si="58"/>
        <v>3.1664594355701542E-2</v>
      </c>
      <c r="X112" s="118">
        <f t="shared" si="58"/>
        <v>2.1280344949572465E-2</v>
      </c>
      <c r="Y112" s="118">
        <f t="shared" si="58"/>
        <v>4.7127725035161806E-2</v>
      </c>
      <c r="Z112" s="118">
        <f t="shared" si="58"/>
        <v>-1.8052924948116042E-2</v>
      </c>
      <c r="AA112" s="118">
        <f t="shared" si="58"/>
        <v>-7.7355418592706587E-2</v>
      </c>
      <c r="AB112" s="118">
        <f t="shared" si="58"/>
        <v>-2.8402676069504949E-2</v>
      </c>
      <c r="AC112" s="118">
        <f t="shared" si="58"/>
        <v>-0.11819410628209798</v>
      </c>
      <c r="AD112" s="118">
        <f t="shared" si="58"/>
        <v>-0.16757442428728253</v>
      </c>
      <c r="AE112" s="118">
        <f t="shared" si="58"/>
        <v>8.3705776195147796E-2</v>
      </c>
      <c r="AF112" s="118">
        <f t="shared" si="58"/>
        <v>3.979591836734709E-2</v>
      </c>
      <c r="AG112" s="118">
        <f t="shared" si="58"/>
        <v>-3.9492006104485312E-2</v>
      </c>
      <c r="AH112" s="118">
        <f t="shared" si="58"/>
        <v>-0.17100219411758721</v>
      </c>
      <c r="AI112" s="118">
        <f t="shared" si="58"/>
        <v>0.13075525317598882</v>
      </c>
      <c r="AJ112" s="118">
        <f t="shared" si="58"/>
        <v>8.4148602064941069E-2</v>
      </c>
      <c r="AK112" s="118">
        <f t="shared" si="58"/>
        <v>4.9306189033082294E-2</v>
      </c>
      <c r="AL112" s="118">
        <f t="shared" si="58"/>
        <v>-8.5761058818060471E-3</v>
      </c>
      <c r="AM112" s="118">
        <f t="shared" si="58"/>
        <v>-0.11872115279135387</v>
      </c>
      <c r="AN112" s="118">
        <f t="shared" ref="AN112:BS112" si="59">(AN38-AM38)/AM38</f>
        <v>-0.19367003075593292</v>
      </c>
      <c r="AO112" s="118">
        <f t="shared" si="59"/>
        <v>2.9094138467129171E-2</v>
      </c>
      <c r="AP112" s="118">
        <f t="shared" si="59"/>
        <v>-0.13421732909168022</v>
      </c>
      <c r="AQ112" s="118">
        <f t="shared" si="59"/>
        <v>0.20149415835022993</v>
      </c>
      <c r="AR112" s="118">
        <f t="shared" si="59"/>
        <v>0.1110845592188017</v>
      </c>
      <c r="AS112" s="118">
        <f t="shared" si="59"/>
        <v>-1.9181522287520326E-2</v>
      </c>
      <c r="AT112" s="118">
        <f t="shared" si="59"/>
        <v>-0.10502027293206359</v>
      </c>
      <c r="AU112" s="118">
        <f t="shared" si="59"/>
        <v>8.3390300782221746E-2</v>
      </c>
      <c r="AV112" s="118">
        <f t="shared" si="59"/>
        <v>6.6784875527290052E-2</v>
      </c>
      <c r="AW112" s="118">
        <f t="shared" si="59"/>
        <v>-7.8136069416856038E-2</v>
      </c>
      <c r="AX112" s="118">
        <f t="shared" si="59"/>
        <v>-4.1711051930758976E-2</v>
      </c>
      <c r="AY112" s="118">
        <f t="shared" si="59"/>
        <v>3.7866224433388565E-2</v>
      </c>
      <c r="AZ112" s="118">
        <f t="shared" si="59"/>
        <v>5.4536839657164111E-2</v>
      </c>
      <c r="BA112" s="118">
        <f t="shared" si="59"/>
        <v>5.0473083125558961E-2</v>
      </c>
      <c r="BB112" s="118">
        <f t="shared" si="59"/>
        <v>9.4455995284629599E-2</v>
      </c>
      <c r="BC112" s="118">
        <f t="shared" si="59"/>
        <v>6.9702308569138796E-2</v>
      </c>
      <c r="BD112" s="118">
        <f t="shared" si="59"/>
        <v>5.7495560508754026E-2</v>
      </c>
      <c r="BE112" s="118">
        <f t="shared" si="59"/>
        <v>3.1348503936855641E-2</v>
      </c>
      <c r="BF112" s="118">
        <f t="shared" si="59"/>
        <v>-0.14169936271289013</v>
      </c>
      <c r="BG112" s="118">
        <f t="shared" si="59"/>
        <v>-2.2152184818158362E-2</v>
      </c>
      <c r="BH112" s="118">
        <f t="shared" si="59"/>
        <v>-0.14047822730238421</v>
      </c>
      <c r="BI112" s="118">
        <f t="shared" si="59"/>
        <v>-8.311120806175179E-2</v>
      </c>
      <c r="BJ112" s="118">
        <f t="shared" si="59"/>
        <v>0.14889309210416585</v>
      </c>
      <c r="BK112" s="118">
        <f t="shared" si="59"/>
        <v>9.2325471402195589E-2</v>
      </c>
      <c r="BL112" s="118">
        <f t="shared" si="59"/>
        <v>0.20142949636425961</v>
      </c>
      <c r="BM112" s="118">
        <f t="shared" si="59"/>
        <v>8.2389749824244282E-2</v>
      </c>
      <c r="BN112" s="118">
        <f t="shared" si="59"/>
        <v>3.6409479138586755E-2</v>
      </c>
      <c r="BO112" s="118">
        <f t="shared" si="59"/>
        <v>-0.15347726772508619</v>
      </c>
      <c r="BP112" s="118">
        <f t="shared" si="59"/>
        <v>-0.27192565609714392</v>
      </c>
      <c r="BQ112" s="118">
        <f t="shared" si="59"/>
        <v>0.23591907098754111</v>
      </c>
      <c r="BR112" s="118">
        <f t="shared" si="59"/>
        <v>0.23450225125925281</v>
      </c>
      <c r="BS112" s="118">
        <f t="shared" si="59"/>
        <v>1.3718476550169863E-2</v>
      </c>
    </row>
    <row r="113" spans="3:71" x14ac:dyDescent="0.35">
      <c r="C113" s="269" t="s">
        <v>579</v>
      </c>
      <c r="D113" s="145">
        <f>AVERAGE(AB113:AP113)</f>
        <v>-3.7064411607507654E-2</v>
      </c>
      <c r="E113" s="102">
        <f>AVERAGE(AP113:BS113)</f>
        <v>1.0544862882365114E-2</v>
      </c>
      <c r="F113" s="102"/>
      <c r="H113" s="118"/>
      <c r="I113" s="118"/>
      <c r="J113" s="118"/>
      <c r="K113" s="118"/>
      <c r="L113" s="118"/>
      <c r="M113" s="118"/>
      <c r="N113" s="118"/>
      <c r="O113" s="118"/>
      <c r="P113" s="118"/>
      <c r="Q113" s="118"/>
      <c r="R113" s="118"/>
      <c r="S113" s="118"/>
      <c r="T113" s="118"/>
      <c r="U113" s="118"/>
      <c r="V113" s="118"/>
      <c r="W113" s="118"/>
      <c r="X113" s="118"/>
      <c r="Y113" s="118"/>
      <c r="Z113" s="118"/>
      <c r="AA113" s="118"/>
      <c r="AB113" s="118">
        <f>(AB58-AA58)/AA58</f>
        <v>-1.5360372694064157E-2</v>
      </c>
      <c r="AC113" s="118">
        <f t="shared" ref="AC113:BS113" si="60">(AC58-AB58)/AB58</f>
        <v>-4.5021601446727809E-2</v>
      </c>
      <c r="AD113" s="118">
        <f t="shared" si="60"/>
        <v>-2.8078858214365971E-2</v>
      </c>
      <c r="AE113" s="118">
        <f t="shared" si="60"/>
        <v>-3.2179341373324004E-2</v>
      </c>
      <c r="AF113" s="118">
        <f t="shared" si="60"/>
        <v>-7.7409915286997436E-2</v>
      </c>
      <c r="AG113" s="118">
        <f t="shared" si="60"/>
        <v>-3.9585804997181784E-2</v>
      </c>
      <c r="AH113" s="118">
        <f t="shared" si="60"/>
        <v>-3.7302658629545904E-2</v>
      </c>
      <c r="AI113" s="118">
        <f t="shared" si="60"/>
        <v>-3.9002491457145162E-2</v>
      </c>
      <c r="AJ113" s="118">
        <f t="shared" si="60"/>
        <v>-5.5741415565475981E-2</v>
      </c>
      <c r="AK113" s="118">
        <f t="shared" si="60"/>
        <v>-3.4358014920225104E-2</v>
      </c>
      <c r="AL113" s="118">
        <f t="shared" si="60"/>
        <v>-1.6887496695936782E-2</v>
      </c>
      <c r="AM113" s="118">
        <f t="shared" si="60"/>
        <v>-5.0164277093182857E-2</v>
      </c>
      <c r="AN113" s="118">
        <f t="shared" si="60"/>
        <v>-3.7432334365228116E-2</v>
      </c>
      <c r="AO113" s="118">
        <f t="shared" si="60"/>
        <v>-1.9905715919731042E-2</v>
      </c>
      <c r="AP113" s="118">
        <f t="shared" si="60"/>
        <v>-2.7535875453482784E-2</v>
      </c>
      <c r="AQ113" s="118">
        <f t="shared" si="60"/>
        <v>-7.1132483312853932E-3</v>
      </c>
      <c r="AR113" s="118">
        <f t="shared" si="60"/>
        <v>1.9861702032449531E-2</v>
      </c>
      <c r="AS113" s="118">
        <f t="shared" si="60"/>
        <v>2.2436347855018451E-2</v>
      </c>
      <c r="AT113" s="118">
        <f t="shared" si="60"/>
        <v>1.1860995288395851E-3</v>
      </c>
      <c r="AU113" s="118">
        <f t="shared" si="60"/>
        <v>6.1967846978283189E-3</v>
      </c>
      <c r="AV113" s="118">
        <f t="shared" si="60"/>
        <v>4.3557696877868186E-3</v>
      </c>
      <c r="AW113" s="118">
        <f t="shared" si="60"/>
        <v>1.1181871808853725E-2</v>
      </c>
      <c r="AX113" s="118">
        <f t="shared" si="60"/>
        <v>1.9198025842742359E-2</v>
      </c>
      <c r="AY113" s="118">
        <f t="shared" si="60"/>
        <v>2.3115521506445004E-2</v>
      </c>
      <c r="AZ113" s="118">
        <f t="shared" si="60"/>
        <v>4.4828913496127609E-2</v>
      </c>
      <c r="BA113" s="118">
        <f t="shared" si="60"/>
        <v>2.8823670132325042E-2</v>
      </c>
      <c r="BB113" s="118">
        <f t="shared" si="60"/>
        <v>2.3999663097429361E-2</v>
      </c>
      <c r="BC113" s="118">
        <f t="shared" si="60"/>
        <v>1.7745679479634738E-2</v>
      </c>
      <c r="BD113" s="118">
        <f t="shared" si="60"/>
        <v>2.3549860558260752E-2</v>
      </c>
      <c r="BE113" s="118">
        <f t="shared" si="60"/>
        <v>2.3342351609537296E-2</v>
      </c>
      <c r="BF113" s="118">
        <f t="shared" si="60"/>
        <v>2.6800527342420132E-2</v>
      </c>
      <c r="BG113" s="118">
        <f t="shared" si="60"/>
        <v>1.5620771615347325E-2</v>
      </c>
      <c r="BH113" s="118">
        <f t="shared" si="60"/>
        <v>1.3221590508391572E-2</v>
      </c>
      <c r="BI113" s="118">
        <f t="shared" si="60"/>
        <v>2.2113184908270642E-3</v>
      </c>
      <c r="BJ113" s="118">
        <f t="shared" si="60"/>
        <v>-1.1885595000348224E-2</v>
      </c>
      <c r="BK113" s="118">
        <f t="shared" si="60"/>
        <v>6.6050244226477242E-3</v>
      </c>
      <c r="BL113" s="118">
        <f t="shared" si="60"/>
        <v>2.6741536831939312E-2</v>
      </c>
      <c r="BM113" s="118">
        <f t="shared" si="60"/>
        <v>-7.3216107152544044E-3</v>
      </c>
      <c r="BN113" s="118">
        <f t="shared" si="60"/>
        <v>-3.1448609691169301E-3</v>
      </c>
      <c r="BO113" s="118">
        <f t="shared" si="60"/>
        <v>-5.8079641146429793E-2</v>
      </c>
      <c r="BP113" s="118">
        <f t="shared" si="60"/>
        <v>-6.9425516144036945E-3</v>
      </c>
      <c r="BQ113" s="118">
        <f t="shared" si="60"/>
        <v>2.2892300533657449E-2</v>
      </c>
      <c r="BR113" s="118">
        <f t="shared" si="60"/>
        <v>4.1480458943864554E-2</v>
      </c>
      <c r="BS113" s="118">
        <f t="shared" si="60"/>
        <v>1.2973479678901039E-2</v>
      </c>
    </row>
  </sheetData>
  <hyperlinks>
    <hyperlink ref="C52" r:id="rId1"/>
  </hyperlinks>
  <pageMargins left="0.7" right="0.7" top="0.75" bottom="0.75" header="0.3" footer="0.3"/>
  <pageSetup orientation="portrait" r:id="rId2"/>
  <drawing r:id="rId3"/>
  <legacyDrawing r:id="rId4"/>
  <oleObjects>
    <mc:AlternateContent xmlns:mc="http://schemas.openxmlformats.org/markup-compatibility/2006">
      <mc:Choice Requires="x14">
        <oleObject progId="Word.Document.12" shapeId="7169" r:id="rId5">
          <objectPr defaultSize="0" r:id="rId6">
            <anchor moveWithCells="1">
              <from>
                <xdr:col>0</xdr:col>
                <xdr:colOff>88900</xdr:colOff>
                <xdr:row>0</xdr:row>
                <xdr:rowOff>38100</xdr:rowOff>
              </from>
              <to>
                <xdr:col>3</xdr:col>
                <xdr:colOff>749300</xdr:colOff>
                <xdr:row>18</xdr:row>
                <xdr:rowOff>139700</xdr:rowOff>
              </to>
            </anchor>
          </objectPr>
        </oleObject>
      </mc:Choice>
      <mc:Fallback>
        <oleObject progId="Word.Document.12" shapeId="7169" r:id="rId5"/>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N75"/>
  <sheetViews>
    <sheetView workbookViewId="0">
      <selection activeCell="B11" sqref="B11:B75"/>
    </sheetView>
  </sheetViews>
  <sheetFormatPr defaultRowHeight="14.5" x14ac:dyDescent="0.35"/>
  <sheetData>
    <row r="1" spans="1:118" x14ac:dyDescent="0.35">
      <c r="A1" s="80" t="s">
        <v>460</v>
      </c>
      <c r="B1" s="80"/>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222">
        <v>4317781452</v>
      </c>
      <c r="AU1" s="235">
        <v>4549055093</v>
      </c>
      <c r="AV1" s="235">
        <v>4755145257</v>
      </c>
      <c r="AW1" s="235">
        <v>4968959443</v>
      </c>
      <c r="AX1" s="235">
        <v>5284097003</v>
      </c>
      <c r="AY1" s="235">
        <v>5571142501</v>
      </c>
      <c r="AZ1" s="235">
        <v>5923297939</v>
      </c>
      <c r="BA1" s="235">
        <v>6208236257</v>
      </c>
      <c r="BB1" s="235">
        <v>6541280743</v>
      </c>
      <c r="BC1" s="236">
        <v>6935503013</v>
      </c>
      <c r="BD1" s="236">
        <v>7291998758</v>
      </c>
      <c r="BE1" s="236">
        <v>7613590480</v>
      </c>
      <c r="BF1" s="236">
        <v>7677626201</v>
      </c>
      <c r="BG1" s="236">
        <v>7804548186</v>
      </c>
      <c r="BH1" s="236">
        <v>7973940602</v>
      </c>
      <c r="BI1" s="237">
        <v>8415761105</v>
      </c>
      <c r="BJ1" s="237">
        <v>8817095391</v>
      </c>
      <c r="BK1" s="237">
        <v>9221635446</v>
      </c>
      <c r="BL1" s="238">
        <v>9466523654</v>
      </c>
      <c r="BM1" s="239">
        <v>9613451456</v>
      </c>
      <c r="BN1" s="239">
        <v>9875410289</v>
      </c>
      <c r="BO1" s="240">
        <v>10225874777</v>
      </c>
    </row>
    <row r="2" spans="1:118" x14ac:dyDescent="0.35">
      <c r="A2" s="80" t="s">
        <v>461</v>
      </c>
      <c r="B2" s="80"/>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223">
        <v>1848022862</v>
      </c>
      <c r="AU2" s="241">
        <v>1999540977</v>
      </c>
      <c r="AV2" s="241">
        <v>2131890499</v>
      </c>
      <c r="AW2" s="241">
        <v>2265345826</v>
      </c>
      <c r="AX2" s="241">
        <v>2438539251</v>
      </c>
      <c r="AY2" s="241">
        <v>2600545415</v>
      </c>
      <c r="AZ2" s="241">
        <v>2760002783</v>
      </c>
      <c r="BA2" s="241">
        <v>2898167422</v>
      </c>
      <c r="BB2" s="241">
        <v>3031634536</v>
      </c>
      <c r="BC2" s="242">
        <v>3227243753</v>
      </c>
      <c r="BD2" s="242">
        <v>3369214883</v>
      </c>
      <c r="BE2" s="242">
        <v>3549239594</v>
      </c>
      <c r="BF2" s="242">
        <v>3699383948</v>
      </c>
      <c r="BG2" s="242">
        <v>3812960901</v>
      </c>
      <c r="BH2" s="242">
        <v>3930550044</v>
      </c>
      <c r="BI2" s="243">
        <v>4096350302</v>
      </c>
      <c r="BJ2" s="243">
        <v>4241564417</v>
      </c>
      <c r="BK2" s="243">
        <v>4335284540</v>
      </c>
      <c r="BL2" s="244">
        <v>4514037135</v>
      </c>
      <c r="BM2" s="245">
        <v>4711042846</v>
      </c>
      <c r="BN2" s="245">
        <v>4874203678</v>
      </c>
      <c r="BO2" s="246">
        <v>5021678762</v>
      </c>
    </row>
    <row r="3" spans="1:118" ht="24.5" x14ac:dyDescent="0.35">
      <c r="A3" s="248" t="s">
        <v>462</v>
      </c>
      <c r="B3" s="248"/>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224">
        <v>2469758590</v>
      </c>
      <c r="AU3" s="224">
        <v>2549514116</v>
      </c>
      <c r="AV3" s="224">
        <v>2623254758</v>
      </c>
      <c r="AW3" s="224">
        <v>2703613617</v>
      </c>
      <c r="AX3" s="224">
        <v>2845557752</v>
      </c>
      <c r="AY3" s="224">
        <v>2970597086</v>
      </c>
      <c r="AZ3" s="224">
        <v>3163295156</v>
      </c>
      <c r="BA3" s="224">
        <v>3310068835</v>
      </c>
      <c r="BB3" s="224">
        <v>3509646207</v>
      </c>
      <c r="BC3" s="224">
        <v>3708259260</v>
      </c>
      <c r="BD3" s="224">
        <v>3922783875</v>
      </c>
      <c r="BE3" s="224">
        <v>4064350886</v>
      </c>
      <c r="BF3" s="224">
        <v>3978242253</v>
      </c>
      <c r="BG3" s="224">
        <v>3991587285</v>
      </c>
      <c r="BH3" s="224">
        <v>4043390558</v>
      </c>
      <c r="BI3" s="224">
        <v>4319410803</v>
      </c>
      <c r="BJ3" s="224">
        <v>4575530974</v>
      </c>
      <c r="BK3" s="224">
        <v>4886350906</v>
      </c>
      <c r="BL3" s="224">
        <v>4952486519</v>
      </c>
      <c r="BM3" s="224">
        <v>4902408610</v>
      </c>
      <c r="BN3" s="224">
        <v>5001206611</v>
      </c>
      <c r="BO3" s="224">
        <v>5204196015</v>
      </c>
    </row>
    <row r="4" spans="1:118" x14ac:dyDescent="0.35">
      <c r="A4" s="253" t="s">
        <v>236</v>
      </c>
      <c r="B4" s="249">
        <v>95.3</v>
      </c>
      <c r="C4" s="249">
        <v>105</v>
      </c>
      <c r="D4" s="249">
        <v>115.9</v>
      </c>
      <c r="E4" s="249">
        <v>124.4</v>
      </c>
      <c r="F4" s="249">
        <v>133.69999999999999</v>
      </c>
      <c r="G4" s="249">
        <v>146</v>
      </c>
      <c r="H4" s="249">
        <v>158.6</v>
      </c>
      <c r="I4" s="249">
        <v>172.3</v>
      </c>
      <c r="J4" s="249">
        <v>184.4</v>
      </c>
      <c r="K4" s="249">
        <v>197.9</v>
      </c>
      <c r="L4" s="249">
        <v>216</v>
      </c>
      <c r="M4" s="249">
        <v>235.4</v>
      </c>
      <c r="N4" s="249">
        <v>248.7</v>
      </c>
      <c r="O4" s="249">
        <v>263.60000000000002</v>
      </c>
      <c r="P4" s="249">
        <v>280.89999999999998</v>
      </c>
      <c r="Q4" s="249">
        <v>296.5</v>
      </c>
      <c r="R4" s="249">
        <v>313.89999999999998</v>
      </c>
      <c r="S4" s="249">
        <v>331.7</v>
      </c>
      <c r="T4" s="249">
        <v>353.5</v>
      </c>
      <c r="U4" s="249">
        <v>382.1</v>
      </c>
      <c r="V4" s="249">
        <v>417.3</v>
      </c>
      <c r="W4" s="249">
        <v>450.7</v>
      </c>
      <c r="X4" s="249">
        <v>487.4</v>
      </c>
      <c r="Y4" s="249">
        <v>529</v>
      </c>
      <c r="Z4" s="249">
        <v>569.4</v>
      </c>
      <c r="AA4" s="249">
        <v>609.70000000000005</v>
      </c>
      <c r="AB4" s="249">
        <v>657.3</v>
      </c>
      <c r="AC4" s="249">
        <v>718.2</v>
      </c>
      <c r="AD4" s="249">
        <v>790.1</v>
      </c>
      <c r="AE4" s="249">
        <v>858.5</v>
      </c>
      <c r="AF4" s="249">
        <v>934.6</v>
      </c>
      <c r="AG4" s="249">
        <v>1030.7</v>
      </c>
      <c r="AH4" s="249">
        <v>1156.7</v>
      </c>
      <c r="AI4" s="249">
        <v>1310.3</v>
      </c>
      <c r="AJ4" s="249">
        <v>1474.4</v>
      </c>
      <c r="AK4" s="249">
        <v>1662.3</v>
      </c>
      <c r="AL4" s="249">
        <v>1834.5</v>
      </c>
      <c r="AM4" s="249">
        <v>1987.1</v>
      </c>
      <c r="AN4" s="249">
        <v>2181.8000000000002</v>
      </c>
      <c r="AO4" s="249">
        <v>2383.8000000000002</v>
      </c>
      <c r="AP4" s="249">
        <v>2556.6999999999998</v>
      </c>
      <c r="AQ4" s="249">
        <v>2712.7</v>
      </c>
      <c r="AR4" s="249">
        <v>2881.4</v>
      </c>
      <c r="AS4" s="249">
        <v>3067.8</v>
      </c>
      <c r="AT4" s="249">
        <v>3267.3</v>
      </c>
      <c r="AU4" s="249">
        <v>3430.2</v>
      </c>
      <c r="AV4" s="249">
        <v>3587.9</v>
      </c>
      <c r="AW4" s="249">
        <v>3777.9</v>
      </c>
      <c r="AX4" s="249">
        <v>3995.7</v>
      </c>
      <c r="AY4" s="249">
        <v>4261.1000000000004</v>
      </c>
      <c r="AZ4" s="249">
        <v>4553.3</v>
      </c>
      <c r="BA4" s="249">
        <v>4871</v>
      </c>
      <c r="BB4" s="249">
        <v>5215.3</v>
      </c>
      <c r="BC4" s="249">
        <v>5585.3</v>
      </c>
      <c r="BD4" s="249">
        <v>5995.7</v>
      </c>
      <c r="BE4" s="249">
        <v>6306.5</v>
      </c>
      <c r="BF4" s="249">
        <v>6499.8</v>
      </c>
      <c r="BG4" s="249">
        <v>6684.5</v>
      </c>
      <c r="BH4" s="249">
        <v>6906.9</v>
      </c>
      <c r="BI4" s="249">
        <v>7201.1</v>
      </c>
      <c r="BJ4" s="249">
        <v>7605.3</v>
      </c>
      <c r="BK4" s="249">
        <v>8068.8</v>
      </c>
      <c r="BL4" s="249">
        <v>8508.2999999999993</v>
      </c>
      <c r="BM4" s="249">
        <v>8673.5</v>
      </c>
      <c r="BN4" s="249">
        <v>8848.6</v>
      </c>
      <c r="BO4" s="249">
        <v>9122.4</v>
      </c>
    </row>
    <row r="6" spans="1:118" x14ac:dyDescent="0.35">
      <c r="AZ6" s="80"/>
      <c r="BA6" s="80"/>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222"/>
      <c r="CT6" s="235"/>
      <c r="CU6" s="235"/>
      <c r="CV6" s="235"/>
      <c r="CW6" s="235"/>
      <c r="CX6" s="235"/>
      <c r="CY6" s="235"/>
      <c r="CZ6" s="235"/>
      <c r="DA6" s="235"/>
      <c r="DB6" s="236"/>
      <c r="DC6" s="236"/>
      <c r="DD6" s="236"/>
      <c r="DE6" s="236"/>
      <c r="DF6" s="236"/>
      <c r="DG6" s="236"/>
      <c r="DH6" s="237"/>
      <c r="DI6" s="237"/>
      <c r="DJ6" s="237"/>
      <c r="DK6" s="238"/>
      <c r="DL6" s="239"/>
      <c r="DM6" s="239"/>
      <c r="DN6" s="240"/>
    </row>
    <row r="7" spans="1:118" x14ac:dyDescent="0.35">
      <c r="B7" s="118">
        <v>0.20994940978077573</v>
      </c>
      <c r="C7" s="118">
        <v>0.2360294117647059</v>
      </c>
      <c r="D7" s="118">
        <v>0.22809667673716011</v>
      </c>
      <c r="E7" s="118">
        <v>0.24701195219123509</v>
      </c>
      <c r="F7" s="118">
        <v>0.24580682475419316</v>
      </c>
      <c r="G7" s="118">
        <v>0.2244333886124931</v>
      </c>
      <c r="H7" s="118">
        <v>0.21229338842975204</v>
      </c>
      <c r="I7" s="118">
        <v>0.21165966386554619</v>
      </c>
      <c r="J7" s="118">
        <v>0.23783031988873435</v>
      </c>
      <c r="K7" s="118">
        <v>0.21869565217391307</v>
      </c>
      <c r="L7" s="118">
        <v>0.21068001668752612</v>
      </c>
      <c r="M7" s="118">
        <v>0.19871520342612417</v>
      </c>
      <c r="N7" s="118">
        <v>0.21897533206831118</v>
      </c>
      <c r="O7" s="118">
        <v>0.20739666424945616</v>
      </c>
      <c r="P7" s="118">
        <v>0.20783345095271699</v>
      </c>
      <c r="Q7" s="118">
        <v>0.21845756695708296</v>
      </c>
      <c r="R7" s="118">
        <v>0.22484848484848485</v>
      </c>
      <c r="S7" s="118">
        <v>0.23003642476884281</v>
      </c>
      <c r="T7" s="118">
        <v>0.24075490946187197</v>
      </c>
      <c r="U7" s="118">
        <v>0.23754075454122028</v>
      </c>
      <c r="V7" s="118">
        <v>0.22490582760912917</v>
      </c>
      <c r="W7" s="118">
        <v>0.2208650380456548</v>
      </c>
      <c r="X7" s="118">
        <v>0.20457058606708439</v>
      </c>
      <c r="Y7" s="118">
        <v>0.18327974276527334</v>
      </c>
      <c r="Z7" s="118">
        <v>0.19202118854494291</v>
      </c>
      <c r="AA7" s="118">
        <v>0.19612807148175723</v>
      </c>
      <c r="AB7" s="118">
        <v>0.19275189167662282</v>
      </c>
      <c r="AC7" s="118">
        <v>0.17612863327149042</v>
      </c>
      <c r="AD7" s="118">
        <v>0.19193436561127805</v>
      </c>
      <c r="AE7" s="118">
        <v>0.19510947411499899</v>
      </c>
      <c r="AF7" s="118">
        <v>0.19963817277250115</v>
      </c>
      <c r="AG7" s="118">
        <v>0.20028487773996997</v>
      </c>
      <c r="AH7" s="118">
        <v>0.18791514891793443</v>
      </c>
      <c r="AI7" s="118">
        <v>0.16996809359212975</v>
      </c>
      <c r="AJ7" s="118">
        <v>0.1786429496996112</v>
      </c>
      <c r="AK7" s="118">
        <v>0.16908405664687073</v>
      </c>
      <c r="AL7" s="118">
        <v>0.18218880711600571</v>
      </c>
      <c r="AM7" s="118">
        <v>0.19862178886180384</v>
      </c>
      <c r="AN7" s="118">
        <v>0.19558151791988754</v>
      </c>
      <c r="AO7" s="118">
        <v>0.18226268757376496</v>
      </c>
      <c r="AP7" s="118">
        <v>0.18763468244328646</v>
      </c>
      <c r="AQ7" s="118">
        <v>0.19723830414613977</v>
      </c>
      <c r="AR7" s="118">
        <v>0.19602088523359384</v>
      </c>
      <c r="AS7" s="118">
        <v>0.18917419817938594</v>
      </c>
      <c r="AT7" s="118">
        <v>0.18800406426620944</v>
      </c>
      <c r="AU7" s="118">
        <v>0.18386706948640483</v>
      </c>
      <c r="AV7" s="118">
        <v>0.1847093391715158</v>
      </c>
      <c r="AW7" s="118">
        <v>0.19531709927749535</v>
      </c>
      <c r="AX7" s="118">
        <v>0.20732105620179386</v>
      </c>
      <c r="AY7" s="118">
        <v>0.21532508842310155</v>
      </c>
      <c r="AZ7" s="118">
        <v>0.21913081941833465</v>
      </c>
      <c r="BA7" s="118">
        <v>0.20210385427776734</v>
      </c>
      <c r="BB7" s="118">
        <v>0.19922482145316472</v>
      </c>
      <c r="BC7" s="118">
        <v>0.18569453405843855</v>
      </c>
      <c r="BD7" s="118">
        <v>0.17844875346260389</v>
      </c>
      <c r="BE7" s="118">
        <v>0.18413468553917992</v>
      </c>
      <c r="BF7" s="118">
        <v>0.19001979920452752</v>
      </c>
      <c r="BG7" s="118">
        <v>0.2134347357770017</v>
      </c>
      <c r="BH7" s="118">
        <v>0.22875955498372819</v>
      </c>
      <c r="BI7" s="118">
        <v>0.23525145067698255</v>
      </c>
      <c r="BJ7" s="118">
        <v>0.21706706216507396</v>
      </c>
      <c r="BK7" s="118">
        <v>0.18472323771020596</v>
      </c>
      <c r="BL7" s="118">
        <v>0.20949592630380459</v>
      </c>
      <c r="BM7" s="118">
        <v>0.24128790507251405</v>
      </c>
      <c r="BN7" s="118">
        <v>0.24459241164650722</v>
      </c>
      <c r="BO7" s="81"/>
      <c r="BP7" s="81"/>
      <c r="BQ7" s="81"/>
      <c r="BR7" s="81"/>
      <c r="BS7" s="81"/>
      <c r="BT7" s="81"/>
      <c r="BU7" s="81"/>
      <c r="BV7" s="81"/>
      <c r="BW7" s="81"/>
      <c r="BX7" s="81"/>
      <c r="BY7" s="81"/>
      <c r="BZ7" s="81"/>
      <c r="CA7" s="81"/>
      <c r="CB7" s="81"/>
      <c r="CC7" s="81"/>
      <c r="CD7" s="81"/>
      <c r="CE7" s="81"/>
      <c r="CF7" s="81"/>
      <c r="CG7" s="81"/>
      <c r="CH7" s="81"/>
      <c r="CI7" s="81"/>
      <c r="CJ7" s="81"/>
      <c r="CK7" s="81"/>
      <c r="CL7" s="81"/>
      <c r="CM7" s="81"/>
      <c r="CN7" s="81"/>
      <c r="CO7" s="81"/>
      <c r="CP7" s="81"/>
      <c r="CQ7" s="81"/>
      <c r="CR7" s="81"/>
      <c r="CS7" s="223"/>
      <c r="CT7" s="241"/>
      <c r="CU7" s="241"/>
      <c r="CV7" s="241"/>
      <c r="CW7" s="241"/>
      <c r="CX7" s="241"/>
      <c r="CY7" s="241"/>
      <c r="CZ7" s="241"/>
      <c r="DA7" s="241"/>
      <c r="DB7" s="242"/>
      <c r="DC7" s="242"/>
      <c r="DD7" s="242"/>
      <c r="DE7" s="242"/>
      <c r="DF7" s="242"/>
      <c r="DG7" s="242"/>
      <c r="DH7" s="243"/>
      <c r="DI7" s="243"/>
      <c r="DJ7" s="243"/>
      <c r="DK7" s="244"/>
      <c r="DL7" s="245"/>
      <c r="DM7" s="245"/>
      <c r="DN7" s="246"/>
    </row>
    <row r="8" spans="1:118" x14ac:dyDescent="0.35">
      <c r="AZ8" s="248"/>
      <c r="BA8" s="248"/>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224"/>
      <c r="CT8" s="224"/>
      <c r="CU8" s="224"/>
      <c r="CV8" s="224"/>
      <c r="CW8" s="224"/>
      <c r="CX8" s="224"/>
      <c r="CY8" s="224"/>
      <c r="CZ8" s="224"/>
      <c r="DA8" s="224"/>
      <c r="DB8" s="224"/>
      <c r="DC8" s="224"/>
      <c r="DD8" s="224"/>
      <c r="DE8" s="224"/>
      <c r="DF8" s="224"/>
      <c r="DG8" s="224"/>
      <c r="DH8" s="224"/>
      <c r="DI8" s="224"/>
      <c r="DJ8" s="224"/>
      <c r="DK8" s="224"/>
      <c r="DL8" s="224"/>
      <c r="DM8" s="224"/>
      <c r="DN8" s="224"/>
    </row>
    <row r="9" spans="1:118" x14ac:dyDescent="0.35">
      <c r="B9" s="118">
        <v>0.20994940978077573</v>
      </c>
      <c r="C9" s="118">
        <v>0.2360294117647059</v>
      </c>
      <c r="D9" s="118">
        <v>0.22809667673716011</v>
      </c>
      <c r="E9" s="118">
        <v>0.24701195219123509</v>
      </c>
      <c r="F9" s="118">
        <v>0.24580682475419316</v>
      </c>
      <c r="G9" s="118">
        <v>0.2244333886124931</v>
      </c>
      <c r="H9" s="118">
        <v>0.21229338842975204</v>
      </c>
      <c r="I9" s="118">
        <v>0.21165966386554619</v>
      </c>
      <c r="J9" s="118">
        <v>0.23783031988873435</v>
      </c>
      <c r="K9" s="118">
        <v>0.21869565217391307</v>
      </c>
      <c r="L9" s="118">
        <v>0.21068001668752612</v>
      </c>
      <c r="M9" s="118">
        <v>0.19871520342612417</v>
      </c>
      <c r="N9" s="118">
        <v>0.21897533206831118</v>
      </c>
      <c r="O9" s="118">
        <v>0.20739666424945616</v>
      </c>
      <c r="P9" s="118">
        <v>0.20783345095271699</v>
      </c>
      <c r="Q9" s="118">
        <v>0.21845756695708296</v>
      </c>
      <c r="R9" s="118">
        <v>0.22484848484848485</v>
      </c>
      <c r="S9" s="118">
        <v>0.23003642476884281</v>
      </c>
      <c r="T9" s="118">
        <v>0.24075490946187197</v>
      </c>
      <c r="U9" s="118">
        <v>0.23754075454122028</v>
      </c>
      <c r="V9" s="118">
        <v>0.22490582760912917</v>
      </c>
      <c r="W9" s="118">
        <v>0.2208650380456548</v>
      </c>
      <c r="X9" s="118">
        <v>0.20457058606708439</v>
      </c>
      <c r="Y9" s="118">
        <v>0.18327974276527334</v>
      </c>
      <c r="Z9" s="118">
        <v>0.19202118854494291</v>
      </c>
      <c r="AA9" s="118">
        <v>0.19612807148175723</v>
      </c>
      <c r="AB9" s="118">
        <v>0.19275189167662282</v>
      </c>
      <c r="AC9" s="118">
        <v>0.17612863327149042</v>
      </c>
      <c r="AD9" s="118">
        <v>0.19193436561127805</v>
      </c>
      <c r="AE9" s="118">
        <v>0.19510947411499899</v>
      </c>
      <c r="AF9" s="118">
        <v>0.19963817277250115</v>
      </c>
      <c r="AG9" s="118">
        <v>0.20028487773996997</v>
      </c>
      <c r="AH9" s="118">
        <v>0.18791514891793443</v>
      </c>
      <c r="AI9" s="118">
        <v>0.16996809359212975</v>
      </c>
      <c r="AJ9" s="118">
        <v>0.1786429496996112</v>
      </c>
      <c r="AK9" s="118">
        <v>0.16908405664687073</v>
      </c>
      <c r="AL9" s="118">
        <v>0.18218880711600571</v>
      </c>
      <c r="AM9" s="118">
        <v>0.19862178886180384</v>
      </c>
      <c r="AN9" s="118">
        <v>0.19558151791988754</v>
      </c>
      <c r="AO9" s="118">
        <v>0.18226268757376496</v>
      </c>
      <c r="AP9" s="118">
        <v>0.18763468244328646</v>
      </c>
      <c r="AQ9" s="118">
        <v>0.19723830414613977</v>
      </c>
      <c r="AR9" s="118">
        <v>0.19602088523359384</v>
      </c>
      <c r="AS9" s="118">
        <v>0.18917419817938594</v>
      </c>
      <c r="AT9" s="118">
        <v>0.18800406426620944</v>
      </c>
      <c r="AU9" s="118">
        <v>0.18386706948640483</v>
      </c>
      <c r="AV9" s="118">
        <v>0.1847093391715158</v>
      </c>
      <c r="AW9" s="118">
        <v>0.19531709927749535</v>
      </c>
      <c r="AX9" s="118">
        <v>0.20732105620179386</v>
      </c>
      <c r="AY9" s="118">
        <v>0.21532508842310155</v>
      </c>
      <c r="AZ9" s="118">
        <v>0.21913081941833465</v>
      </c>
      <c r="BA9" s="118">
        <v>0.20210385427776734</v>
      </c>
      <c r="BB9" s="118">
        <v>0.19922482145316472</v>
      </c>
      <c r="BC9" s="118">
        <v>0.18569453405843855</v>
      </c>
      <c r="BD9" s="118">
        <v>0.17844875346260389</v>
      </c>
      <c r="BE9" s="118">
        <v>0.18413468553917992</v>
      </c>
      <c r="BF9" s="118">
        <v>0.19001979920452752</v>
      </c>
      <c r="BG9" s="118">
        <v>0.2134347357770017</v>
      </c>
      <c r="BH9" s="118">
        <v>0.22875955498372819</v>
      </c>
      <c r="BI9" s="118">
        <v>0.23525145067698255</v>
      </c>
      <c r="BJ9" s="118">
        <v>0.21706706216507396</v>
      </c>
      <c r="BK9" s="118">
        <v>0.18472323771020596</v>
      </c>
      <c r="BL9" s="118">
        <v>0.20949592630380459</v>
      </c>
      <c r="BM9" s="118">
        <v>0.24128790507251405</v>
      </c>
      <c r="BN9" s="118">
        <v>0.24459241164650722</v>
      </c>
      <c r="BO9" s="249"/>
      <c r="BP9" s="249"/>
      <c r="BQ9" s="249"/>
      <c r="BR9" s="249"/>
      <c r="BS9" s="249"/>
      <c r="BT9" s="249"/>
      <c r="BU9" s="249"/>
      <c r="BV9" s="249"/>
      <c r="BW9" s="249"/>
      <c r="BX9" s="249"/>
      <c r="BY9" s="249"/>
      <c r="BZ9" s="249"/>
      <c r="CA9" s="249"/>
      <c r="CB9" s="249"/>
      <c r="CC9" s="249"/>
      <c r="CD9" s="249"/>
      <c r="CE9" s="249"/>
      <c r="CF9" s="249"/>
      <c r="CG9" s="249"/>
      <c r="CH9" s="249"/>
      <c r="CI9" s="249"/>
      <c r="CJ9" s="249"/>
      <c r="CK9" s="249"/>
      <c r="CL9" s="249"/>
      <c r="CM9" s="249"/>
      <c r="CN9" s="249"/>
      <c r="CO9" s="249"/>
      <c r="CP9" s="249"/>
      <c r="CQ9" s="249"/>
      <c r="CR9" s="249"/>
      <c r="CS9" s="249"/>
      <c r="CT9" s="249"/>
      <c r="CU9" s="249"/>
      <c r="CV9" s="249"/>
      <c r="CW9" s="249"/>
      <c r="CX9" s="249"/>
      <c r="CY9" s="249"/>
      <c r="CZ9" s="249"/>
      <c r="DA9" s="249"/>
      <c r="DB9" s="249"/>
      <c r="DC9" s="249"/>
      <c r="DD9" s="249"/>
      <c r="DE9" s="249"/>
      <c r="DF9" s="249"/>
      <c r="DG9" s="249"/>
      <c r="DH9" s="249"/>
      <c r="DI9" s="249"/>
      <c r="DJ9" s="249"/>
      <c r="DK9" s="249"/>
      <c r="DL9" s="249"/>
      <c r="DM9" s="249"/>
      <c r="DN9" s="249"/>
    </row>
    <row r="11" spans="1:118" x14ac:dyDescent="0.35">
      <c r="B11" s="346">
        <v>0.21392904942712099</v>
      </c>
    </row>
    <row r="12" spans="1:118" x14ac:dyDescent="0.35">
      <c r="B12" s="346">
        <v>0.213587846729656</v>
      </c>
    </row>
    <row r="13" spans="1:118" x14ac:dyDescent="0.35">
      <c r="B13" s="346">
        <v>0.21302835353791999</v>
      </c>
    </row>
    <row r="14" spans="1:118" x14ac:dyDescent="0.35">
      <c r="B14" s="346">
        <v>0.21210340089034599</v>
      </c>
    </row>
    <row r="15" spans="1:118" x14ac:dyDescent="0.35">
      <c r="B15" s="346">
        <v>0.21065353628998601</v>
      </c>
    </row>
    <row r="16" spans="1:118" x14ac:dyDescent="0.35">
      <c r="B16" s="346">
        <v>0.20871627323099101</v>
      </c>
    </row>
    <row r="17" spans="2:2" x14ac:dyDescent="0.35">
      <c r="B17" s="346">
        <v>0.20651858984461</v>
      </c>
    </row>
    <row r="18" spans="2:2" x14ac:dyDescent="0.35">
      <c r="B18" s="346">
        <v>0.20427730152978399</v>
      </c>
    </row>
    <row r="19" spans="2:2" x14ac:dyDescent="0.35">
      <c r="B19" s="346">
        <v>0.202099037787007</v>
      </c>
    </row>
    <row r="20" spans="2:2" x14ac:dyDescent="0.35">
      <c r="B20" s="346">
        <v>0.19998965510147501</v>
      </c>
    </row>
    <row r="21" spans="2:2" x14ac:dyDescent="0.35">
      <c r="B21" s="346">
        <v>0.19812801958051399</v>
      </c>
    </row>
    <row r="22" spans="2:2" x14ac:dyDescent="0.35">
      <c r="B22" s="346">
        <v>0.196689100780437</v>
      </c>
    </row>
    <row r="23" spans="2:2" x14ac:dyDescent="0.35">
      <c r="B23" s="346">
        <v>0.195755588061749</v>
      </c>
    </row>
    <row r="24" spans="2:2" x14ac:dyDescent="0.35">
      <c r="B24" s="346">
        <v>0.195185279777152</v>
      </c>
    </row>
    <row r="25" spans="2:2" x14ac:dyDescent="0.35">
      <c r="B25" s="346">
        <v>0.194857418398731</v>
      </c>
    </row>
    <row r="26" spans="2:2" x14ac:dyDescent="0.35">
      <c r="B26" s="346">
        <v>0.19455239360080001</v>
      </c>
    </row>
    <row r="27" spans="2:2" x14ac:dyDescent="0.35">
      <c r="B27" s="346">
        <v>0.193936020873682</v>
      </c>
    </row>
    <row r="28" spans="2:2" x14ac:dyDescent="0.35">
      <c r="B28" s="346">
        <v>0.192659591771697</v>
      </c>
    </row>
    <row r="29" spans="2:2" x14ac:dyDescent="0.35">
      <c r="B29" s="346">
        <v>0.19042703764042301</v>
      </c>
    </row>
    <row r="30" spans="2:2" x14ac:dyDescent="0.35">
      <c r="B30" s="346">
        <v>0.18704969390772599</v>
      </c>
    </row>
    <row r="31" spans="2:2" x14ac:dyDescent="0.35">
      <c r="B31" s="346">
        <v>0.18256462562506301</v>
      </c>
    </row>
    <row r="32" spans="2:2" x14ac:dyDescent="0.35">
      <c r="B32" s="346">
        <v>0.17723040090481701</v>
      </c>
    </row>
    <row r="33" spans="2:2" x14ac:dyDescent="0.35">
      <c r="B33" s="346">
        <v>0.17140994160312101</v>
      </c>
    </row>
    <row r="34" spans="2:2" x14ac:dyDescent="0.35">
      <c r="B34" s="346">
        <v>0.165568865567056</v>
      </c>
    </row>
    <row r="35" spans="2:2" x14ac:dyDescent="0.35">
      <c r="B35" s="346">
        <v>0.16011169122767599</v>
      </c>
    </row>
    <row r="36" spans="2:2" x14ac:dyDescent="0.35">
      <c r="B36" s="346">
        <v>0.15516324836036099</v>
      </c>
    </row>
    <row r="37" spans="2:2" x14ac:dyDescent="0.35">
      <c r="B37" s="346">
        <v>0.15073924982821699</v>
      </c>
    </row>
    <row r="38" spans="2:2" x14ac:dyDescent="0.35">
      <c r="B38" s="346">
        <v>0.14685477601074301</v>
      </c>
    </row>
    <row r="39" spans="2:2" x14ac:dyDescent="0.35">
      <c r="B39" s="346">
        <v>0.14350751478915999</v>
      </c>
    </row>
    <row r="40" spans="2:2" x14ac:dyDescent="0.35">
      <c r="B40" s="346">
        <v>0.14046160628457799</v>
      </c>
    </row>
    <row r="41" spans="2:2" x14ac:dyDescent="0.35">
      <c r="B41" s="346">
        <v>0.13744211547021801</v>
      </c>
    </row>
    <row r="42" spans="2:2" x14ac:dyDescent="0.35">
      <c r="B42" s="346">
        <v>0.134283491256453</v>
      </c>
    </row>
    <row r="43" spans="2:2" x14ac:dyDescent="0.35">
      <c r="B43" s="346">
        <v>0.13103476139895501</v>
      </c>
    </row>
    <row r="44" spans="2:2" x14ac:dyDescent="0.35">
      <c r="B44" s="346">
        <v>0.12797711874083301</v>
      </c>
    </row>
    <row r="45" spans="2:2" x14ac:dyDescent="0.35">
      <c r="B45" s="346">
        <v>0.125469408511203</v>
      </c>
    </row>
    <row r="46" spans="2:2" x14ac:dyDescent="0.35">
      <c r="B46" s="346">
        <v>0.12370970475177499</v>
      </c>
    </row>
    <row r="47" spans="2:2" x14ac:dyDescent="0.35">
      <c r="B47" s="346">
        <v>0.122793387419147</v>
      </c>
    </row>
    <row r="48" spans="2:2" x14ac:dyDescent="0.35">
      <c r="B48" s="346">
        <v>0.12257573942239899</v>
      </c>
    </row>
    <row r="49" spans="2:2" x14ac:dyDescent="0.35">
      <c r="B49" s="346">
        <v>0.122882109796419</v>
      </c>
    </row>
    <row r="50" spans="2:2" x14ac:dyDescent="0.35">
      <c r="B50" s="346">
        <v>0.123643090181871</v>
      </c>
    </row>
    <row r="51" spans="2:2" x14ac:dyDescent="0.35">
      <c r="B51" s="346">
        <v>0.124866451121456</v>
      </c>
    </row>
    <row r="52" spans="2:2" x14ac:dyDescent="0.35">
      <c r="B52" s="346">
        <v>0.126492532256054</v>
      </c>
    </row>
    <row r="53" spans="2:2" x14ac:dyDescent="0.35">
      <c r="B53" s="346">
        <v>0.12847900871533199</v>
      </c>
    </row>
    <row r="54" spans="2:2" x14ac:dyDescent="0.35">
      <c r="B54" s="346">
        <v>0.130869630306398</v>
      </c>
    </row>
    <row r="55" spans="2:2" x14ac:dyDescent="0.35">
      <c r="B55" s="346">
        <v>0.13366835674920199</v>
      </c>
    </row>
    <row r="56" spans="2:2" x14ac:dyDescent="0.35">
      <c r="B56" s="346">
        <v>0.13676345146063501</v>
      </c>
    </row>
    <row r="57" spans="2:2" x14ac:dyDescent="0.35">
      <c r="B57" s="346">
        <v>0.13994449429009401</v>
      </c>
    </row>
    <row r="58" spans="2:2" x14ac:dyDescent="0.35">
      <c r="B58" s="346">
        <v>0.14293943057236699</v>
      </c>
    </row>
    <row r="59" spans="2:2" x14ac:dyDescent="0.35">
      <c r="B59" s="346">
        <v>0.14544876069934601</v>
      </c>
    </row>
    <row r="60" spans="2:2" x14ac:dyDescent="0.35">
      <c r="B60" s="346">
        <v>0.14724459075719601</v>
      </c>
    </row>
    <row r="61" spans="2:2" x14ac:dyDescent="0.35">
      <c r="B61" s="346">
        <v>0.14825053922508799</v>
      </c>
    </row>
    <row r="62" spans="2:2" x14ac:dyDescent="0.35">
      <c r="B62" s="346">
        <v>0.148615778674625</v>
      </c>
    </row>
    <row r="63" spans="2:2" x14ac:dyDescent="0.35">
      <c r="B63" s="346">
        <v>0.148757976285155</v>
      </c>
    </row>
    <row r="64" spans="2:2" x14ac:dyDescent="0.35">
      <c r="B64" s="346">
        <v>0.14911164144928299</v>
      </c>
    </row>
    <row r="65" spans="2:2" x14ac:dyDescent="0.35">
      <c r="B65" s="346">
        <v>0.15009370379675899</v>
      </c>
    </row>
    <row r="66" spans="2:2" x14ac:dyDescent="0.35">
      <c r="B66" s="346">
        <v>0.151892976542844</v>
      </c>
    </row>
    <row r="67" spans="2:2" x14ac:dyDescent="0.35">
      <c r="B67" s="346">
        <v>0.154355335864828</v>
      </c>
    </row>
    <row r="68" spans="2:2" x14ac:dyDescent="0.35">
      <c r="B68" s="346">
        <v>0.157138728174576</v>
      </c>
    </row>
    <row r="69" spans="2:2" x14ac:dyDescent="0.35">
      <c r="B69" s="346">
        <v>0.159811546525301</v>
      </c>
    </row>
    <row r="70" spans="2:2" x14ac:dyDescent="0.35">
      <c r="B70" s="346">
        <v>0.16211779668847301</v>
      </c>
    </row>
    <row r="71" spans="2:2" x14ac:dyDescent="0.35">
      <c r="B71" s="346">
        <v>0.16409436897030899</v>
      </c>
    </row>
    <row r="72" spans="2:2" x14ac:dyDescent="0.35">
      <c r="B72" s="346">
        <v>0.166115975710139</v>
      </c>
    </row>
    <row r="73" spans="2:2" x14ac:dyDescent="0.35">
      <c r="B73" s="346">
        <v>0.16857538555759199</v>
      </c>
    </row>
    <row r="74" spans="2:2" x14ac:dyDescent="0.35">
      <c r="B74" s="346">
        <v>0.171412207405196</v>
      </c>
    </row>
    <row r="75" spans="2:2" x14ac:dyDescent="0.35">
      <c r="B75" s="346">
        <v>0.1743732962899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20</vt:i4>
      </vt:variant>
    </vt:vector>
  </HeadingPairs>
  <TitlesOfParts>
    <vt:vector size="30" baseType="lpstr">
      <vt:lpstr>Appendix 6.8 Contents</vt:lpstr>
      <vt:lpstr>Appndx6.8.I.1-3</vt:lpstr>
      <vt:lpstr>Appndx 6.8.II.1</vt:lpstr>
      <vt:lpstr>Appndx 6.8.II.2</vt:lpstr>
      <vt:lpstr>Appndx 6.8.II.3</vt:lpstr>
      <vt:lpstr>Appndx 6.8.II.4</vt:lpstr>
      <vt:lpstr>Appndx 6.8.II.5</vt:lpstr>
      <vt:lpstr>Appndx 6.8.II.6</vt:lpstr>
      <vt:lpstr>Appndx 6.8.II.7</vt:lpstr>
      <vt:lpstr>Sheet1</vt:lpstr>
      <vt:lpstr>Fig2.11 rcorp</vt:lpstr>
      <vt:lpstr>Fig6.1</vt:lpstr>
      <vt:lpstr>Fig6.2</vt:lpstr>
      <vt:lpstr>Fig6.3</vt:lpstr>
      <vt:lpstr>Fig6.4</vt:lpstr>
      <vt:lpstr>Fig6.5</vt:lpstr>
      <vt:lpstr>Fig6.6</vt:lpstr>
      <vt:lpstr>Fig6.7a</vt:lpstr>
      <vt:lpstr>Fig6.7b</vt:lpstr>
      <vt:lpstr>AppFig6.7.1</vt:lpstr>
      <vt:lpstr>AppFig6.7.2</vt:lpstr>
      <vt:lpstr>AppFig6.7.3</vt:lpstr>
      <vt:lpstr>AppFig6.7.4</vt:lpstr>
      <vt:lpstr>AppFig6.7.5</vt:lpstr>
      <vt:lpstr>AppFig6.7.6</vt:lpstr>
      <vt:lpstr>AppFig6.7.7</vt:lpstr>
      <vt:lpstr>AppFig6.7.8</vt:lpstr>
      <vt:lpstr>AppFig6.7.9</vt:lpstr>
      <vt:lpstr>AppFig6.7.10</vt:lpstr>
      <vt:lpstr>AppFig6.7.11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shaikh@newschool.edu</dc:creator>
  <cp:lastModifiedBy>Anwar Shaikh</cp:lastModifiedBy>
  <cp:lastPrinted>2015-01-08T19:36:51Z</cp:lastPrinted>
  <dcterms:created xsi:type="dcterms:W3CDTF">2014-05-26T15:54:43Z</dcterms:created>
  <dcterms:modified xsi:type="dcterms:W3CDTF">2019-03-12T19:11:55Z</dcterms:modified>
</cp:coreProperties>
</file>