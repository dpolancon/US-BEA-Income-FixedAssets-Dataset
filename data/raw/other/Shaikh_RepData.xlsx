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GitHub\capacity_utilization\data\raw\"/>
    </mc:Choice>
  </mc:AlternateContent>
  <xr:revisionPtr revIDLastSave="0" documentId="13_ncr:1_{3920A6E7-6A8A-4A04-97B7-554E4C50A841}" xr6:coauthVersionLast="47" xr6:coauthVersionMax="47" xr10:uidLastSave="{00000000-0000-0000-0000-000000000000}"/>
  <bookViews>
    <workbookView xWindow="-108" yWindow="-108" windowWidth="23256" windowHeight="13896" activeTab="1" xr2:uid="{C83F9D3B-47A2-4939-AA47-024657928B35}"/>
  </bookViews>
  <sheets>
    <sheet name="wide" sheetId="1" r:id="rId1"/>
    <sheet name="long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2" i="2"/>
  <c r="A13" i="1"/>
</calcChain>
</file>

<file path=xl/sharedStrings.xml><?xml version="1.0" encoding="utf-8"?>
<sst xmlns="http://schemas.openxmlformats.org/spreadsheetml/2006/main" count="43" uniqueCount="36">
  <si>
    <t>Description</t>
  </si>
  <si>
    <t>Source</t>
  </si>
  <si>
    <t>Variable</t>
  </si>
  <si>
    <t>Gross Current-Cost Capital Stock, using BEA 1993 depreciation rate and initial value, adjusted for interwar period</t>
  </si>
  <si>
    <t>Adj. ratio applied to initial stock until 1947, KGC GPIM rule thereafter</t>
  </si>
  <si>
    <t>KGCcorp</t>
  </si>
  <si>
    <t>GVAcorp</t>
  </si>
  <si>
    <t>GVAcorpnipa (T 1.14, 1) + CorpImpIntAdj</t>
  </si>
  <si>
    <t>Py</t>
  </si>
  <si>
    <t>Price Indexes for Gross Domestic Product</t>
  </si>
  <si>
    <t>Table 1.1.4. Price Indexes for Gross Domestic Product
[Index numbers, 2011=100] 
Last Revised on: February 20, 2026 . *Original source index in base 2017=100. Modified for replication purposes.</t>
  </si>
  <si>
    <t>year</t>
  </si>
  <si>
    <t>u_shaikh</t>
  </si>
  <si>
    <t>Profshcorp</t>
  </si>
  <si>
    <t>Corporate Profit Share, adj. for imputed interest</t>
  </si>
  <si>
    <t>NOScorp/VAcorp</t>
  </si>
  <si>
    <t>NOScorp = Pcorp + NMINT</t>
  </si>
  <si>
    <t>Net Monetary Interest Paid and Transfers</t>
  </si>
  <si>
    <t>Corpnetmonint+corptransfers</t>
  </si>
  <si>
    <t xml:space="preserve">  NMINT</t>
  </si>
  <si>
    <t>VAcorp</t>
  </si>
  <si>
    <t>VAcorpnipa (T 1.14, 1 - 2) + CorpImpIntAdj</t>
  </si>
  <si>
    <t>NOScorp</t>
  </si>
  <si>
    <t>NOScorpnipa (T 1.14, 8) + CorpImpIntAdj</t>
  </si>
  <si>
    <t xml:space="preserve">   Corp Net Monetary Interest </t>
  </si>
  <si>
    <t xml:space="preserve">   Corpnetintnipa + CorpNFNetImpIntPaid</t>
  </si>
  <si>
    <t xml:space="preserve">    Corpnetmonint </t>
  </si>
  <si>
    <t xml:space="preserve">   Corp current transfer payments (net)</t>
  </si>
  <si>
    <t xml:space="preserve">   NIPA Corp curr transfers (net) (T 1.14, 10)</t>
  </si>
  <si>
    <t xml:space="preserve">    Corptransfers</t>
  </si>
  <si>
    <t>Corporate profits</t>
  </si>
  <si>
    <t>Pcorpnipa</t>
  </si>
  <si>
    <t>Pcorp</t>
  </si>
  <si>
    <t>Relative effect of imputed interest adjustment</t>
  </si>
  <si>
    <t>NOScorp/NOSnipa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</si>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</sst>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top"/>
    </xf>
    <xf numFmtId="164" fontId="5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165" fontId="0" fillId="0" borderId="0" xfId="0" applyNumberFormat="1" applyFont="1"/>
    <xf numFmtId="0" fontId="2" fillId="0" borderId="0" xfId="0" applyFont="1" applyAlignment="1">
      <alignment horizontal="left" vertical="top" wrapText="1"/>
    </xf>
    <xf numFmtId="0" fontId="7" fillId="0" borderId="0" xfId="0" applyFont="1"/>
    <xf numFmtId="2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81DD-96FF-47DA-948E-D4202C489A80}">
  <dimension ref="A1:BP13"/>
  <sheetViews>
    <sheetView workbookViewId="0">
      <selection activeCell="A25" sqref="A25"/>
    </sheetView>
  </sheetViews>
  <sheetFormatPr baseColWidth="10" defaultRowHeight="14.4" x14ac:dyDescent="0.3"/>
  <cols>
    <col min="1" max="1" width="39.109375" bestFit="1" customWidth="1"/>
    <col min="2" max="2" width="24" bestFit="1" customWidth="1"/>
    <col min="3" max="3" width="9.88671875" bestFit="1" customWidth="1"/>
  </cols>
  <sheetData>
    <row r="1" spans="1:68" ht="15.6" x14ac:dyDescent="0.3">
      <c r="A1" s="5" t="s">
        <v>0</v>
      </c>
      <c r="B1" s="5" t="s">
        <v>1</v>
      </c>
      <c r="C1" s="6" t="s">
        <v>2</v>
      </c>
      <c r="D1" s="7">
        <v>1947</v>
      </c>
      <c r="E1" s="7">
        <v>1948</v>
      </c>
      <c r="F1" s="7">
        <v>1949</v>
      </c>
      <c r="G1" s="7">
        <v>1950</v>
      </c>
      <c r="H1" s="7">
        <v>1951</v>
      </c>
      <c r="I1" s="7">
        <v>1952</v>
      </c>
      <c r="J1" s="7">
        <v>1953</v>
      </c>
      <c r="K1" s="7">
        <v>1954</v>
      </c>
      <c r="L1" s="7">
        <v>1955</v>
      </c>
      <c r="M1" s="7">
        <v>1956</v>
      </c>
      <c r="N1" s="7">
        <v>1957</v>
      </c>
      <c r="O1" s="7">
        <v>1958</v>
      </c>
      <c r="P1" s="7">
        <v>1959</v>
      </c>
      <c r="Q1" s="7">
        <v>1960</v>
      </c>
      <c r="R1" s="7">
        <v>1961</v>
      </c>
      <c r="S1" s="7">
        <v>1962</v>
      </c>
      <c r="T1" s="7">
        <v>1963</v>
      </c>
      <c r="U1" s="7">
        <v>1964</v>
      </c>
      <c r="V1" s="7">
        <v>1965</v>
      </c>
      <c r="W1" s="7">
        <v>1966</v>
      </c>
      <c r="X1" s="7">
        <v>1967</v>
      </c>
      <c r="Y1" s="7">
        <v>1968</v>
      </c>
      <c r="Z1" s="7">
        <v>1969</v>
      </c>
      <c r="AA1" s="7">
        <v>1970</v>
      </c>
      <c r="AB1" s="7">
        <v>1971</v>
      </c>
      <c r="AC1" s="7">
        <v>1972</v>
      </c>
      <c r="AD1" s="7">
        <v>1973</v>
      </c>
      <c r="AE1" s="7">
        <v>1974</v>
      </c>
      <c r="AF1" s="7">
        <v>1975</v>
      </c>
      <c r="AG1" s="7">
        <v>1976</v>
      </c>
      <c r="AH1" s="7">
        <v>1977</v>
      </c>
      <c r="AI1" s="7">
        <v>1978</v>
      </c>
      <c r="AJ1" s="7">
        <v>1979</v>
      </c>
      <c r="AK1" s="7">
        <v>1980</v>
      </c>
      <c r="AL1" s="7">
        <v>1981</v>
      </c>
      <c r="AM1" s="7">
        <v>1982</v>
      </c>
      <c r="AN1" s="7">
        <v>1983</v>
      </c>
      <c r="AO1" s="7">
        <v>1984</v>
      </c>
      <c r="AP1" s="7">
        <v>1985</v>
      </c>
      <c r="AQ1" s="7">
        <v>1986</v>
      </c>
      <c r="AR1" s="7">
        <v>1987</v>
      </c>
      <c r="AS1" s="7">
        <v>1988</v>
      </c>
      <c r="AT1" s="7">
        <v>1989</v>
      </c>
      <c r="AU1" s="7">
        <v>1990</v>
      </c>
      <c r="AV1" s="7">
        <v>1991</v>
      </c>
      <c r="AW1" s="7">
        <v>1992</v>
      </c>
      <c r="AX1" s="7">
        <v>1993</v>
      </c>
      <c r="AY1" s="7">
        <v>1994</v>
      </c>
      <c r="AZ1" s="7">
        <v>1995</v>
      </c>
      <c r="BA1" s="7">
        <v>1996</v>
      </c>
      <c r="BB1" s="7">
        <v>1997</v>
      </c>
      <c r="BC1" s="7">
        <v>1998</v>
      </c>
      <c r="BD1" s="7">
        <v>1999</v>
      </c>
      <c r="BE1" s="7">
        <v>2000</v>
      </c>
      <c r="BF1" s="7">
        <v>2001</v>
      </c>
      <c r="BG1" s="7">
        <v>2002</v>
      </c>
      <c r="BH1" s="7">
        <v>2003</v>
      </c>
      <c r="BI1" s="7">
        <v>2004</v>
      </c>
      <c r="BJ1" s="7">
        <v>2005</v>
      </c>
      <c r="BK1" s="7">
        <v>2006</v>
      </c>
      <c r="BL1" s="7">
        <v>2007</v>
      </c>
      <c r="BM1" s="7">
        <v>2008</v>
      </c>
      <c r="BN1" s="7">
        <v>2009</v>
      </c>
      <c r="BO1" s="7">
        <v>2010</v>
      </c>
      <c r="BP1" s="7">
        <v>2011</v>
      </c>
    </row>
    <row r="2" spans="1:68" x14ac:dyDescent="0.3">
      <c r="A2" s="1" t="s">
        <v>6</v>
      </c>
      <c r="B2" s="8" t="s">
        <v>7</v>
      </c>
      <c r="C2" s="2" t="s">
        <v>6</v>
      </c>
      <c r="D2" s="9">
        <v>127.5</v>
      </c>
      <c r="E2" s="9">
        <v>146.4</v>
      </c>
      <c r="F2" s="9">
        <v>143.6</v>
      </c>
      <c r="G2" s="9">
        <v>162.6</v>
      </c>
      <c r="H2" s="9">
        <v>186.5</v>
      </c>
      <c r="I2" s="9">
        <v>195.4</v>
      </c>
      <c r="J2" s="9">
        <v>209</v>
      </c>
      <c r="K2" s="9">
        <v>206.6</v>
      </c>
      <c r="L2" s="9">
        <v>232.8</v>
      </c>
      <c r="M2" s="9">
        <v>249.2</v>
      </c>
      <c r="N2" s="9">
        <v>261</v>
      </c>
      <c r="O2" s="9">
        <v>256.2</v>
      </c>
      <c r="P2" s="9">
        <v>287.2</v>
      </c>
      <c r="Q2" s="9">
        <v>299.79999999999995</v>
      </c>
      <c r="R2" s="9">
        <v>308.00000000000006</v>
      </c>
      <c r="S2" s="9">
        <v>335.4</v>
      </c>
      <c r="T2" s="9">
        <v>356.7</v>
      </c>
      <c r="U2" s="9">
        <v>385.09999999999997</v>
      </c>
      <c r="V2" s="9">
        <v>422.5</v>
      </c>
      <c r="W2" s="9">
        <v>462.8</v>
      </c>
      <c r="X2" s="9">
        <v>488.1</v>
      </c>
      <c r="Y2" s="9">
        <v>540</v>
      </c>
      <c r="Z2" s="9">
        <v>587.70000000000005</v>
      </c>
      <c r="AA2" s="9">
        <v>609.79999999999995</v>
      </c>
      <c r="AB2" s="9">
        <v>658.9</v>
      </c>
      <c r="AC2" s="9">
        <v>731.2</v>
      </c>
      <c r="AD2" s="9">
        <v>820.2</v>
      </c>
      <c r="AE2" s="9">
        <v>887.3</v>
      </c>
      <c r="AF2" s="9">
        <v>959.8</v>
      </c>
      <c r="AG2" s="9">
        <v>1081.9000000000001</v>
      </c>
      <c r="AH2" s="9">
        <v>1223.5</v>
      </c>
      <c r="AI2" s="9">
        <v>1397.8999999999999</v>
      </c>
      <c r="AJ2" s="9">
        <v>1555.2</v>
      </c>
      <c r="AK2" s="9">
        <v>1684.2</v>
      </c>
      <c r="AL2" s="9">
        <v>1905.8999999999999</v>
      </c>
      <c r="AM2" s="9">
        <v>1982.6</v>
      </c>
      <c r="AN2" s="9">
        <v>2129.1</v>
      </c>
      <c r="AO2" s="9">
        <v>2386.1</v>
      </c>
      <c r="AP2" s="9">
        <v>2548.5</v>
      </c>
      <c r="AQ2" s="9">
        <v>2662.2</v>
      </c>
      <c r="AR2" s="9">
        <v>2858.7999999999997</v>
      </c>
      <c r="AS2" s="9">
        <v>3109.7</v>
      </c>
      <c r="AT2" s="9">
        <v>3281.1</v>
      </c>
      <c r="AU2" s="9">
        <v>3437.9</v>
      </c>
      <c r="AV2" s="9">
        <v>3541.5</v>
      </c>
      <c r="AW2" s="9">
        <v>3712</v>
      </c>
      <c r="AX2" s="9">
        <v>3891.5</v>
      </c>
      <c r="AY2" s="9">
        <v>4181.8999999999996</v>
      </c>
      <c r="AZ2" s="9">
        <v>4457.1000000000004</v>
      </c>
      <c r="BA2" s="9">
        <v>4718.7</v>
      </c>
      <c r="BB2" s="9">
        <v>5062.3999999999996</v>
      </c>
      <c r="BC2" s="9">
        <v>5360</v>
      </c>
      <c r="BD2" s="9">
        <v>5708.5</v>
      </c>
      <c r="BE2" s="9">
        <v>6109.5999999999995</v>
      </c>
      <c r="BF2" s="9">
        <v>6145.2999999999993</v>
      </c>
      <c r="BG2" s="9">
        <v>6238.3</v>
      </c>
      <c r="BH2" s="9">
        <v>6482.8</v>
      </c>
      <c r="BI2" s="9">
        <v>6936.6</v>
      </c>
      <c r="BJ2" s="9">
        <v>7469.4</v>
      </c>
      <c r="BK2" s="9">
        <v>7957.1</v>
      </c>
      <c r="BL2" s="9">
        <v>8120.5000000000009</v>
      </c>
      <c r="BM2" s="9">
        <v>8003.8</v>
      </c>
      <c r="BN2" s="9">
        <v>7793.2999999999993</v>
      </c>
      <c r="BO2" s="9">
        <v>8232</v>
      </c>
      <c r="BP2" s="9">
        <v>8676.1999999999989</v>
      </c>
    </row>
    <row r="3" spans="1:68" ht="60" x14ac:dyDescent="0.3">
      <c r="A3" s="3" t="s">
        <v>3</v>
      </c>
      <c r="B3" s="4" t="s">
        <v>4</v>
      </c>
      <c r="C3" s="3" t="s">
        <v>5</v>
      </c>
      <c r="D3">
        <v>170.58283370974769</v>
      </c>
      <c r="E3">
        <v>191.68359280651978</v>
      </c>
      <c r="F3">
        <v>200.7047696097666</v>
      </c>
      <c r="G3">
        <v>230.20600652901382</v>
      </c>
      <c r="H3">
        <v>255.84979414602253</v>
      </c>
      <c r="I3">
        <v>276.73284181520842</v>
      </c>
      <c r="J3">
        <v>296.53555848647704</v>
      </c>
      <c r="K3">
        <v>311.23510269058767</v>
      </c>
      <c r="L3">
        <v>347.98339125729046</v>
      </c>
      <c r="M3">
        <v>391.84737262800849</v>
      </c>
      <c r="N3">
        <v>426.58610936054731</v>
      </c>
      <c r="O3">
        <v>442.59008309327965</v>
      </c>
      <c r="P3">
        <v>469.2512596112735</v>
      </c>
      <c r="Q3">
        <v>484.93225288290358</v>
      </c>
      <c r="R3">
        <v>503.27763471608745</v>
      </c>
      <c r="S3">
        <v>525.44923899800187</v>
      </c>
      <c r="T3">
        <v>548.43172015159848</v>
      </c>
      <c r="U3">
        <v>584.41674060841797</v>
      </c>
      <c r="V3">
        <v>629.51384997359241</v>
      </c>
      <c r="W3">
        <v>689.33894427325106</v>
      </c>
      <c r="X3">
        <v>753.33113522681447</v>
      </c>
      <c r="Y3">
        <v>835.85126617602316</v>
      </c>
      <c r="Z3">
        <v>928.3262407092185</v>
      </c>
      <c r="AA3">
        <v>1032.4109896184032</v>
      </c>
      <c r="AB3">
        <v>1145.8564474489679</v>
      </c>
      <c r="AC3">
        <v>1256.3166880969834</v>
      </c>
      <c r="AD3">
        <v>1429.5600183096162</v>
      </c>
      <c r="AE3">
        <v>1763.5896893717154</v>
      </c>
      <c r="AF3">
        <v>1983.0408217262743</v>
      </c>
      <c r="AG3">
        <v>2204.961979321552</v>
      </c>
      <c r="AH3">
        <v>2477.8222116408647</v>
      </c>
      <c r="AI3">
        <v>2835.8341845926316</v>
      </c>
      <c r="AJ3">
        <v>3283.9472079486036</v>
      </c>
      <c r="AK3">
        <v>3800.0711216002474</v>
      </c>
      <c r="AL3">
        <v>4326.9839530503541</v>
      </c>
      <c r="AM3">
        <v>4638.9577760993016</v>
      </c>
      <c r="AN3">
        <v>4822.6751063715528</v>
      </c>
      <c r="AO3">
        <v>5136.9718432926129</v>
      </c>
      <c r="AP3">
        <v>5450.7339934434549</v>
      </c>
      <c r="AQ3">
        <v>5739.714132823804</v>
      </c>
      <c r="AR3">
        <v>6092.1964278163705</v>
      </c>
      <c r="AS3">
        <v>6531.1328708283454</v>
      </c>
      <c r="AT3">
        <v>6967.2695129476142</v>
      </c>
      <c r="AU3">
        <v>7416.8195516211827</v>
      </c>
      <c r="AV3">
        <v>7670.8141193721458</v>
      </c>
      <c r="AW3">
        <v>8013.0348011428432</v>
      </c>
      <c r="AX3">
        <v>8456.6793089390594</v>
      </c>
      <c r="AY3">
        <v>8977.8033935969743</v>
      </c>
      <c r="AZ3">
        <v>9530.4326970320108</v>
      </c>
      <c r="BA3">
        <v>10053.447802744928</v>
      </c>
      <c r="BB3">
        <v>10645.467618064265</v>
      </c>
      <c r="BC3">
        <v>11273.091065707426</v>
      </c>
      <c r="BD3">
        <v>11967.667396537861</v>
      </c>
      <c r="BE3">
        <v>12840.566656941339</v>
      </c>
      <c r="BF3">
        <v>13620.733166343192</v>
      </c>
      <c r="BG3">
        <v>14281.233872520141</v>
      </c>
      <c r="BH3">
        <v>14892.479153434093</v>
      </c>
      <c r="BI3">
        <v>16199.660108377739</v>
      </c>
      <c r="BJ3">
        <v>17723.462355358093</v>
      </c>
      <c r="BK3">
        <v>19265.16196987102</v>
      </c>
      <c r="BL3">
        <v>20353.558169953449</v>
      </c>
      <c r="BM3">
        <v>21776.885775207476</v>
      </c>
      <c r="BN3">
        <v>21294.719040537588</v>
      </c>
      <c r="BO3">
        <v>21982.081961583935</v>
      </c>
      <c r="BP3">
        <v>23023.968602353023</v>
      </c>
    </row>
    <row r="4" spans="1:68" ht="84.6" x14ac:dyDescent="0.3">
      <c r="A4" s="2" t="s">
        <v>9</v>
      </c>
      <c r="B4" s="10" t="s">
        <v>10</v>
      </c>
      <c r="C4" t="s">
        <v>8</v>
      </c>
      <c r="D4">
        <v>12.474580718518357</v>
      </c>
      <c r="E4">
        <v>13.181947390287103</v>
      </c>
      <c r="F4">
        <v>13.176480878140513</v>
      </c>
      <c r="G4">
        <v>13.301117355082765</v>
      </c>
      <c r="H4">
        <v>14.203091859270112</v>
      </c>
      <c r="I4">
        <v>14.512496446767104</v>
      </c>
      <c r="J4">
        <v>14.698357859751166</v>
      </c>
      <c r="K4">
        <v>14.848140292567731</v>
      </c>
      <c r="L4">
        <v>15.058054358996786</v>
      </c>
      <c r="M4">
        <v>15.572999803205565</v>
      </c>
      <c r="N4">
        <v>16.117464413005926</v>
      </c>
      <c r="O4">
        <v>16.493560448691319</v>
      </c>
      <c r="P4">
        <v>16.711127632125599</v>
      </c>
      <c r="Q4">
        <v>16.939627839853063</v>
      </c>
      <c r="R4">
        <v>17.120022740690533</v>
      </c>
      <c r="S4">
        <v>17.327750202260951</v>
      </c>
      <c r="T4">
        <v>17.52563794196751</v>
      </c>
      <c r="U4">
        <v>17.793497037150416</v>
      </c>
      <c r="V4">
        <v>18.118207858657861</v>
      </c>
      <c r="W4">
        <v>18.62659348829073</v>
      </c>
      <c r="X4">
        <v>19.166684888373823</v>
      </c>
      <c r="Y4">
        <v>19.982288500645051</v>
      </c>
      <c r="Z4">
        <v>20.964074082172612</v>
      </c>
      <c r="AA4">
        <v>22.069402838213108</v>
      </c>
      <c r="AB4">
        <v>23.190037828264057</v>
      </c>
      <c r="AC4">
        <v>24.192596155948664</v>
      </c>
      <c r="AD4">
        <v>25.517678700282072</v>
      </c>
      <c r="AE4">
        <v>27.807053987273964</v>
      </c>
      <c r="AF4">
        <v>30.389434325323073</v>
      </c>
      <c r="AG4">
        <v>32.063280344608934</v>
      </c>
      <c r="AH4">
        <v>34.054184068397007</v>
      </c>
      <c r="AI4">
        <v>36.449609691032734</v>
      </c>
      <c r="AJ4">
        <v>39.472590908097004</v>
      </c>
      <c r="AK4">
        <v>43.048783154396169</v>
      </c>
      <c r="AL4">
        <v>47.112588284171167</v>
      </c>
      <c r="AM4">
        <v>50.025145955874322</v>
      </c>
      <c r="AN4">
        <v>51.981064001924217</v>
      </c>
      <c r="AO4">
        <v>53.858264273063213</v>
      </c>
      <c r="AP4">
        <v>55.561629457940661</v>
      </c>
      <c r="AQ4">
        <v>56.687730960138197</v>
      </c>
      <c r="AR4">
        <v>58.082784859947957</v>
      </c>
      <c r="AS4">
        <v>60.133820217348521</v>
      </c>
      <c r="AT4">
        <v>62.492073557387442</v>
      </c>
      <c r="AU4">
        <v>64.840487175562501</v>
      </c>
      <c r="AV4">
        <v>67.022718824481231</v>
      </c>
      <c r="AW4">
        <v>68.551155620667799</v>
      </c>
      <c r="AX4">
        <v>70.177989635492978</v>
      </c>
      <c r="AY4">
        <v>71.67362735879999</v>
      </c>
      <c r="AZ4">
        <v>73.178011501541576</v>
      </c>
      <c r="BA4">
        <v>74.51512037259748</v>
      </c>
      <c r="BB4">
        <v>75.80631054162204</v>
      </c>
      <c r="BC4">
        <v>76.642686900050307</v>
      </c>
      <c r="BD4">
        <v>77.716309885640584</v>
      </c>
      <c r="BE4">
        <v>79.492926333282327</v>
      </c>
      <c r="BF4">
        <v>81.325301204819297</v>
      </c>
      <c r="BG4">
        <v>82.544333413508852</v>
      </c>
      <c r="BH4">
        <v>84.197406686637663</v>
      </c>
      <c r="BI4">
        <v>86.446329783744787</v>
      </c>
      <c r="BJ4">
        <v>89.144600179301605</v>
      </c>
      <c r="BK4">
        <v>91.918308442481361</v>
      </c>
      <c r="BL4">
        <v>94.408851376467766</v>
      </c>
      <c r="BM4">
        <v>96.185467824109523</v>
      </c>
      <c r="BN4">
        <v>96.81958323311396</v>
      </c>
      <c r="BO4">
        <v>97.97957711062034</v>
      </c>
      <c r="BP4">
        <v>99.999999999999986</v>
      </c>
    </row>
    <row r="5" spans="1:68" x14ac:dyDescent="0.3">
      <c r="A5" t="s">
        <v>14</v>
      </c>
      <c r="B5" t="s">
        <v>15</v>
      </c>
      <c r="C5" t="s">
        <v>13</v>
      </c>
      <c r="D5">
        <v>0.20994940978077573</v>
      </c>
      <c r="E5">
        <v>0.2360294117647059</v>
      </c>
      <c r="F5">
        <v>0.22809667673716011</v>
      </c>
      <c r="G5">
        <v>0.24701195219123509</v>
      </c>
      <c r="H5">
        <v>0.24580682475419316</v>
      </c>
      <c r="I5">
        <v>0.2244333886124931</v>
      </c>
      <c r="J5">
        <v>0.21229338842975204</v>
      </c>
      <c r="K5">
        <v>0.21165966386554619</v>
      </c>
      <c r="L5">
        <v>0.23783031988873435</v>
      </c>
      <c r="M5">
        <v>0.21869565217391307</v>
      </c>
      <c r="N5">
        <v>0.21068001668752612</v>
      </c>
      <c r="O5">
        <v>0.19871520342612417</v>
      </c>
      <c r="P5">
        <v>0.21897533206831118</v>
      </c>
      <c r="Q5">
        <v>0.20739666424945616</v>
      </c>
      <c r="R5">
        <v>0.20783345095271699</v>
      </c>
      <c r="S5">
        <v>0.21845756695708296</v>
      </c>
      <c r="T5">
        <v>0.22484848484848485</v>
      </c>
      <c r="U5">
        <v>0.23003642476884281</v>
      </c>
      <c r="V5">
        <v>0.24075490946187197</v>
      </c>
      <c r="W5">
        <v>0.23754075454122028</v>
      </c>
      <c r="X5">
        <v>0.22490582760912917</v>
      </c>
      <c r="Y5">
        <v>0.2208650380456548</v>
      </c>
      <c r="Z5">
        <v>0.20457058606708439</v>
      </c>
      <c r="AA5">
        <v>0.18327974276527334</v>
      </c>
      <c r="AB5">
        <v>0.19202118854494291</v>
      </c>
      <c r="AC5">
        <v>0.19612807148175723</v>
      </c>
      <c r="AD5">
        <v>0.19275189167662282</v>
      </c>
      <c r="AE5">
        <v>0.17612863327149042</v>
      </c>
      <c r="AF5">
        <v>0.19193436561127805</v>
      </c>
      <c r="AG5">
        <v>0.19510947411499899</v>
      </c>
      <c r="AH5">
        <v>0.19963817277250115</v>
      </c>
      <c r="AI5">
        <v>0.20028487773996997</v>
      </c>
      <c r="AJ5">
        <v>0.18791514891793443</v>
      </c>
      <c r="AK5">
        <v>0.16996809359212975</v>
      </c>
      <c r="AL5">
        <v>0.1786429496996112</v>
      </c>
      <c r="AM5">
        <v>0.16908405664687073</v>
      </c>
      <c r="AN5">
        <v>0.18218880711600571</v>
      </c>
      <c r="AO5">
        <v>0.19862178886180384</v>
      </c>
      <c r="AP5">
        <v>0.19558151791988754</v>
      </c>
      <c r="AQ5">
        <v>0.18226268757376496</v>
      </c>
      <c r="AR5">
        <v>0.18763468244328646</v>
      </c>
      <c r="AS5">
        <v>0.19723830414613977</v>
      </c>
      <c r="AT5">
        <v>0.19602088523359384</v>
      </c>
      <c r="AU5">
        <v>0.18917419817938594</v>
      </c>
      <c r="AV5">
        <v>0.18800406426620944</v>
      </c>
      <c r="AW5">
        <v>0.18386706948640483</v>
      </c>
      <c r="AX5">
        <v>0.1847093391715158</v>
      </c>
      <c r="AY5">
        <v>0.19531709927749535</v>
      </c>
      <c r="AZ5">
        <v>0.20732105620179386</v>
      </c>
      <c r="BA5">
        <v>0.21532508842310155</v>
      </c>
      <c r="BB5">
        <v>0.21913081941833465</v>
      </c>
      <c r="BC5">
        <v>0.20210385427776734</v>
      </c>
      <c r="BD5">
        <v>0.19922482145316472</v>
      </c>
      <c r="BE5">
        <v>0.18569453405843855</v>
      </c>
      <c r="BF5">
        <v>0.17844875346260389</v>
      </c>
      <c r="BG5">
        <v>0.18413468553917992</v>
      </c>
      <c r="BH5">
        <v>0.19001979920452752</v>
      </c>
      <c r="BI5">
        <v>0.2134347357770017</v>
      </c>
      <c r="BJ5">
        <v>0.22875955498372819</v>
      </c>
      <c r="BK5">
        <v>0.23525145067698255</v>
      </c>
      <c r="BL5">
        <v>0.21706706216507396</v>
      </c>
      <c r="BM5">
        <v>0.18472323771020596</v>
      </c>
      <c r="BN5">
        <v>0.20949592630380459</v>
      </c>
      <c r="BO5">
        <v>0.24128790507251405</v>
      </c>
      <c r="BP5">
        <v>0.24459241164650722</v>
      </c>
    </row>
    <row r="6" spans="1:68" x14ac:dyDescent="0.3">
      <c r="B6" t="s">
        <v>16</v>
      </c>
    </row>
    <row r="7" spans="1:68" x14ac:dyDescent="0.3">
      <c r="A7" s="3" t="s">
        <v>17</v>
      </c>
      <c r="B7" s="3" t="s">
        <v>18</v>
      </c>
      <c r="C7" s="10" t="s">
        <v>19</v>
      </c>
    </row>
    <row r="8" spans="1:68" x14ac:dyDescent="0.3">
      <c r="A8" s="1" t="s">
        <v>20</v>
      </c>
      <c r="B8" s="1" t="s">
        <v>21</v>
      </c>
      <c r="C8" s="2" t="s">
        <v>20</v>
      </c>
    </row>
    <row r="9" spans="1:68" x14ac:dyDescent="0.3">
      <c r="A9" s="1" t="s">
        <v>22</v>
      </c>
      <c r="B9" s="1" t="s">
        <v>23</v>
      </c>
      <c r="C9" s="2" t="s">
        <v>22</v>
      </c>
    </row>
    <row r="10" spans="1:68" ht="24" x14ac:dyDescent="0.3">
      <c r="A10" s="1" t="s">
        <v>24</v>
      </c>
      <c r="B10" s="16" t="s">
        <v>25</v>
      </c>
      <c r="C10" s="2" t="s">
        <v>26</v>
      </c>
    </row>
    <row r="11" spans="1:68" x14ac:dyDescent="0.3">
      <c r="A11" s="1" t="s">
        <v>27</v>
      </c>
      <c r="B11" s="1" t="s">
        <v>28</v>
      </c>
      <c r="C11" s="2" t="s">
        <v>29</v>
      </c>
    </row>
    <row r="12" spans="1:68" x14ac:dyDescent="0.3">
      <c r="A12" s="1" t="s">
        <v>30</v>
      </c>
      <c r="B12" s="1" t="s">
        <v>31</v>
      </c>
      <c r="C12" s="17" t="s">
        <v>32</v>
      </c>
    </row>
    <row r="13" spans="1:68" x14ac:dyDescent="0.3">
      <c r="A13" s="18" t="e">
        <f>AVERAGE(D13:BP13)</f>
        <v>#DIV/0!</v>
      </c>
      <c r="B13" s="19" t="s">
        <v>33</v>
      </c>
      <c r="C13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45B1-43D9-4FF8-AB53-FBC58CCD22E0}">
  <dimension ref="A1:K66"/>
  <sheetViews>
    <sheetView tabSelected="1" zoomScale="129" workbookViewId="0">
      <selection activeCell="H6" sqref="H6"/>
    </sheetView>
  </sheetViews>
  <sheetFormatPr baseColWidth="10" defaultRowHeight="14.4" x14ac:dyDescent="0.3"/>
  <sheetData>
    <row r="1" spans="1:11" x14ac:dyDescent="0.3">
      <c r="A1" s="13" t="s">
        <v>11</v>
      </c>
      <c r="B1" s="13" t="s">
        <v>6</v>
      </c>
      <c r="C1" s="14" t="s">
        <v>5</v>
      </c>
      <c r="D1" s="13" t="s">
        <v>8</v>
      </c>
      <c r="E1" s="13" t="s">
        <v>12</v>
      </c>
      <c r="F1" s="7" t="s">
        <v>13</v>
      </c>
      <c r="G1" s="13" t="s">
        <v>35</v>
      </c>
    </row>
    <row r="2" spans="1:11" x14ac:dyDescent="0.3">
      <c r="A2" s="11">
        <v>1947</v>
      </c>
      <c r="B2" s="12">
        <v>127.5</v>
      </c>
      <c r="C2">
        <v>170.58283370974769</v>
      </c>
      <c r="D2" s="11">
        <v>12.474580718518357</v>
      </c>
      <c r="E2" s="15">
        <v>0.88510638475418102</v>
      </c>
      <c r="F2">
        <v>0.20994940978077573</v>
      </c>
      <c r="G2">
        <f>F2/(1-F2)</f>
        <v>0.2657417289220918</v>
      </c>
    </row>
    <row r="3" spans="1:11" x14ac:dyDescent="0.3">
      <c r="A3" s="11">
        <v>1948</v>
      </c>
      <c r="B3" s="12">
        <v>146.4</v>
      </c>
      <c r="C3">
        <v>191.68359280651978</v>
      </c>
      <c r="D3" s="11">
        <v>13.181947390287103</v>
      </c>
      <c r="E3" s="15">
        <v>0.92389321327209495</v>
      </c>
      <c r="F3">
        <v>0.2360294117647059</v>
      </c>
      <c r="G3">
        <f t="shared" ref="G3:G66" si="0">F3/(1-F3)</f>
        <v>0.30895091434071226</v>
      </c>
    </row>
    <row r="4" spans="1:11" x14ac:dyDescent="0.3">
      <c r="A4" s="11">
        <v>1949</v>
      </c>
      <c r="B4" s="12">
        <v>143.6</v>
      </c>
      <c r="C4">
        <v>200.7047696097666</v>
      </c>
      <c r="D4" s="11">
        <v>13.176480878140513</v>
      </c>
      <c r="E4" s="15">
        <v>0.86980038881301902</v>
      </c>
      <c r="F4">
        <v>0.22809667673716011</v>
      </c>
      <c r="G4">
        <f t="shared" si="0"/>
        <v>0.29549902152641877</v>
      </c>
    </row>
    <row r="5" spans="1:11" x14ac:dyDescent="0.3">
      <c r="A5" s="11">
        <v>1950</v>
      </c>
      <c r="B5" s="12">
        <v>162.6</v>
      </c>
      <c r="C5">
        <v>230.20600652901382</v>
      </c>
      <c r="D5" s="11">
        <v>13.301117355082765</v>
      </c>
      <c r="E5" s="15">
        <v>0.87900775671005205</v>
      </c>
      <c r="F5">
        <v>0.24701195219123509</v>
      </c>
      <c r="G5">
        <f t="shared" si="0"/>
        <v>0.32804232804232808</v>
      </c>
    </row>
    <row r="6" spans="1:11" x14ac:dyDescent="0.3">
      <c r="A6" s="11">
        <v>1951</v>
      </c>
      <c r="B6" s="12">
        <v>186.5</v>
      </c>
      <c r="C6">
        <v>255.84979414602253</v>
      </c>
      <c r="D6" s="11">
        <v>14.203091859270112</v>
      </c>
      <c r="E6" s="15">
        <v>0.92584294080734297</v>
      </c>
      <c r="F6">
        <v>0.24580682475419316</v>
      </c>
      <c r="G6">
        <f t="shared" si="0"/>
        <v>0.32592024539877296</v>
      </c>
      <c r="H6" s="11"/>
      <c r="K6" s="20"/>
    </row>
    <row r="7" spans="1:11" x14ac:dyDescent="0.3">
      <c r="A7" s="11">
        <v>1952</v>
      </c>
      <c r="B7" s="12">
        <v>195.4</v>
      </c>
      <c r="C7">
        <v>276.73284181520842</v>
      </c>
      <c r="D7" s="11">
        <v>14.512496446767104</v>
      </c>
      <c r="E7" s="15">
        <v>0.91023296117782604</v>
      </c>
      <c r="F7">
        <v>0.2244333886124931</v>
      </c>
      <c r="G7">
        <f t="shared" si="0"/>
        <v>0.28937990021382753</v>
      </c>
    </row>
    <row r="8" spans="1:11" x14ac:dyDescent="0.3">
      <c r="A8" s="11">
        <v>1953</v>
      </c>
      <c r="B8" s="12">
        <v>209</v>
      </c>
      <c r="C8">
        <v>296.53555848647704</v>
      </c>
      <c r="D8" s="11">
        <v>14.698357859751166</v>
      </c>
      <c r="E8" s="15">
        <v>0.92477166652679399</v>
      </c>
      <c r="F8">
        <v>0.21229338842975204</v>
      </c>
      <c r="G8">
        <f t="shared" si="0"/>
        <v>0.26950819672131143</v>
      </c>
    </row>
    <row r="9" spans="1:11" x14ac:dyDescent="0.3">
      <c r="A9" s="11">
        <v>1954</v>
      </c>
      <c r="B9" s="12">
        <v>206.6</v>
      </c>
      <c r="C9">
        <v>311.23510269058767</v>
      </c>
      <c r="D9" s="11">
        <v>14.848140292567731</v>
      </c>
      <c r="E9" s="15">
        <v>0.87672096490859996</v>
      </c>
      <c r="F9">
        <v>0.21165966386554619</v>
      </c>
      <c r="G9">
        <f t="shared" si="0"/>
        <v>0.26848767488341096</v>
      </c>
    </row>
    <row r="10" spans="1:11" x14ac:dyDescent="0.3">
      <c r="A10" s="11">
        <v>1955</v>
      </c>
      <c r="B10" s="12">
        <v>232.8</v>
      </c>
      <c r="C10">
        <v>347.98339125729046</v>
      </c>
      <c r="D10" s="11">
        <v>15.058054358996786</v>
      </c>
      <c r="E10" s="15">
        <v>0.90311419963836703</v>
      </c>
      <c r="F10">
        <v>0.23783031988873435</v>
      </c>
      <c r="G10">
        <f t="shared" si="0"/>
        <v>0.31204379562043794</v>
      </c>
    </row>
    <row r="11" spans="1:11" x14ac:dyDescent="0.3">
      <c r="A11" s="11">
        <v>1956</v>
      </c>
      <c r="B11" s="12">
        <v>249.2</v>
      </c>
      <c r="C11">
        <v>391.84737262800849</v>
      </c>
      <c r="D11" s="11">
        <v>15.572999803205565</v>
      </c>
      <c r="E11" s="15">
        <v>0.86929577589035001</v>
      </c>
      <c r="F11">
        <v>0.21869565217391307</v>
      </c>
      <c r="G11">
        <f t="shared" si="0"/>
        <v>0.2799109627156372</v>
      </c>
    </row>
    <row r="12" spans="1:11" x14ac:dyDescent="0.3">
      <c r="A12" s="11">
        <v>1957</v>
      </c>
      <c r="B12" s="12">
        <v>261</v>
      </c>
      <c r="C12">
        <v>426.58610936054731</v>
      </c>
      <c r="D12" s="11">
        <v>16.117464413005926</v>
      </c>
      <c r="E12" s="15">
        <v>0.84395122528076205</v>
      </c>
      <c r="F12">
        <v>0.21068001668752612</v>
      </c>
      <c r="G12">
        <f t="shared" si="0"/>
        <v>0.26691331923890071</v>
      </c>
    </row>
    <row r="13" spans="1:11" x14ac:dyDescent="0.3">
      <c r="A13" s="11">
        <v>1958</v>
      </c>
      <c r="B13" s="12">
        <v>256.2</v>
      </c>
      <c r="C13">
        <v>442.59008309327965</v>
      </c>
      <c r="D13" s="11">
        <v>16.493560448691319</v>
      </c>
      <c r="E13" s="15">
        <v>0.79810518026351895</v>
      </c>
      <c r="F13">
        <v>0.19871520342612417</v>
      </c>
      <c r="G13">
        <f t="shared" si="0"/>
        <v>0.24799572421165147</v>
      </c>
    </row>
    <row r="14" spans="1:11" x14ac:dyDescent="0.3">
      <c r="A14" s="11">
        <v>1959</v>
      </c>
      <c r="B14" s="12">
        <v>287.2</v>
      </c>
      <c r="C14">
        <v>469.2512596112735</v>
      </c>
      <c r="D14" s="11">
        <v>16.711127632125599</v>
      </c>
      <c r="E14" s="15">
        <v>0.861047804355621</v>
      </c>
      <c r="F14">
        <v>0.21897533206831118</v>
      </c>
      <c r="G14">
        <f t="shared" si="0"/>
        <v>0.28036929057337218</v>
      </c>
    </row>
    <row r="15" spans="1:11" x14ac:dyDescent="0.3">
      <c r="A15" s="11">
        <v>1960</v>
      </c>
      <c r="B15" s="12">
        <v>299.79999999999995</v>
      </c>
      <c r="C15">
        <v>484.93225288290358</v>
      </c>
      <c r="D15" s="11">
        <v>16.939627839853063</v>
      </c>
      <c r="E15" s="15">
        <v>0.88093119859695401</v>
      </c>
      <c r="F15">
        <v>0.20739666424945616</v>
      </c>
      <c r="G15">
        <f t="shared" si="0"/>
        <v>0.26166514181152795</v>
      </c>
    </row>
    <row r="16" spans="1:11" x14ac:dyDescent="0.3">
      <c r="A16" s="11">
        <v>1961</v>
      </c>
      <c r="B16" s="12">
        <v>308.00000000000006</v>
      </c>
      <c r="C16">
        <v>503.27763471608745</v>
      </c>
      <c r="D16" s="11">
        <v>17.120022740690533</v>
      </c>
      <c r="E16" s="15">
        <v>0.88277721405029297</v>
      </c>
      <c r="F16">
        <v>0.20783345095271699</v>
      </c>
      <c r="G16">
        <f t="shared" si="0"/>
        <v>0.26236080178173715</v>
      </c>
    </row>
    <row r="17" spans="1:7" x14ac:dyDescent="0.3">
      <c r="A17" s="11">
        <v>1962</v>
      </c>
      <c r="B17" s="12">
        <v>335.4</v>
      </c>
      <c r="C17">
        <v>525.44923899800187</v>
      </c>
      <c r="D17" s="11">
        <v>17.327750202260951</v>
      </c>
      <c r="E17" s="15">
        <v>0.93909597396850597</v>
      </c>
      <c r="F17">
        <v>0.21845756695708296</v>
      </c>
      <c r="G17">
        <f t="shared" si="0"/>
        <v>0.27952105697770441</v>
      </c>
    </row>
    <row r="18" spans="1:7" x14ac:dyDescent="0.3">
      <c r="A18" s="11">
        <v>1963</v>
      </c>
      <c r="B18" s="12">
        <v>356.7</v>
      </c>
      <c r="C18">
        <v>548.43172015159848</v>
      </c>
      <c r="D18" s="11">
        <v>17.52563794196751</v>
      </c>
      <c r="E18" s="15">
        <v>0.97143566608428999</v>
      </c>
      <c r="F18">
        <v>0.22484848484848485</v>
      </c>
      <c r="G18">
        <f t="shared" si="0"/>
        <v>0.29007036747458953</v>
      </c>
    </row>
    <row r="19" spans="1:7" x14ac:dyDescent="0.3">
      <c r="A19" s="11">
        <v>1964</v>
      </c>
      <c r="B19" s="12">
        <v>385.09999999999997</v>
      </c>
      <c r="C19">
        <v>584.41674060841797</v>
      </c>
      <c r="D19" s="11">
        <v>17.793497037150416</v>
      </c>
      <c r="E19" s="15">
        <v>1.00164115428925</v>
      </c>
      <c r="F19">
        <v>0.23003642476884281</v>
      </c>
      <c r="G19">
        <f t="shared" si="0"/>
        <v>0.29876273653566227</v>
      </c>
    </row>
    <row r="20" spans="1:7" x14ac:dyDescent="0.3">
      <c r="A20" s="11">
        <v>1965</v>
      </c>
      <c r="B20" s="12">
        <v>422.5</v>
      </c>
      <c r="C20">
        <v>629.51384997359241</v>
      </c>
      <c r="D20" s="11">
        <v>18.118207858657861</v>
      </c>
      <c r="E20" s="15">
        <v>1.0422728061676001</v>
      </c>
      <c r="F20">
        <v>0.24075490946187197</v>
      </c>
      <c r="G20">
        <f t="shared" si="0"/>
        <v>0.3170977494121599</v>
      </c>
    </row>
    <row r="21" spans="1:7" x14ac:dyDescent="0.3">
      <c r="A21" s="11">
        <v>1966</v>
      </c>
      <c r="B21" s="12">
        <v>462.8</v>
      </c>
      <c r="C21">
        <v>689.33894427325106</v>
      </c>
      <c r="D21" s="11">
        <v>18.62659348829073</v>
      </c>
      <c r="E21" s="15">
        <v>1.06474781036377</v>
      </c>
      <c r="F21">
        <v>0.23754075454122028</v>
      </c>
      <c r="G21">
        <f t="shared" si="0"/>
        <v>0.3115455100794135</v>
      </c>
    </row>
    <row r="22" spans="1:7" x14ac:dyDescent="0.3">
      <c r="A22" s="11">
        <v>1967</v>
      </c>
      <c r="B22" s="12">
        <v>488.1</v>
      </c>
      <c r="C22">
        <v>753.33113522681447</v>
      </c>
      <c r="D22" s="11">
        <v>19.166684888373823</v>
      </c>
      <c r="E22" s="15">
        <v>1.04273521900177</v>
      </c>
      <c r="F22">
        <v>0.22490582760912917</v>
      </c>
      <c r="G22">
        <f t="shared" si="0"/>
        <v>0.29016580903373351</v>
      </c>
    </row>
    <row r="23" spans="1:7" x14ac:dyDescent="0.3">
      <c r="A23" s="11">
        <v>1968</v>
      </c>
      <c r="B23" s="12">
        <v>540</v>
      </c>
      <c r="C23">
        <v>835.85126617602316</v>
      </c>
      <c r="D23" s="11">
        <v>19.982288500645051</v>
      </c>
      <c r="E23" s="15">
        <v>1.0570937395095801</v>
      </c>
      <c r="F23">
        <v>0.2208650380456548</v>
      </c>
      <c r="G23">
        <f t="shared" si="0"/>
        <v>0.28347468517090724</v>
      </c>
    </row>
    <row r="24" spans="1:7" x14ac:dyDescent="0.3">
      <c r="A24" s="11">
        <v>1969</v>
      </c>
      <c r="B24" s="12">
        <v>587.70000000000005</v>
      </c>
      <c r="C24">
        <v>928.3262407092185</v>
      </c>
      <c r="D24" s="11">
        <v>20.964074082172612</v>
      </c>
      <c r="E24" s="15">
        <v>1.0494517087936399</v>
      </c>
      <c r="F24">
        <v>0.20457058606708439</v>
      </c>
      <c r="G24">
        <f t="shared" si="0"/>
        <v>0.25718257645968484</v>
      </c>
    </row>
    <row r="25" spans="1:7" x14ac:dyDescent="0.3">
      <c r="A25" s="11">
        <v>1970</v>
      </c>
      <c r="B25" s="12">
        <v>609.79999999999995</v>
      </c>
      <c r="C25">
        <v>1032.4109896184032</v>
      </c>
      <c r="D25" s="11">
        <v>22.069402838213108</v>
      </c>
      <c r="E25" s="15">
        <v>0.98441243171691895</v>
      </c>
      <c r="F25">
        <v>0.18327974276527334</v>
      </c>
      <c r="G25">
        <f t="shared" si="0"/>
        <v>0.22440944881889768</v>
      </c>
    </row>
    <row r="26" spans="1:7" x14ac:dyDescent="0.3">
      <c r="A26" s="11">
        <v>1971</v>
      </c>
      <c r="B26" s="12">
        <v>658.9</v>
      </c>
      <c r="C26">
        <v>1145.8564474489679</v>
      </c>
      <c r="D26" s="11">
        <v>23.190037828264057</v>
      </c>
      <c r="E26" s="15">
        <v>0.97354418039321899</v>
      </c>
      <c r="F26">
        <v>0.19202118854494291</v>
      </c>
      <c r="G26">
        <f t="shared" si="0"/>
        <v>0.2376562179881172</v>
      </c>
    </row>
    <row r="27" spans="1:7" x14ac:dyDescent="0.3">
      <c r="A27" s="11">
        <v>1972</v>
      </c>
      <c r="B27" s="12">
        <v>731.2</v>
      </c>
      <c r="C27">
        <v>1256.3166880969834</v>
      </c>
      <c r="D27" s="11">
        <v>24.192596155948664</v>
      </c>
      <c r="E27" s="15">
        <v>1.00391101837158</v>
      </c>
      <c r="F27">
        <v>0.19612807148175723</v>
      </c>
      <c r="G27">
        <f t="shared" si="0"/>
        <v>0.24397925157465725</v>
      </c>
    </row>
    <row r="28" spans="1:7" x14ac:dyDescent="0.3">
      <c r="A28" s="11">
        <v>1973</v>
      </c>
      <c r="B28" s="12">
        <v>820.2</v>
      </c>
      <c r="C28">
        <v>1429.5600183096162</v>
      </c>
      <c r="D28" s="11">
        <v>25.517678700282072</v>
      </c>
      <c r="E28" s="15">
        <v>1.00486552715302</v>
      </c>
      <c r="F28">
        <v>0.19275189167662282</v>
      </c>
      <c r="G28">
        <f t="shared" si="0"/>
        <v>0.2387765170202269</v>
      </c>
    </row>
    <row r="29" spans="1:7" x14ac:dyDescent="0.3">
      <c r="A29" s="11">
        <v>1974</v>
      </c>
      <c r="B29" s="12">
        <v>887.3</v>
      </c>
      <c r="C29">
        <v>1763.5896893717154</v>
      </c>
      <c r="D29" s="11">
        <v>27.807053987273964</v>
      </c>
      <c r="E29" s="15">
        <v>0.88432848453521695</v>
      </c>
      <c r="F29">
        <v>0.17612863327149042</v>
      </c>
      <c r="G29">
        <f t="shared" si="0"/>
        <v>0.21378171445728869</v>
      </c>
    </row>
    <row r="30" spans="1:7" x14ac:dyDescent="0.3">
      <c r="A30" s="11">
        <v>1975</v>
      </c>
      <c r="B30" s="12">
        <v>959.8</v>
      </c>
      <c r="C30">
        <v>1983.0408217262743</v>
      </c>
      <c r="D30" s="11">
        <v>30.389434325323073</v>
      </c>
      <c r="E30" s="15">
        <v>0.85354691743850697</v>
      </c>
      <c r="F30">
        <v>0.19193436561127805</v>
      </c>
      <c r="G30">
        <f t="shared" si="0"/>
        <v>0.23752323752323759</v>
      </c>
    </row>
    <row r="31" spans="1:7" x14ac:dyDescent="0.3">
      <c r="A31" s="11">
        <v>1976</v>
      </c>
      <c r="B31" s="12">
        <v>1081.9000000000001</v>
      </c>
      <c r="C31">
        <v>2204.961979321552</v>
      </c>
      <c r="D31" s="11">
        <v>32.063280344608934</v>
      </c>
      <c r="E31" s="15">
        <v>0.87999582290649403</v>
      </c>
      <c r="F31">
        <v>0.19510947411499899</v>
      </c>
      <c r="G31">
        <f t="shared" si="0"/>
        <v>0.24240498283971021</v>
      </c>
    </row>
    <row r="32" spans="1:7" x14ac:dyDescent="0.3">
      <c r="A32" s="11">
        <v>1977</v>
      </c>
      <c r="B32" s="12">
        <v>1223.5</v>
      </c>
      <c r="C32">
        <v>2477.8222116408647</v>
      </c>
      <c r="D32" s="11">
        <v>34.054184068397007</v>
      </c>
      <c r="E32" s="15">
        <v>0.90109199285507202</v>
      </c>
      <c r="F32">
        <v>0.19963817277250115</v>
      </c>
      <c r="G32">
        <f t="shared" si="0"/>
        <v>0.24943490054249551</v>
      </c>
    </row>
    <row r="33" spans="1:7" x14ac:dyDescent="0.3">
      <c r="A33" s="11">
        <v>1978</v>
      </c>
      <c r="B33" s="12">
        <v>1397.8999999999999</v>
      </c>
      <c r="C33">
        <v>2835.8341845926316</v>
      </c>
      <c r="D33" s="11">
        <v>36.449609691032734</v>
      </c>
      <c r="E33" s="15">
        <v>0.91149121522903398</v>
      </c>
      <c r="F33">
        <v>0.20028487773996997</v>
      </c>
      <c r="G33">
        <f t="shared" si="0"/>
        <v>0.25044528003166444</v>
      </c>
    </row>
    <row r="34" spans="1:7" x14ac:dyDescent="0.3">
      <c r="A34" s="11">
        <v>1979</v>
      </c>
      <c r="B34" s="12">
        <v>1555.2</v>
      </c>
      <c r="C34">
        <v>3283.9472079486036</v>
      </c>
      <c r="D34" s="11">
        <v>39.472590908097004</v>
      </c>
      <c r="E34" s="15">
        <v>0.88534152507782005</v>
      </c>
      <c r="F34">
        <v>0.18791514891793443</v>
      </c>
      <c r="G34">
        <f t="shared" si="0"/>
        <v>0.23139841688654353</v>
      </c>
    </row>
    <row r="35" spans="1:7" x14ac:dyDescent="0.3">
      <c r="A35" s="11">
        <v>1980</v>
      </c>
      <c r="B35" s="12">
        <v>1684.2</v>
      </c>
      <c r="C35">
        <v>3800.0711216002474</v>
      </c>
      <c r="D35" s="11">
        <v>43.048783154396169</v>
      </c>
      <c r="E35" s="15">
        <v>0.83406603336334195</v>
      </c>
      <c r="F35">
        <v>0.16996809359212975</v>
      </c>
      <c r="G35">
        <f t="shared" si="0"/>
        <v>0.20477296388243774</v>
      </c>
    </row>
    <row r="36" spans="1:7" x14ac:dyDescent="0.3">
      <c r="A36" s="11">
        <v>1981</v>
      </c>
      <c r="B36" s="12">
        <v>1905.8999999999999</v>
      </c>
      <c r="C36">
        <v>4326.9839530503541</v>
      </c>
      <c r="D36" s="11">
        <v>47.112588284171167</v>
      </c>
      <c r="E36" s="15">
        <v>0.843342185020447</v>
      </c>
      <c r="F36">
        <v>0.1786429496996112</v>
      </c>
      <c r="G36">
        <f t="shared" si="0"/>
        <v>0.21749731086410889</v>
      </c>
    </row>
    <row r="37" spans="1:7" x14ac:dyDescent="0.3">
      <c r="A37" s="11">
        <v>1982</v>
      </c>
      <c r="B37" s="12">
        <v>1982.6</v>
      </c>
      <c r="C37">
        <v>4638.9577760993016</v>
      </c>
      <c r="D37" s="11">
        <v>50.025145955874322</v>
      </c>
      <c r="E37" s="15">
        <v>0.82005542516708396</v>
      </c>
      <c r="F37">
        <v>0.16908405664687073</v>
      </c>
      <c r="G37">
        <f t="shared" si="0"/>
        <v>0.2034911689918219</v>
      </c>
    </row>
    <row r="38" spans="1:7" x14ac:dyDescent="0.3">
      <c r="A38" s="11">
        <v>1983</v>
      </c>
      <c r="B38" s="12">
        <v>2129.1</v>
      </c>
      <c r="C38">
        <v>4822.6751063715528</v>
      </c>
      <c r="D38" s="11">
        <v>51.981064001924217</v>
      </c>
      <c r="E38" s="15">
        <v>0.85865700244903598</v>
      </c>
      <c r="F38">
        <v>0.18218880711600571</v>
      </c>
      <c r="G38">
        <f t="shared" si="0"/>
        <v>0.22277612326816004</v>
      </c>
    </row>
    <row r="39" spans="1:7" x14ac:dyDescent="0.3">
      <c r="A39" s="11">
        <v>1984</v>
      </c>
      <c r="B39" s="12">
        <v>2386.1</v>
      </c>
      <c r="C39">
        <v>5136.9718432926129</v>
      </c>
      <c r="D39" s="11">
        <v>53.858264273063213</v>
      </c>
      <c r="E39" s="15">
        <v>0.92487084865570102</v>
      </c>
      <c r="F39">
        <v>0.19862178886180384</v>
      </c>
      <c r="G39">
        <f t="shared" si="0"/>
        <v>0.24785024861070484</v>
      </c>
    </row>
    <row r="40" spans="1:7" x14ac:dyDescent="0.3">
      <c r="A40" s="11">
        <v>1985</v>
      </c>
      <c r="B40" s="12">
        <v>2548.5</v>
      </c>
      <c r="C40">
        <v>5450.7339934434549</v>
      </c>
      <c r="D40" s="11">
        <v>55.561629457940661</v>
      </c>
      <c r="E40" s="15">
        <v>0.93559807538986195</v>
      </c>
      <c r="F40">
        <v>0.19558151791988754</v>
      </c>
      <c r="G40">
        <f t="shared" si="0"/>
        <v>0.2431340431340431</v>
      </c>
    </row>
    <row r="41" spans="1:7" x14ac:dyDescent="0.3">
      <c r="A41" s="11">
        <v>1986</v>
      </c>
      <c r="B41" s="12">
        <v>2662.2</v>
      </c>
      <c r="C41">
        <v>5739.714132823804</v>
      </c>
      <c r="D41" s="11">
        <v>56.687730960138197</v>
      </c>
      <c r="E41" s="15">
        <v>0.92921441793441795</v>
      </c>
      <c r="F41">
        <v>0.18226268757376496</v>
      </c>
      <c r="G41">
        <f t="shared" si="0"/>
        <v>0.22288659793814433</v>
      </c>
    </row>
    <row r="42" spans="1:7" x14ac:dyDescent="0.3">
      <c r="A42" s="11">
        <v>1987</v>
      </c>
      <c r="B42" s="12">
        <v>2858.7999999999997</v>
      </c>
      <c r="C42">
        <v>6092.1964278163705</v>
      </c>
      <c r="D42" s="11">
        <v>58.082784859947957</v>
      </c>
      <c r="E42" s="15">
        <v>0.94841212034225497</v>
      </c>
      <c r="F42">
        <v>0.18763468244328646</v>
      </c>
      <c r="G42">
        <f t="shared" si="0"/>
        <v>0.23097328060190991</v>
      </c>
    </row>
    <row r="43" spans="1:7" x14ac:dyDescent="0.3">
      <c r="A43" s="11">
        <v>1988</v>
      </c>
      <c r="B43" s="12">
        <v>3109.7</v>
      </c>
      <c r="C43">
        <v>6531.1328708283454</v>
      </c>
      <c r="D43" s="11">
        <v>60.133820217348521</v>
      </c>
      <c r="E43" s="15">
        <v>0.97139304876327504</v>
      </c>
      <c r="F43">
        <v>0.19723830414613977</v>
      </c>
      <c r="G43">
        <f t="shared" si="0"/>
        <v>0.24569969539509054</v>
      </c>
    </row>
    <row r="44" spans="1:7" x14ac:dyDescent="0.3">
      <c r="A44" s="11">
        <v>1989</v>
      </c>
      <c r="B44" s="12">
        <v>3281.1</v>
      </c>
      <c r="C44">
        <v>6967.2695129476142</v>
      </c>
      <c r="D44" s="11">
        <v>62.492073557387442</v>
      </c>
      <c r="E44" s="15">
        <v>0.96777576208114602</v>
      </c>
      <c r="F44">
        <v>0.19602088523359384</v>
      </c>
      <c r="G44">
        <f t="shared" si="0"/>
        <v>0.24381340464366061</v>
      </c>
    </row>
    <row r="45" spans="1:7" x14ac:dyDescent="0.3">
      <c r="A45" s="11">
        <v>1990</v>
      </c>
      <c r="B45" s="12">
        <v>3437.9</v>
      </c>
      <c r="C45">
        <v>7416.8195516211827</v>
      </c>
      <c r="D45" s="11">
        <v>64.840487175562501</v>
      </c>
      <c r="E45" s="15">
        <v>0.96064013242721602</v>
      </c>
      <c r="F45">
        <v>0.18917419817938594</v>
      </c>
      <c r="G45">
        <f t="shared" si="0"/>
        <v>0.23331053076334957</v>
      </c>
    </row>
    <row r="46" spans="1:7" x14ac:dyDescent="0.3">
      <c r="A46" s="11">
        <v>1991</v>
      </c>
      <c r="B46" s="12">
        <v>3541.5</v>
      </c>
      <c r="C46">
        <v>7670.8141193721458</v>
      </c>
      <c r="D46" s="11">
        <v>67.022718824481231</v>
      </c>
      <c r="E46" s="15">
        <v>0.95897972583770796</v>
      </c>
      <c r="F46">
        <v>0.18800406426620944</v>
      </c>
      <c r="G46">
        <f t="shared" si="0"/>
        <v>0.23153325773276504</v>
      </c>
    </row>
    <row r="47" spans="1:7" x14ac:dyDescent="0.3">
      <c r="A47" s="11">
        <v>1992</v>
      </c>
      <c r="B47" s="12">
        <v>3712</v>
      </c>
      <c r="C47">
        <v>8013.0348011428432</v>
      </c>
      <c r="D47" s="11">
        <v>68.551155620667799</v>
      </c>
      <c r="E47" s="15">
        <v>0.97564613819122303</v>
      </c>
      <c r="F47">
        <v>0.18386706948640483</v>
      </c>
      <c r="G47">
        <f t="shared" si="0"/>
        <v>0.22529059006441104</v>
      </c>
    </row>
    <row r="48" spans="1:7" x14ac:dyDescent="0.3">
      <c r="A48" s="11">
        <v>1993</v>
      </c>
      <c r="B48" s="12">
        <v>3891.5</v>
      </c>
      <c r="C48">
        <v>8456.6793089390594</v>
      </c>
      <c r="D48" s="11">
        <v>70.177989635492978</v>
      </c>
      <c r="E48" s="15">
        <v>0.97915554046630904</v>
      </c>
      <c r="F48">
        <v>0.1847093391715158</v>
      </c>
      <c r="G48">
        <f t="shared" si="0"/>
        <v>0.22655642710762489</v>
      </c>
    </row>
    <row r="49" spans="1:7" x14ac:dyDescent="0.3">
      <c r="A49" s="11">
        <v>1994</v>
      </c>
      <c r="B49" s="12">
        <v>4181.8999999999996</v>
      </c>
      <c r="C49">
        <v>8977.8033935969743</v>
      </c>
      <c r="D49" s="11">
        <v>71.67362735879999</v>
      </c>
      <c r="E49" s="15">
        <v>1.0114442110061601</v>
      </c>
      <c r="F49">
        <v>0.19531709927749535</v>
      </c>
      <c r="G49">
        <f t="shared" si="0"/>
        <v>0.24272554953277248</v>
      </c>
    </row>
    <row r="50" spans="1:7" x14ac:dyDescent="0.3">
      <c r="A50" s="11">
        <v>1995</v>
      </c>
      <c r="B50" s="12">
        <v>4457.1000000000004</v>
      </c>
      <c r="C50">
        <v>9530.4326970320108</v>
      </c>
      <c r="D50" s="11">
        <v>73.178011501541576</v>
      </c>
      <c r="E50" s="15">
        <v>1.01938092708588</v>
      </c>
      <c r="F50">
        <v>0.20732105620179386</v>
      </c>
      <c r="G50">
        <f t="shared" si="0"/>
        <v>0.26154480048175971</v>
      </c>
    </row>
    <row r="51" spans="1:7" x14ac:dyDescent="0.3">
      <c r="A51" s="11">
        <v>1996</v>
      </c>
      <c r="B51" s="12">
        <v>4718.7</v>
      </c>
      <c r="C51">
        <v>10053.447802744928</v>
      </c>
      <c r="D51" s="11">
        <v>74.51512037259748</v>
      </c>
      <c r="E51" s="15">
        <v>1.0421992540359499</v>
      </c>
      <c r="F51">
        <v>0.21532508842310155</v>
      </c>
      <c r="G51">
        <f t="shared" si="0"/>
        <v>0.27441311713455946</v>
      </c>
    </row>
    <row r="52" spans="1:7" x14ac:dyDescent="0.3">
      <c r="A52" s="11">
        <v>1997</v>
      </c>
      <c r="B52" s="12">
        <v>5062.3999999999996</v>
      </c>
      <c r="C52">
        <v>10645.467618064265</v>
      </c>
      <c r="D52" s="11">
        <v>75.80631054162204</v>
      </c>
      <c r="E52" s="15">
        <v>1.0718289613723799</v>
      </c>
      <c r="F52">
        <v>0.21913081941833465</v>
      </c>
      <c r="G52">
        <f t="shared" si="0"/>
        <v>0.28062423881949761</v>
      </c>
    </row>
    <row r="53" spans="1:7" x14ac:dyDescent="0.3">
      <c r="A53" s="11">
        <v>1998</v>
      </c>
      <c r="B53" s="12">
        <v>5360</v>
      </c>
      <c r="C53">
        <v>11273.091065707426</v>
      </c>
      <c r="D53" s="11">
        <v>76.642686900050307</v>
      </c>
      <c r="E53" s="15">
        <v>1.09457731246948</v>
      </c>
      <c r="F53">
        <v>0.20210385427776734</v>
      </c>
      <c r="G53">
        <f t="shared" si="0"/>
        <v>0.25329594003092815</v>
      </c>
    </row>
    <row r="54" spans="1:7" x14ac:dyDescent="0.3">
      <c r="A54" s="11">
        <v>1999</v>
      </c>
      <c r="B54" s="12">
        <v>5708.5</v>
      </c>
      <c r="C54">
        <v>11967.667396537861</v>
      </c>
      <c r="D54" s="11">
        <v>77.716309885640584</v>
      </c>
      <c r="E54" s="15">
        <v>1.1084233522415201</v>
      </c>
      <c r="F54">
        <v>0.19922482145316472</v>
      </c>
      <c r="G54">
        <f t="shared" si="0"/>
        <v>0.24878995602073667</v>
      </c>
    </row>
    <row r="55" spans="1:7" x14ac:dyDescent="0.3">
      <c r="A55" s="11">
        <v>2000</v>
      </c>
      <c r="B55" s="12">
        <v>6109.5999999999995</v>
      </c>
      <c r="C55">
        <v>12840.566656941339</v>
      </c>
      <c r="D55" s="11">
        <v>79.492926333282327</v>
      </c>
      <c r="E55" s="15">
        <v>1.1150987148284901</v>
      </c>
      <c r="F55">
        <v>0.18569453405843855</v>
      </c>
      <c r="G55">
        <f t="shared" si="0"/>
        <v>0.22804038757583989</v>
      </c>
    </row>
    <row r="56" spans="1:7" x14ac:dyDescent="0.3">
      <c r="A56" s="11">
        <v>2001</v>
      </c>
      <c r="B56" s="12">
        <v>6145.2999999999993</v>
      </c>
      <c r="C56">
        <v>13620.733166343192</v>
      </c>
      <c r="D56" s="11">
        <v>81.325301204819297</v>
      </c>
      <c r="E56" s="15">
        <v>1.0632525682449301</v>
      </c>
      <c r="F56">
        <v>0.17844875346260389</v>
      </c>
      <c r="G56">
        <f t="shared" si="0"/>
        <v>0.21720952188279724</v>
      </c>
    </row>
    <row r="57" spans="1:7" x14ac:dyDescent="0.3">
      <c r="A57" s="11">
        <v>2002</v>
      </c>
      <c r="B57" s="12">
        <v>6238.3</v>
      </c>
      <c r="C57">
        <v>14281.233872520141</v>
      </c>
      <c r="D57" s="11">
        <v>82.544333413508852</v>
      </c>
      <c r="E57" s="15">
        <v>1.0390701293945299</v>
      </c>
      <c r="F57">
        <v>0.18413468553917992</v>
      </c>
      <c r="G57">
        <f t="shared" si="0"/>
        <v>0.22569250374477406</v>
      </c>
    </row>
    <row r="58" spans="1:7" x14ac:dyDescent="0.3">
      <c r="A58" s="11">
        <v>2003</v>
      </c>
      <c r="B58" s="12">
        <v>6482.8</v>
      </c>
      <c r="C58">
        <v>14892.479153434093</v>
      </c>
      <c r="D58" s="11">
        <v>84.197406686637663</v>
      </c>
      <c r="E58" s="15">
        <v>1.04768621921539</v>
      </c>
      <c r="F58">
        <v>0.19001979920452752</v>
      </c>
      <c r="G58">
        <f t="shared" si="0"/>
        <v>0.23459807908626804</v>
      </c>
    </row>
    <row r="59" spans="1:7" x14ac:dyDescent="0.3">
      <c r="A59" s="11">
        <v>2004</v>
      </c>
      <c r="B59" s="12">
        <v>6936.6</v>
      </c>
      <c r="C59">
        <v>16199.660108377739</v>
      </c>
      <c r="D59" s="11">
        <v>86.446329783744787</v>
      </c>
      <c r="E59" s="15">
        <v>1.0378708839416499</v>
      </c>
      <c r="F59">
        <v>0.2134347357770017</v>
      </c>
      <c r="G59">
        <f t="shared" si="0"/>
        <v>0.27135031952859162</v>
      </c>
    </row>
    <row r="60" spans="1:7" x14ac:dyDescent="0.3">
      <c r="A60" s="11">
        <v>2005</v>
      </c>
      <c r="B60" s="12">
        <v>7469.4</v>
      </c>
      <c r="C60">
        <v>17723.462355358093</v>
      </c>
      <c r="D60" s="11">
        <v>89.144600179301605</v>
      </c>
      <c r="E60" s="15">
        <v>1.03080022335052</v>
      </c>
      <c r="F60">
        <v>0.22875955498372819</v>
      </c>
      <c r="G60">
        <f t="shared" si="0"/>
        <v>0.29661249803736861</v>
      </c>
    </row>
    <row r="61" spans="1:7" x14ac:dyDescent="0.3">
      <c r="A61" s="11">
        <v>2006</v>
      </c>
      <c r="B61" s="12">
        <v>7957.1</v>
      </c>
      <c r="C61">
        <v>19265.16196987102</v>
      </c>
      <c r="D61" s="11">
        <v>91.918308442481361</v>
      </c>
      <c r="E61" s="15">
        <v>1.0236576795578001</v>
      </c>
      <c r="F61">
        <v>0.23525145067698255</v>
      </c>
      <c r="G61">
        <f t="shared" si="0"/>
        <v>0.30761934871956992</v>
      </c>
    </row>
    <row r="62" spans="1:7" x14ac:dyDescent="0.3">
      <c r="A62" s="11">
        <v>2007</v>
      </c>
      <c r="B62" s="12">
        <v>8120.5000000000009</v>
      </c>
      <c r="C62">
        <v>20353.558169953449</v>
      </c>
      <c r="D62" s="11">
        <v>94.408851376467766</v>
      </c>
      <c r="E62" s="15">
        <v>0.98620384931564298</v>
      </c>
      <c r="F62">
        <v>0.21706706216507396</v>
      </c>
      <c r="G62">
        <f t="shared" si="0"/>
        <v>0.27724860160480375</v>
      </c>
    </row>
    <row r="63" spans="1:7" x14ac:dyDescent="0.3">
      <c r="A63" s="11">
        <v>2008</v>
      </c>
      <c r="B63" s="12">
        <v>8003.8</v>
      </c>
      <c r="C63">
        <v>21776.885775207476</v>
      </c>
      <c r="D63" s="11">
        <v>96.185467824109523</v>
      </c>
      <c r="E63" s="15">
        <v>0.92536759376525901</v>
      </c>
      <c r="F63">
        <v>0.18472323771020596</v>
      </c>
      <c r="G63">
        <f t="shared" si="0"/>
        <v>0.22657733699092628</v>
      </c>
    </row>
    <row r="64" spans="1:7" x14ac:dyDescent="0.3">
      <c r="A64" s="11">
        <v>2009</v>
      </c>
      <c r="B64" s="12">
        <v>7793.2999999999993</v>
      </c>
      <c r="C64">
        <v>21294.719040537588</v>
      </c>
      <c r="D64" s="11">
        <v>96.81958323311396</v>
      </c>
      <c r="E64" s="15">
        <v>0.89943754673004195</v>
      </c>
      <c r="F64">
        <v>0.20949592630380459</v>
      </c>
      <c r="G64">
        <f t="shared" si="0"/>
        <v>0.26501561886234826</v>
      </c>
    </row>
    <row r="65" spans="1:7" x14ac:dyDescent="0.3">
      <c r="A65" s="11">
        <v>2010</v>
      </c>
      <c r="B65" s="12">
        <v>8232</v>
      </c>
      <c r="C65">
        <v>21982.081961583935</v>
      </c>
      <c r="D65" s="11">
        <v>97.97957711062034</v>
      </c>
      <c r="E65" s="15">
        <v>0.92929506301879905</v>
      </c>
      <c r="F65">
        <v>0.24128790507251405</v>
      </c>
      <c r="G65">
        <f t="shared" si="0"/>
        <v>0.31802301121293602</v>
      </c>
    </row>
    <row r="66" spans="1:7" x14ac:dyDescent="0.3">
      <c r="A66" s="11">
        <v>2011</v>
      </c>
      <c r="B66" s="12">
        <v>8676.1999999999989</v>
      </c>
      <c r="C66">
        <v>23023.968602353023</v>
      </c>
      <c r="D66" s="11">
        <v>99.999999999999986</v>
      </c>
      <c r="E66" s="15">
        <v>0.94152617454528797</v>
      </c>
      <c r="F66">
        <v>0.24459241164650722</v>
      </c>
      <c r="G66">
        <f t="shared" si="0"/>
        <v>0.32378866113805871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wide</vt:lpstr>
      <vt:lpstr>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2026-02-27T15:45:10Z</dcterms:created>
  <dcterms:modified xsi:type="dcterms:W3CDTF">2026-03-01T21:15:48Z</dcterms:modified>
</cp:coreProperties>
</file>